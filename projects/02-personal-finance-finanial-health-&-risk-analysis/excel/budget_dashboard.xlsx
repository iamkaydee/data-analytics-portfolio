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a0da0e90f25033f4/Documents/Github/data-analytics-portfolio/projects/budget_tracker/"/>
    </mc:Choice>
  </mc:AlternateContent>
  <xr:revisionPtr revIDLastSave="2137" documentId="13_ncr:1_{C868C160-84F9-4FB8-8145-89E75C8691A2}" xr6:coauthVersionLast="47" xr6:coauthVersionMax="47" xr10:uidLastSave="{5609FD64-E6B9-43DF-84BA-BCAC027F98E5}"/>
  <bookViews>
    <workbookView xWindow="-120" yWindow="-120" windowWidth="20730" windowHeight="11040" activeTab="3" xr2:uid="{B90E2BB3-0A34-419F-9B2C-0AE90450801B}"/>
  </bookViews>
  <sheets>
    <sheet name="Data" sheetId="4" r:id="rId1"/>
    <sheet name="Charts" sheetId="3" r:id="rId2"/>
    <sheet name="PivotTables" sheetId="2" r:id="rId3"/>
    <sheet name="Dashboard" sheetId="1" r:id="rId4"/>
  </sheets>
  <definedNames>
    <definedName name="NativeTimeline_record_date">#N/A</definedName>
    <definedName name="Slicer_age">#N/A</definedName>
    <definedName name="Slicer_education_level">#N/A</definedName>
    <definedName name="Slicer_employment_status">#N/A</definedName>
    <definedName name="Slicer_gender">#N/A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U2" i="1" l="1"/>
  <c r="B4" i="3"/>
  <c r="B3" i="3"/>
  <c r="B2" i="3"/>
</calcChain>
</file>

<file path=xl/sharedStrings.xml><?xml version="1.0" encoding="utf-8"?>
<sst xmlns="http://schemas.openxmlformats.org/spreadsheetml/2006/main" count="20039" uniqueCount="2570">
  <si>
    <t>user_id</t>
  </si>
  <si>
    <t>age</t>
  </si>
  <si>
    <t>gender</t>
  </si>
  <si>
    <t>education_level</t>
  </si>
  <si>
    <t>employment_status</t>
  </si>
  <si>
    <t>job_title</t>
  </si>
  <si>
    <t>monthly_income_usd</t>
  </si>
  <si>
    <t>monthly_expenses_usd</t>
  </si>
  <si>
    <t>savings_usd</t>
  </si>
  <si>
    <t>has_loan</t>
  </si>
  <si>
    <t>loan_type</t>
  </si>
  <si>
    <t>loan_amount_usd</t>
  </si>
  <si>
    <t>loan_term_months</t>
  </si>
  <si>
    <t>monthly_emi_usd</t>
  </si>
  <si>
    <t>loan_interest_rate_pct</t>
  </si>
  <si>
    <t>debt_to_income_ratio</t>
  </si>
  <si>
    <t>credit_score</t>
  </si>
  <si>
    <t>savings_to_income_ratio</t>
  </si>
  <si>
    <t>region</t>
  </si>
  <si>
    <t>record_date</t>
  </si>
  <si>
    <t>U00021</t>
  </si>
  <si>
    <t>Male</t>
  </si>
  <si>
    <t>High School</t>
  </si>
  <si>
    <t>Student</t>
  </si>
  <si>
    <t>Engineer</t>
  </si>
  <si>
    <t>Yes</t>
  </si>
  <si>
    <t>Business</t>
  </si>
  <si>
    <t>Europe</t>
  </si>
  <si>
    <t>U00025</t>
  </si>
  <si>
    <t>Female</t>
  </si>
  <si>
    <t>Other</t>
  </si>
  <si>
    <t>Employed</t>
  </si>
  <si>
    <t>Driver</t>
  </si>
  <si>
    <t>Education</t>
  </si>
  <si>
    <t>U00035</t>
  </si>
  <si>
    <t>Master</t>
  </si>
  <si>
    <t>Accountant</t>
  </si>
  <si>
    <t>No</t>
  </si>
  <si>
    <t>None</t>
  </si>
  <si>
    <t>North America</t>
  </si>
  <si>
    <t>U00041</t>
  </si>
  <si>
    <t>Bachelor</t>
  </si>
  <si>
    <t>Doctor</t>
  </si>
  <si>
    <t>U00074</t>
  </si>
  <si>
    <t>Teacher</t>
  </si>
  <si>
    <t>Car</t>
  </si>
  <si>
    <t>U00078</t>
  </si>
  <si>
    <t>Africa</t>
  </si>
  <si>
    <t>U00080</t>
  </si>
  <si>
    <t>Unemployed</t>
  </si>
  <si>
    <t>U00094</t>
  </si>
  <si>
    <t>Self-employed</t>
  </si>
  <si>
    <t>Salesperson</t>
  </si>
  <si>
    <t>U00097</t>
  </si>
  <si>
    <t>Home</t>
  </si>
  <si>
    <t>U00099</t>
  </si>
  <si>
    <t>PhD</t>
  </si>
  <si>
    <t>U00106</t>
  </si>
  <si>
    <t>U00111</t>
  </si>
  <si>
    <t>U00122</t>
  </si>
  <si>
    <t>U00133</t>
  </si>
  <si>
    <t>U00147</t>
  </si>
  <si>
    <t>U00151</t>
  </si>
  <si>
    <t>Manager</t>
  </si>
  <si>
    <t>U00162</t>
  </si>
  <si>
    <t>U00179</t>
  </si>
  <si>
    <t>U00187</t>
  </si>
  <si>
    <t>U00193</t>
  </si>
  <si>
    <t>U00225</t>
  </si>
  <si>
    <t>U00245</t>
  </si>
  <si>
    <t>U00248</t>
  </si>
  <si>
    <t>U00263</t>
  </si>
  <si>
    <t>Asia</t>
  </si>
  <si>
    <t>U00316</t>
  </si>
  <si>
    <t>U00328</t>
  </si>
  <si>
    <t>U00356</t>
  </si>
  <si>
    <t>U00363</t>
  </si>
  <si>
    <t>U00365</t>
  </si>
  <si>
    <t>U00368</t>
  </si>
  <si>
    <t>U00373</t>
  </si>
  <si>
    <t>U00382</t>
  </si>
  <si>
    <t>U00383</t>
  </si>
  <si>
    <t>U00411</t>
  </si>
  <si>
    <t>U00412</t>
  </si>
  <si>
    <t>U00414</t>
  </si>
  <si>
    <t>U00426</t>
  </si>
  <si>
    <t>U00430</t>
  </si>
  <si>
    <t>U00433</t>
  </si>
  <si>
    <t>U00446</t>
  </si>
  <si>
    <t>U00474</t>
  </si>
  <si>
    <t>U00487</t>
  </si>
  <si>
    <t>U00488</t>
  </si>
  <si>
    <t>U00495</t>
  </si>
  <si>
    <t>U00531</t>
  </si>
  <si>
    <t>U00536</t>
  </si>
  <si>
    <t>U00570</t>
  </si>
  <si>
    <t>U00584</t>
  </si>
  <si>
    <t>U00586</t>
  </si>
  <si>
    <t>U00589</t>
  </si>
  <si>
    <t>U00596</t>
  </si>
  <si>
    <t>U00598</t>
  </si>
  <si>
    <t>U00605</t>
  </si>
  <si>
    <t>U00614</t>
  </si>
  <si>
    <t>U00622</t>
  </si>
  <si>
    <t>U00632</t>
  </si>
  <si>
    <t>U00640</t>
  </si>
  <si>
    <t>U00642</t>
  </si>
  <si>
    <t>U00646</t>
  </si>
  <si>
    <t>U00663</t>
  </si>
  <si>
    <t>U00667</t>
  </si>
  <si>
    <t>U00693</t>
  </si>
  <si>
    <t>U00694</t>
  </si>
  <si>
    <t>U00697</t>
  </si>
  <si>
    <t>U00706</t>
  </si>
  <si>
    <t>U00719</t>
  </si>
  <si>
    <t>U00727</t>
  </si>
  <si>
    <t>U00739</t>
  </si>
  <si>
    <t>U00745</t>
  </si>
  <si>
    <t>U00772</t>
  </si>
  <si>
    <t>U00776</t>
  </si>
  <si>
    <t>U00785</t>
  </si>
  <si>
    <t>U00788</t>
  </si>
  <si>
    <t>U00801</t>
  </si>
  <si>
    <t>U00803</t>
  </si>
  <si>
    <t>U00825</t>
  </si>
  <si>
    <t>U00828</t>
  </si>
  <si>
    <t>U00860</t>
  </si>
  <si>
    <t>U00885</t>
  </si>
  <si>
    <t>U00899</t>
  </si>
  <si>
    <t>U00905</t>
  </si>
  <si>
    <t>U00920</t>
  </si>
  <si>
    <t>U00924</t>
  </si>
  <si>
    <t>U00941</t>
  </si>
  <si>
    <t>U00943</t>
  </si>
  <si>
    <t>U00946</t>
  </si>
  <si>
    <t>U00952</t>
  </si>
  <si>
    <t>U00956</t>
  </si>
  <si>
    <t>U00977</t>
  </si>
  <si>
    <t>U00987</t>
  </si>
  <si>
    <t>U00995</t>
  </si>
  <si>
    <t>U01001</t>
  </si>
  <si>
    <t>U01006</t>
  </si>
  <si>
    <t>U01018</t>
  </si>
  <si>
    <t>U01025</t>
  </si>
  <si>
    <t>U01036</t>
  </si>
  <si>
    <t>U01041</t>
  </si>
  <si>
    <t>U01046</t>
  </si>
  <si>
    <t>U01049</t>
  </si>
  <si>
    <t>U01061</t>
  </si>
  <si>
    <t>U01075</t>
  </si>
  <si>
    <t>U01084</t>
  </si>
  <si>
    <t>U01085</t>
  </si>
  <si>
    <t>U01087</t>
  </si>
  <si>
    <t>U01101</t>
  </si>
  <si>
    <t>U01168</t>
  </si>
  <si>
    <t>U01171</t>
  </si>
  <si>
    <t>U01177</t>
  </si>
  <si>
    <t>U01191</t>
  </si>
  <si>
    <t>U01197</t>
  </si>
  <si>
    <t>U01230</t>
  </si>
  <si>
    <t>U01239</t>
  </si>
  <si>
    <t>U01270</t>
  </si>
  <si>
    <t>U01277</t>
  </si>
  <si>
    <t>U01279</t>
  </si>
  <si>
    <t>U01303</t>
  </si>
  <si>
    <t>U01332</t>
  </si>
  <si>
    <t>U01335</t>
  </si>
  <si>
    <t>U01341</t>
  </si>
  <si>
    <t>U01343</t>
  </si>
  <si>
    <t>U01378</t>
  </si>
  <si>
    <t>U01387</t>
  </si>
  <si>
    <t>U01391</t>
  </si>
  <si>
    <t>U01404</t>
  </si>
  <si>
    <t>U01406</t>
  </si>
  <si>
    <t>U01413</t>
  </si>
  <si>
    <t>U01416</t>
  </si>
  <si>
    <t>U01423</t>
  </si>
  <si>
    <t>U01448</t>
  </si>
  <si>
    <t>U01467</t>
  </si>
  <si>
    <t>U01480</t>
  </si>
  <si>
    <t>U01494</t>
  </si>
  <si>
    <t>U01518</t>
  </si>
  <si>
    <t>U01525</t>
  </si>
  <si>
    <t>U01548</t>
  </si>
  <si>
    <t>U01567</t>
  </si>
  <si>
    <t>U01573</t>
  </si>
  <si>
    <t>U01578</t>
  </si>
  <si>
    <t>U01580</t>
  </si>
  <si>
    <t>U01594</t>
  </si>
  <si>
    <t>U01638</t>
  </si>
  <si>
    <t>U01711</t>
  </si>
  <si>
    <t>U01717</t>
  </si>
  <si>
    <t>U01724</t>
  </si>
  <si>
    <t>U01726</t>
  </si>
  <si>
    <t>U01793</t>
  </si>
  <si>
    <t>U01814</t>
  </si>
  <si>
    <t>U01831</t>
  </si>
  <si>
    <t>U01836</t>
  </si>
  <si>
    <t>U01851</t>
  </si>
  <si>
    <t>U01866</t>
  </si>
  <si>
    <t>U01886</t>
  </si>
  <si>
    <t>U01893</t>
  </si>
  <si>
    <t>U01897</t>
  </si>
  <si>
    <t>U01899</t>
  </si>
  <si>
    <t>U01908</t>
  </si>
  <si>
    <t>U01942</t>
  </si>
  <si>
    <t>U01955</t>
  </si>
  <si>
    <t>U01982</t>
  </si>
  <si>
    <t>U01985</t>
  </si>
  <si>
    <t>U01991</t>
  </si>
  <si>
    <t>U01994</t>
  </si>
  <si>
    <t>U02006</t>
  </si>
  <si>
    <t>U02010</t>
  </si>
  <si>
    <t>U02018</t>
  </si>
  <si>
    <t>U02024</t>
  </si>
  <si>
    <t>U02026</t>
  </si>
  <si>
    <t>U02044</t>
  </si>
  <si>
    <t>U02053</t>
  </si>
  <si>
    <t>U02078</t>
  </si>
  <si>
    <t>U02086</t>
  </si>
  <si>
    <t>U02101</t>
  </si>
  <si>
    <t>U02115</t>
  </si>
  <si>
    <t>U02129</t>
  </si>
  <si>
    <t>U02132</t>
  </si>
  <si>
    <t>U02140</t>
  </si>
  <si>
    <t>U02155</t>
  </si>
  <si>
    <t>U02171</t>
  </si>
  <si>
    <t>U02190</t>
  </si>
  <si>
    <t>U02193</t>
  </si>
  <si>
    <t>U02226</t>
  </si>
  <si>
    <t>U02229</t>
  </si>
  <si>
    <t>U02240</t>
  </si>
  <si>
    <t>U02262</t>
  </si>
  <si>
    <t>U02286</t>
  </si>
  <si>
    <t>U02293</t>
  </si>
  <si>
    <t>U02294</t>
  </si>
  <si>
    <t>U02309</t>
  </si>
  <si>
    <t>U02318</t>
  </si>
  <si>
    <t>U02330</t>
  </si>
  <si>
    <t>U02333</t>
  </si>
  <si>
    <t>U02348</t>
  </si>
  <si>
    <t>U02350</t>
  </si>
  <si>
    <t>U02384</t>
  </si>
  <si>
    <t>U02392</t>
  </si>
  <si>
    <t>U02395</t>
  </si>
  <si>
    <t>U02404</t>
  </si>
  <si>
    <t>U02408</t>
  </si>
  <si>
    <t>U02417</t>
  </si>
  <si>
    <t>U02424</t>
  </si>
  <si>
    <t>U02425</t>
  </si>
  <si>
    <t>U02432</t>
  </si>
  <si>
    <t>U02440</t>
  </si>
  <si>
    <t>U02441</t>
  </si>
  <si>
    <t>U02461</t>
  </si>
  <si>
    <t>U02462</t>
  </si>
  <si>
    <t>U02467</t>
  </si>
  <si>
    <t>U02471</t>
  </si>
  <si>
    <t>U02487</t>
  </si>
  <si>
    <t>U02502</t>
  </si>
  <si>
    <t>U02561</t>
  </si>
  <si>
    <t>U02585</t>
  </si>
  <si>
    <t>U02589</t>
  </si>
  <si>
    <t>U02592</t>
  </si>
  <si>
    <t>U02603</t>
  </si>
  <si>
    <t>U02613</t>
  </si>
  <si>
    <t>U02618</t>
  </si>
  <si>
    <t>U02622</t>
  </si>
  <si>
    <t>U02652</t>
  </si>
  <si>
    <t>U02685</t>
  </si>
  <si>
    <t>U02707</t>
  </si>
  <si>
    <t>U02710</t>
  </si>
  <si>
    <t>U02711</t>
  </si>
  <si>
    <t>U02723</t>
  </si>
  <si>
    <t>U02726</t>
  </si>
  <si>
    <t>U02727</t>
  </si>
  <si>
    <t>U02729</t>
  </si>
  <si>
    <t>U02746</t>
  </si>
  <si>
    <t>U02783</t>
  </si>
  <si>
    <t>U02785</t>
  </si>
  <si>
    <t>U02791</t>
  </si>
  <si>
    <t>U02793</t>
  </si>
  <si>
    <t>U02819</t>
  </si>
  <si>
    <t>U02823</t>
  </si>
  <si>
    <t>U02840</t>
  </si>
  <si>
    <t>U02878</t>
  </si>
  <si>
    <t>U02886</t>
  </si>
  <si>
    <t>U02894</t>
  </si>
  <si>
    <t>U02896</t>
  </si>
  <si>
    <t>U02900</t>
  </si>
  <si>
    <t>U02909</t>
  </si>
  <si>
    <t>U02910</t>
  </si>
  <si>
    <t>U02922</t>
  </si>
  <si>
    <t>U02935</t>
  </si>
  <si>
    <t>U02951</t>
  </si>
  <si>
    <t>U02952</t>
  </si>
  <si>
    <t>U02968</t>
  </si>
  <si>
    <t>U02993</t>
  </si>
  <si>
    <t>U03005</t>
  </si>
  <si>
    <t>U03006</t>
  </si>
  <si>
    <t>U03015</t>
  </si>
  <si>
    <t>U03018</t>
  </si>
  <si>
    <t>U03028</t>
  </si>
  <si>
    <t>U03039</t>
  </si>
  <si>
    <t>U03056</t>
  </si>
  <si>
    <t>U03060</t>
  </si>
  <si>
    <t>U03092</t>
  </si>
  <si>
    <t>U03115</t>
  </si>
  <si>
    <t>U03116</t>
  </si>
  <si>
    <t>U03128</t>
  </si>
  <si>
    <t>U03130</t>
  </si>
  <si>
    <t>U03166</t>
  </si>
  <si>
    <t>U03214</t>
  </si>
  <si>
    <t>U03253</t>
  </si>
  <si>
    <t>U03259</t>
  </si>
  <si>
    <t>U03291</t>
  </si>
  <si>
    <t>U03293</t>
  </si>
  <si>
    <t>U03300</t>
  </si>
  <si>
    <t>U03313</t>
  </si>
  <si>
    <t>U03326</t>
  </si>
  <si>
    <t>U03327</t>
  </si>
  <si>
    <t>U03330</t>
  </si>
  <si>
    <t>U03331</t>
  </si>
  <si>
    <t>U03332</t>
  </si>
  <si>
    <t>U03355</t>
  </si>
  <si>
    <t>U03372</t>
  </si>
  <si>
    <t>U03374</t>
  </si>
  <si>
    <t>U03375</t>
  </si>
  <si>
    <t>U03386</t>
  </si>
  <si>
    <t>U03387</t>
  </si>
  <si>
    <t>U03393</t>
  </si>
  <si>
    <t>U03395</t>
  </si>
  <si>
    <t>U03410</t>
  </si>
  <si>
    <t>U03423</t>
  </si>
  <si>
    <t>U03425</t>
  </si>
  <si>
    <t>U03431</t>
  </si>
  <si>
    <t>U03443</t>
  </si>
  <si>
    <t>U03447</t>
  </si>
  <si>
    <t>U03453</t>
  </si>
  <si>
    <t>U03454</t>
  </si>
  <si>
    <t>U03459</t>
  </si>
  <si>
    <t>U03483</t>
  </si>
  <si>
    <t>U03488</t>
  </si>
  <si>
    <t>U03492</t>
  </si>
  <si>
    <t>U03495</t>
  </si>
  <si>
    <t>U03506</t>
  </si>
  <si>
    <t>U03507</t>
  </si>
  <si>
    <t>U03508</t>
  </si>
  <si>
    <t>U03509</t>
  </si>
  <si>
    <t>U03510</t>
  </si>
  <si>
    <t>U03515</t>
  </si>
  <si>
    <t>U03521</t>
  </si>
  <si>
    <t>U03533</t>
  </si>
  <si>
    <t>U03542</t>
  </si>
  <si>
    <t>U03546</t>
  </si>
  <si>
    <t>U03568</t>
  </si>
  <si>
    <t>U03592</t>
  </si>
  <si>
    <t>U03595</t>
  </si>
  <si>
    <t>U03639</t>
  </si>
  <si>
    <t>U03654</t>
  </si>
  <si>
    <t>U03656</t>
  </si>
  <si>
    <t>U03665</t>
  </si>
  <si>
    <t>U03687</t>
  </si>
  <si>
    <t>U03694</t>
  </si>
  <si>
    <t>U03709</t>
  </si>
  <si>
    <t>U03718</t>
  </si>
  <si>
    <t>U03723</t>
  </si>
  <si>
    <t>U03725</t>
  </si>
  <si>
    <t>U03743</t>
  </si>
  <si>
    <t>U03753</t>
  </si>
  <si>
    <t>U03776</t>
  </si>
  <si>
    <t>U03805</t>
  </si>
  <si>
    <t>U03826</t>
  </si>
  <si>
    <t>U03828</t>
  </si>
  <si>
    <t>U03852</t>
  </si>
  <si>
    <t>U03868</t>
  </si>
  <si>
    <t>U03903</t>
  </si>
  <si>
    <t>U03913</t>
  </si>
  <si>
    <t>U03915</t>
  </si>
  <si>
    <t>U03923</t>
  </si>
  <si>
    <t>U03933</t>
  </si>
  <si>
    <t>U03969</t>
  </si>
  <si>
    <t>U03989</t>
  </si>
  <si>
    <t>U04007</t>
  </si>
  <si>
    <t>U04011</t>
  </si>
  <si>
    <t>U04022</t>
  </si>
  <si>
    <t>U04035</t>
  </si>
  <si>
    <t>U04043</t>
  </si>
  <si>
    <t>U04048</t>
  </si>
  <si>
    <t>U04081</t>
  </si>
  <si>
    <t>U04094</t>
  </si>
  <si>
    <t>U04095</t>
  </si>
  <si>
    <t>U04104</t>
  </si>
  <si>
    <t>U04122</t>
  </si>
  <si>
    <t>U04124</t>
  </si>
  <si>
    <t>U04126</t>
  </si>
  <si>
    <t>U04150</t>
  </si>
  <si>
    <t>U04152</t>
  </si>
  <si>
    <t>U04164</t>
  </si>
  <si>
    <t>U04210</t>
  </si>
  <si>
    <t>U04229</t>
  </si>
  <si>
    <t>U04232</t>
  </si>
  <si>
    <t>U04233</t>
  </si>
  <si>
    <t>U04238</t>
  </si>
  <si>
    <t>U04255</t>
  </si>
  <si>
    <t>U04270</t>
  </si>
  <si>
    <t>U04329</t>
  </si>
  <si>
    <t>U04334</t>
  </si>
  <si>
    <t>U04367</t>
  </si>
  <si>
    <t>U04369</t>
  </si>
  <si>
    <t>U04374</t>
  </si>
  <si>
    <t>U04377</t>
  </si>
  <si>
    <t>U04397</t>
  </si>
  <si>
    <t>U04414</t>
  </si>
  <si>
    <t>U04452</t>
  </si>
  <si>
    <t>U04457</t>
  </si>
  <si>
    <t>U04470</t>
  </si>
  <si>
    <t>U04477</t>
  </si>
  <si>
    <t>U04481</t>
  </si>
  <si>
    <t>U04541</t>
  </si>
  <si>
    <t>U04546</t>
  </si>
  <si>
    <t>U04550</t>
  </si>
  <si>
    <t>U04555</t>
  </si>
  <si>
    <t>U04566</t>
  </si>
  <si>
    <t>U04573</t>
  </si>
  <si>
    <t>U04574</t>
  </si>
  <si>
    <t>U04588</t>
  </si>
  <si>
    <t>U04600</t>
  </si>
  <si>
    <t>U04603</t>
  </si>
  <si>
    <t>U04608</t>
  </si>
  <si>
    <t>U04627</t>
  </si>
  <si>
    <t>U04629</t>
  </si>
  <si>
    <t>U04653</t>
  </si>
  <si>
    <t>U04670</t>
  </si>
  <si>
    <t>U04674</t>
  </si>
  <si>
    <t>U04683</t>
  </si>
  <si>
    <t>U04694</t>
  </si>
  <si>
    <t>U04709</t>
  </si>
  <si>
    <t>U04735</t>
  </si>
  <si>
    <t>U04748</t>
  </si>
  <si>
    <t>U04753</t>
  </si>
  <si>
    <t>U04755</t>
  </si>
  <si>
    <t>U04760</t>
  </si>
  <si>
    <t>U04781</t>
  </si>
  <si>
    <t>U04793</t>
  </si>
  <si>
    <t>U04800</t>
  </si>
  <si>
    <t>U04803</t>
  </si>
  <si>
    <t>U04831</t>
  </si>
  <si>
    <t>U04834</t>
  </si>
  <si>
    <t>U04845</t>
  </si>
  <si>
    <t>U04860</t>
  </si>
  <si>
    <t>U04866</t>
  </si>
  <si>
    <t>U04885</t>
  </si>
  <si>
    <t>U04923</t>
  </si>
  <si>
    <t>U04931</t>
  </si>
  <si>
    <t>U04933</t>
  </si>
  <si>
    <t>U04951</t>
  </si>
  <si>
    <t>U04955</t>
  </si>
  <si>
    <t>U04972</t>
  </si>
  <si>
    <t>U04988</t>
  </si>
  <si>
    <t>U05019</t>
  </si>
  <si>
    <t>U05024</t>
  </si>
  <si>
    <t>U05038</t>
  </si>
  <si>
    <t>U05056</t>
  </si>
  <si>
    <t>U05093</t>
  </si>
  <si>
    <t>U05112</t>
  </si>
  <si>
    <t>U05138</t>
  </si>
  <si>
    <t>U05139</t>
  </si>
  <si>
    <t>U05153</t>
  </si>
  <si>
    <t>U05160</t>
  </si>
  <si>
    <t>U05174</t>
  </si>
  <si>
    <t>U05179</t>
  </si>
  <si>
    <t>U05196</t>
  </si>
  <si>
    <t>U05214</t>
  </si>
  <si>
    <t>U05221</t>
  </si>
  <si>
    <t>U05225</t>
  </si>
  <si>
    <t>U05237</t>
  </si>
  <si>
    <t>U05266</t>
  </si>
  <si>
    <t>U05271</t>
  </si>
  <si>
    <t>U05305</t>
  </si>
  <si>
    <t>U05319</t>
  </si>
  <si>
    <t>U05322</t>
  </si>
  <si>
    <t>U05336</t>
  </si>
  <si>
    <t>U05341</t>
  </si>
  <si>
    <t>U05345</t>
  </si>
  <si>
    <t>U05349</t>
  </si>
  <si>
    <t>U05351</t>
  </si>
  <si>
    <t>U05354</t>
  </si>
  <si>
    <t>U05409</t>
  </si>
  <si>
    <t>U05420</t>
  </si>
  <si>
    <t>U05434</t>
  </si>
  <si>
    <t>U05458</t>
  </si>
  <si>
    <t>U05461</t>
  </si>
  <si>
    <t>U05481</t>
  </si>
  <si>
    <t>U05531</t>
  </si>
  <si>
    <t>U05537</t>
  </si>
  <si>
    <t>U05539</t>
  </si>
  <si>
    <t>U05543</t>
  </si>
  <si>
    <t>U05551</t>
  </si>
  <si>
    <t>U05562</t>
  </si>
  <si>
    <t>U05566</t>
  </si>
  <si>
    <t>U05567</t>
  </si>
  <si>
    <t>U05578</t>
  </si>
  <si>
    <t>U05605</t>
  </si>
  <si>
    <t>U05607</t>
  </si>
  <si>
    <t>U05613</t>
  </si>
  <si>
    <t>U05621</t>
  </si>
  <si>
    <t>U05624</t>
  </si>
  <si>
    <t>U05628</t>
  </si>
  <si>
    <t>U05657</t>
  </si>
  <si>
    <t>U05659</t>
  </si>
  <si>
    <t>U05660</t>
  </si>
  <si>
    <t>U05684</t>
  </si>
  <si>
    <t>U05685</t>
  </si>
  <si>
    <t>U05701</t>
  </si>
  <si>
    <t>U05719</t>
  </si>
  <si>
    <t>U05739</t>
  </si>
  <si>
    <t>U05744</t>
  </si>
  <si>
    <t>U05760</t>
  </si>
  <si>
    <t>U05795</t>
  </si>
  <si>
    <t>U05804</t>
  </si>
  <si>
    <t>U05818</t>
  </si>
  <si>
    <t>U05821</t>
  </si>
  <si>
    <t>U05836</t>
  </si>
  <si>
    <t>U05847</t>
  </si>
  <si>
    <t>U05873</t>
  </si>
  <si>
    <t>U05897</t>
  </si>
  <si>
    <t>U05909</t>
  </si>
  <si>
    <t>U05914</t>
  </si>
  <si>
    <t>U05945</t>
  </si>
  <si>
    <t>U05973</t>
  </si>
  <si>
    <t>U05974</t>
  </si>
  <si>
    <t>U05982</t>
  </si>
  <si>
    <t>U05990</t>
  </si>
  <si>
    <t>U05991</t>
  </si>
  <si>
    <t>U05993</t>
  </si>
  <si>
    <t>U06000</t>
  </si>
  <si>
    <t>U06004</t>
  </si>
  <si>
    <t>U06025</t>
  </si>
  <si>
    <t>U06039</t>
  </si>
  <si>
    <t>U06062</t>
  </si>
  <si>
    <t>U06066</t>
  </si>
  <si>
    <t>U06070</t>
  </si>
  <si>
    <t>U06080</t>
  </si>
  <si>
    <t>U06083</t>
  </si>
  <si>
    <t>U06114</t>
  </si>
  <si>
    <t>U06133</t>
  </si>
  <si>
    <t>U06148</t>
  </si>
  <si>
    <t>U06150</t>
  </si>
  <si>
    <t>U06169</t>
  </si>
  <si>
    <t>U06187</t>
  </si>
  <si>
    <t>U06192</t>
  </si>
  <si>
    <t>U06208</t>
  </si>
  <si>
    <t>U06271</t>
  </si>
  <si>
    <t>U06300</t>
  </si>
  <si>
    <t>U06348</t>
  </si>
  <si>
    <t>U06358</t>
  </si>
  <si>
    <t>U06369</t>
  </si>
  <si>
    <t>U06381</t>
  </si>
  <si>
    <t>U06435</t>
  </si>
  <si>
    <t>U06441</t>
  </si>
  <si>
    <t>U06463</t>
  </si>
  <si>
    <t>U06465</t>
  </si>
  <si>
    <t>U06469</t>
  </si>
  <si>
    <t>U06477</t>
  </si>
  <si>
    <t>U06491</t>
  </si>
  <si>
    <t>U06513</t>
  </si>
  <si>
    <t>U06523</t>
  </si>
  <si>
    <t>U06531</t>
  </si>
  <si>
    <t>U06539</t>
  </si>
  <si>
    <t>U06552</t>
  </si>
  <si>
    <t>U06569</t>
  </si>
  <si>
    <t>U06578</t>
  </si>
  <si>
    <t>U06593</t>
  </si>
  <si>
    <t>U06615</t>
  </si>
  <si>
    <t>U06621</t>
  </si>
  <si>
    <t>U06636</t>
  </si>
  <si>
    <t>U06646</t>
  </si>
  <si>
    <t>U06653</t>
  </si>
  <si>
    <t>U06654</t>
  </si>
  <si>
    <t>U06670</t>
  </si>
  <si>
    <t>U06678</t>
  </si>
  <si>
    <t>U06679</t>
  </si>
  <si>
    <t>U06722</t>
  </si>
  <si>
    <t>U06739</t>
  </si>
  <si>
    <t>U06748</t>
  </si>
  <si>
    <t>U06781</t>
  </si>
  <si>
    <t>U06783</t>
  </si>
  <si>
    <t>U06822</t>
  </si>
  <si>
    <t>U06823</t>
  </si>
  <si>
    <t>U06840</t>
  </si>
  <si>
    <t>U06847</t>
  </si>
  <si>
    <t>U06857</t>
  </si>
  <si>
    <t>U06870</t>
  </si>
  <si>
    <t>U06877</t>
  </si>
  <si>
    <t>U06914</t>
  </si>
  <si>
    <t>U06917</t>
  </si>
  <si>
    <t>U06924</t>
  </si>
  <si>
    <t>U06960</t>
  </si>
  <si>
    <t>U06966</t>
  </si>
  <si>
    <t>U07034</t>
  </si>
  <si>
    <t>U07047</t>
  </si>
  <si>
    <t>U07073</t>
  </si>
  <si>
    <t>U07077</t>
  </si>
  <si>
    <t>U07091</t>
  </si>
  <si>
    <t>U07108</t>
  </si>
  <si>
    <t>U07122</t>
  </si>
  <si>
    <t>U07123</t>
  </si>
  <si>
    <t>U07130</t>
  </si>
  <si>
    <t>U07154</t>
  </si>
  <si>
    <t>U07165</t>
  </si>
  <si>
    <t>U07167</t>
  </si>
  <si>
    <t>U07177</t>
  </si>
  <si>
    <t>U07200</t>
  </si>
  <si>
    <t>U07207</t>
  </si>
  <si>
    <t>U07219</t>
  </si>
  <si>
    <t>U07272</t>
  </si>
  <si>
    <t>U07285</t>
  </si>
  <si>
    <t>U07293</t>
  </si>
  <si>
    <t>U07309</t>
  </si>
  <si>
    <t>U07332</t>
  </si>
  <si>
    <t>U07350</t>
  </si>
  <si>
    <t>U07358</t>
  </si>
  <si>
    <t>U07371</t>
  </si>
  <si>
    <t>U07383</t>
  </si>
  <si>
    <t>U07388</t>
  </si>
  <si>
    <t>U07393</t>
  </si>
  <si>
    <t>U07395</t>
  </si>
  <si>
    <t>U07402</t>
  </si>
  <si>
    <t>U07419</t>
  </si>
  <si>
    <t>U07426</t>
  </si>
  <si>
    <t>U07431</t>
  </si>
  <si>
    <t>U07460</t>
  </si>
  <si>
    <t>U07465</t>
  </si>
  <si>
    <t>U07468</t>
  </si>
  <si>
    <t>U07474</t>
  </si>
  <si>
    <t>U07489</t>
  </si>
  <si>
    <t>U07499</t>
  </si>
  <si>
    <t>U07501</t>
  </si>
  <si>
    <t>U07502</t>
  </si>
  <si>
    <t>U07506</t>
  </si>
  <si>
    <t>U07524</t>
  </si>
  <si>
    <t>U07526</t>
  </si>
  <si>
    <t>U07534</t>
  </si>
  <si>
    <t>U07537</t>
  </si>
  <si>
    <t>U07553</t>
  </si>
  <si>
    <t>U07565</t>
  </si>
  <si>
    <t>U07577</t>
  </si>
  <si>
    <t>U07586</t>
  </si>
  <si>
    <t>U07589</t>
  </si>
  <si>
    <t>U07613</t>
  </si>
  <si>
    <t>U07627</t>
  </si>
  <si>
    <t>U07633</t>
  </si>
  <si>
    <t>U07634</t>
  </si>
  <si>
    <t>U07647</t>
  </si>
  <si>
    <t>U07648</t>
  </si>
  <si>
    <t>U07651</t>
  </si>
  <si>
    <t>U07664</t>
  </si>
  <si>
    <t>U07672</t>
  </si>
  <si>
    <t>U07695</t>
  </si>
  <si>
    <t>U07703</t>
  </si>
  <si>
    <t>U07705</t>
  </si>
  <si>
    <t>U07709</t>
  </si>
  <si>
    <t>U07719</t>
  </si>
  <si>
    <t>U07741</t>
  </si>
  <si>
    <t>U07760</t>
  </si>
  <si>
    <t>U07762</t>
  </si>
  <si>
    <t>U07799</t>
  </si>
  <si>
    <t>U07813</t>
  </si>
  <si>
    <t>U07824</t>
  </si>
  <si>
    <t>U07842</t>
  </si>
  <si>
    <t>U07847</t>
  </si>
  <si>
    <t>U07852</t>
  </si>
  <si>
    <t>U07854</t>
  </si>
  <si>
    <t>U07856</t>
  </si>
  <si>
    <t>U07858</t>
  </si>
  <si>
    <t>U07865</t>
  </si>
  <si>
    <t>U07889</t>
  </si>
  <si>
    <t>U07894</t>
  </si>
  <si>
    <t>U07898</t>
  </si>
  <si>
    <t>U07962</t>
  </si>
  <si>
    <t>U07963</t>
  </si>
  <si>
    <t>U07973</t>
  </si>
  <si>
    <t>U08000</t>
  </si>
  <si>
    <t>U08020</t>
  </si>
  <si>
    <t>U08026</t>
  </si>
  <si>
    <t>U08032</t>
  </si>
  <si>
    <t>U08036</t>
  </si>
  <si>
    <t>U08050</t>
  </si>
  <si>
    <t>U08067</t>
  </si>
  <si>
    <t>U08078</t>
  </si>
  <si>
    <t>U08090</t>
  </si>
  <si>
    <t>U08093</t>
  </si>
  <si>
    <t>U08100</t>
  </si>
  <si>
    <t>U08110</t>
  </si>
  <si>
    <t>U08112</t>
  </si>
  <si>
    <t>U08113</t>
  </si>
  <si>
    <t>U08121</t>
  </si>
  <si>
    <t>U08134</t>
  </si>
  <si>
    <t>U08150</t>
  </si>
  <si>
    <t>U08192</t>
  </si>
  <si>
    <t>U08241</t>
  </si>
  <si>
    <t>U08274</t>
  </si>
  <si>
    <t>U08317</t>
  </si>
  <si>
    <t>U08323</t>
  </si>
  <si>
    <t>U08341</t>
  </si>
  <si>
    <t>U08358</t>
  </si>
  <si>
    <t>U08361</t>
  </si>
  <si>
    <t>U08370</t>
  </si>
  <si>
    <t>U08389</t>
  </si>
  <si>
    <t>U08421</t>
  </si>
  <si>
    <t>U08424</t>
  </si>
  <si>
    <t>U08447</t>
  </si>
  <si>
    <t>U08452</t>
  </si>
  <si>
    <t>U08455</t>
  </si>
  <si>
    <t>U08456</t>
  </si>
  <si>
    <t>U08465</t>
  </si>
  <si>
    <t>U08466</t>
  </si>
  <si>
    <t>U08479</t>
  </si>
  <si>
    <t>U08501</t>
  </si>
  <si>
    <t>U08510</t>
  </si>
  <si>
    <t>U08513</t>
  </si>
  <si>
    <t>U08527</t>
  </si>
  <si>
    <t>U08534</t>
  </si>
  <si>
    <t>U08536</t>
  </si>
  <si>
    <t>U08559</t>
  </si>
  <si>
    <t>U08582</t>
  </si>
  <si>
    <t>U08593</t>
  </si>
  <si>
    <t>U08664</t>
  </si>
  <si>
    <t>U08675</t>
  </si>
  <si>
    <t>U08687</t>
  </si>
  <si>
    <t>U08698</t>
  </si>
  <si>
    <t>U08701</t>
  </si>
  <si>
    <t>U08708</t>
  </si>
  <si>
    <t>U08713</t>
  </si>
  <si>
    <t>U08747</t>
  </si>
  <si>
    <t>U08758</t>
  </si>
  <si>
    <t>U08762</t>
  </si>
  <si>
    <t>U08767</t>
  </si>
  <si>
    <t>U08819</t>
  </si>
  <si>
    <t>U08840</t>
  </si>
  <si>
    <t>U08850</t>
  </si>
  <si>
    <t>U08855</t>
  </si>
  <si>
    <t>U08881</t>
  </si>
  <si>
    <t>U08914</t>
  </si>
  <si>
    <t>U08931</t>
  </si>
  <si>
    <t>U08957</t>
  </si>
  <si>
    <t>U08966</t>
  </si>
  <si>
    <t>U08968</t>
  </si>
  <si>
    <t>U08985</t>
  </si>
  <si>
    <t>U09005</t>
  </si>
  <si>
    <t>U09018</t>
  </si>
  <si>
    <t>U09049</t>
  </si>
  <si>
    <t>U09055</t>
  </si>
  <si>
    <t>U09077</t>
  </si>
  <si>
    <t>U09110</t>
  </si>
  <si>
    <t>U09148</t>
  </si>
  <si>
    <t>U09157</t>
  </si>
  <si>
    <t>U09167</t>
  </si>
  <si>
    <t>U09183</t>
  </si>
  <si>
    <t>U09194</t>
  </si>
  <si>
    <t>U09227</t>
  </si>
  <si>
    <t>U09229</t>
  </si>
  <si>
    <t>U09233</t>
  </si>
  <si>
    <t>U09243</t>
  </si>
  <si>
    <t>U09263</t>
  </si>
  <si>
    <t>U09284</t>
  </si>
  <si>
    <t>U09295</t>
  </si>
  <si>
    <t>U09349</t>
  </si>
  <si>
    <t>U09357</t>
  </si>
  <si>
    <t>U09367</t>
  </si>
  <si>
    <t>U09398</t>
  </si>
  <si>
    <t>U09435</t>
  </si>
  <si>
    <t>U09439</t>
  </si>
  <si>
    <t>U09443</t>
  </si>
  <si>
    <t>U09449</t>
  </si>
  <si>
    <t>U09459</t>
  </si>
  <si>
    <t>U09464</t>
  </si>
  <si>
    <t>U09518</t>
  </si>
  <si>
    <t>U09532</t>
  </si>
  <si>
    <t>U09552</t>
  </si>
  <si>
    <t>U09607</t>
  </si>
  <si>
    <t>U09615</t>
  </si>
  <si>
    <t>U09621</t>
  </si>
  <si>
    <t>U09625</t>
  </si>
  <si>
    <t>U09629</t>
  </si>
  <si>
    <t>U09636</t>
  </si>
  <si>
    <t>U09639</t>
  </si>
  <si>
    <t>U09642</t>
  </si>
  <si>
    <t>U09646</t>
  </si>
  <si>
    <t>U09670</t>
  </si>
  <si>
    <t>U09702</t>
  </si>
  <si>
    <t>U09709</t>
  </si>
  <si>
    <t>U09711</t>
  </si>
  <si>
    <t>U09730</t>
  </si>
  <si>
    <t>U09731</t>
  </si>
  <si>
    <t>U09741</t>
  </si>
  <si>
    <t>U09747</t>
  </si>
  <si>
    <t>U09755</t>
  </si>
  <si>
    <t>U09766</t>
  </si>
  <si>
    <t>U09791</t>
  </si>
  <si>
    <t>U09802</t>
  </si>
  <si>
    <t>U09858</t>
  </si>
  <si>
    <t>U09866</t>
  </si>
  <si>
    <t>U09871</t>
  </si>
  <si>
    <t>U09881</t>
  </si>
  <si>
    <t>U09887</t>
  </si>
  <si>
    <t>U09896</t>
  </si>
  <si>
    <t>U09900</t>
  </si>
  <si>
    <t>U09922</t>
  </si>
  <si>
    <t>U09929</t>
  </si>
  <si>
    <t>U09936</t>
  </si>
  <si>
    <t>U09963</t>
  </si>
  <si>
    <t>U09967</t>
  </si>
  <si>
    <t>U09968</t>
  </si>
  <si>
    <t>U09985</t>
  </si>
  <si>
    <t>U09986</t>
  </si>
  <si>
    <t>U09992</t>
  </si>
  <si>
    <t>U10020</t>
  </si>
  <si>
    <t>U10033</t>
  </si>
  <si>
    <t>U10037</t>
  </si>
  <si>
    <t>U10041</t>
  </si>
  <si>
    <t>U10049</t>
  </si>
  <si>
    <t>U10058</t>
  </si>
  <si>
    <t>U10064</t>
  </si>
  <si>
    <t>U10085</t>
  </si>
  <si>
    <t>U10091</t>
  </si>
  <si>
    <t>U10116</t>
  </si>
  <si>
    <t>U10155</t>
  </si>
  <si>
    <t>U10160</t>
  </si>
  <si>
    <t>U10169</t>
  </si>
  <si>
    <t>U10178</t>
  </si>
  <si>
    <t>U10182</t>
  </si>
  <si>
    <t>U10193</t>
  </si>
  <si>
    <t>U10208</t>
  </si>
  <si>
    <t>U10232</t>
  </si>
  <si>
    <t>U10257</t>
  </si>
  <si>
    <t>U10268</t>
  </si>
  <si>
    <t>U10296</t>
  </si>
  <si>
    <t>U10309</t>
  </si>
  <si>
    <t>U10317</t>
  </si>
  <si>
    <t>U10318</t>
  </si>
  <si>
    <t>U10332</t>
  </si>
  <si>
    <t>U10349</t>
  </si>
  <si>
    <t>U10365</t>
  </si>
  <si>
    <t>U10369</t>
  </si>
  <si>
    <t>U10378</t>
  </si>
  <si>
    <t>U10384</t>
  </si>
  <si>
    <t>U10390</t>
  </si>
  <si>
    <t>U10404</t>
  </si>
  <si>
    <t>U10415</t>
  </si>
  <si>
    <t>U10420</t>
  </si>
  <si>
    <t>U10440</t>
  </si>
  <si>
    <t>U10458</t>
  </si>
  <si>
    <t>U10463</t>
  </si>
  <si>
    <t>U10495</t>
  </si>
  <si>
    <t>U10499</t>
  </si>
  <si>
    <t>U10510</t>
  </si>
  <si>
    <t>U10523</t>
  </si>
  <si>
    <t>U10568</t>
  </si>
  <si>
    <t>U10585</t>
  </si>
  <si>
    <t>U10586</t>
  </si>
  <si>
    <t>U10600</t>
  </si>
  <si>
    <t>U10609</t>
  </si>
  <si>
    <t>U10621</t>
  </si>
  <si>
    <t>U10626</t>
  </si>
  <si>
    <t>U10639</t>
  </si>
  <si>
    <t>U10660</t>
  </si>
  <si>
    <t>U10675</t>
  </si>
  <si>
    <t>U10677</t>
  </si>
  <si>
    <t>U10693</t>
  </si>
  <si>
    <t>U10712</t>
  </si>
  <si>
    <t>U10739</t>
  </si>
  <si>
    <t>U10753</t>
  </si>
  <si>
    <t>U10755</t>
  </si>
  <si>
    <t>U10785</t>
  </si>
  <si>
    <t>U10791</t>
  </si>
  <si>
    <t>U10806</t>
  </si>
  <si>
    <t>U10816</t>
  </si>
  <si>
    <t>U10850</t>
  </si>
  <si>
    <t>U10861</t>
  </si>
  <si>
    <t>U10874</t>
  </si>
  <si>
    <t>U10889</t>
  </si>
  <si>
    <t>U10890</t>
  </si>
  <si>
    <t>U10935</t>
  </si>
  <si>
    <t>U10956</t>
  </si>
  <si>
    <t>U10961</t>
  </si>
  <si>
    <t>U10981</t>
  </si>
  <si>
    <t>U11005</t>
  </si>
  <si>
    <t>U11024</t>
  </si>
  <si>
    <t>U11028</t>
  </si>
  <si>
    <t>U11030</t>
  </si>
  <si>
    <t>U11061</t>
  </si>
  <si>
    <t>U11064</t>
  </si>
  <si>
    <t>U11086</t>
  </si>
  <si>
    <t>U11099</t>
  </si>
  <si>
    <t>U11101</t>
  </si>
  <si>
    <t>U11102</t>
  </si>
  <si>
    <t>U11129</t>
  </si>
  <si>
    <t>U11137</t>
  </si>
  <si>
    <t>U11140</t>
  </si>
  <si>
    <t>U11147</t>
  </si>
  <si>
    <t>U11165</t>
  </si>
  <si>
    <t>U11189</t>
  </si>
  <si>
    <t>U11192</t>
  </si>
  <si>
    <t>U11201</t>
  </si>
  <si>
    <t>U11215</t>
  </si>
  <si>
    <t>U11224</t>
  </si>
  <si>
    <t>U11254</t>
  </si>
  <si>
    <t>U11265</t>
  </si>
  <si>
    <t>U11267</t>
  </si>
  <si>
    <t>U11301</t>
  </si>
  <si>
    <t>U11317</t>
  </si>
  <si>
    <t>U11348</t>
  </si>
  <si>
    <t>U11354</t>
  </si>
  <si>
    <t>U11361</t>
  </si>
  <si>
    <t>U11382</t>
  </si>
  <si>
    <t>U11392</t>
  </si>
  <si>
    <t>U11394</t>
  </si>
  <si>
    <t>U11434</t>
  </si>
  <si>
    <t>U11449</t>
  </si>
  <si>
    <t>U11463</t>
  </si>
  <si>
    <t>U11475</t>
  </si>
  <si>
    <t>U11476</t>
  </si>
  <si>
    <t>U11482</t>
  </si>
  <si>
    <t>U11484</t>
  </si>
  <si>
    <t>U11489</t>
  </si>
  <si>
    <t>U11490</t>
  </si>
  <si>
    <t>U11495</t>
  </si>
  <si>
    <t>U11508</t>
  </si>
  <si>
    <t>U11524</t>
  </si>
  <si>
    <t>U11542</t>
  </si>
  <si>
    <t>U11546</t>
  </si>
  <si>
    <t>U11548</t>
  </si>
  <si>
    <t>U11549</t>
  </si>
  <si>
    <t>U11559</t>
  </si>
  <si>
    <t>U11564</t>
  </si>
  <si>
    <t>U11571</t>
  </si>
  <si>
    <t>U11574</t>
  </si>
  <si>
    <t>U11575</t>
  </si>
  <si>
    <t>U11581</t>
  </si>
  <si>
    <t>U11588</t>
  </si>
  <si>
    <t>U11594</t>
  </si>
  <si>
    <t>U11615</t>
  </si>
  <si>
    <t>U11684</t>
  </si>
  <si>
    <t>U11696</t>
  </si>
  <si>
    <t>U11722</t>
  </si>
  <si>
    <t>U11811</t>
  </si>
  <si>
    <t>U11815</t>
  </si>
  <si>
    <t>U11817</t>
  </si>
  <si>
    <t>U11821</t>
  </si>
  <si>
    <t>U11827</t>
  </si>
  <si>
    <t>U11831</t>
  </si>
  <si>
    <t>U11848</t>
  </si>
  <si>
    <t>U11864</t>
  </si>
  <si>
    <t>U11914</t>
  </si>
  <si>
    <t>U11936</t>
  </si>
  <si>
    <t>U11952</t>
  </si>
  <si>
    <t>U11961</t>
  </si>
  <si>
    <t>U11965</t>
  </si>
  <si>
    <t>U11975</t>
  </si>
  <si>
    <t>U11985</t>
  </si>
  <si>
    <t>U11987</t>
  </si>
  <si>
    <t>U11988</t>
  </si>
  <si>
    <t>U12009</t>
  </si>
  <si>
    <t>U12016</t>
  </si>
  <si>
    <t>U12025</t>
  </si>
  <si>
    <t>U12051</t>
  </si>
  <si>
    <t>U12055</t>
  </si>
  <si>
    <t>U12070</t>
  </si>
  <si>
    <t>U12087</t>
  </si>
  <si>
    <t>U12088</t>
  </si>
  <si>
    <t>U12134</t>
  </si>
  <si>
    <t>U12152</t>
  </si>
  <si>
    <t>U12174</t>
  </si>
  <si>
    <t>U12194</t>
  </si>
  <si>
    <t>U12203</t>
  </si>
  <si>
    <t>U12218</t>
  </si>
  <si>
    <t>U12225</t>
  </si>
  <si>
    <t>U12235</t>
  </si>
  <si>
    <t>U12254</t>
  </si>
  <si>
    <t>U12271</t>
  </si>
  <si>
    <t>U12276</t>
  </si>
  <si>
    <t>U12277</t>
  </si>
  <si>
    <t>U12310</t>
  </si>
  <si>
    <t>U12319</t>
  </si>
  <si>
    <t>U12325</t>
  </si>
  <si>
    <t>U12340</t>
  </si>
  <si>
    <t>U12346</t>
  </si>
  <si>
    <t>U12355</t>
  </si>
  <si>
    <t>U12381</t>
  </si>
  <si>
    <t>U12402</t>
  </si>
  <si>
    <t>U12418</t>
  </si>
  <si>
    <t>U12423</t>
  </si>
  <si>
    <t>U12424</t>
  </si>
  <si>
    <t>U12427</t>
  </si>
  <si>
    <t>U12433</t>
  </si>
  <si>
    <t>U12440</t>
  </si>
  <si>
    <t>U12445</t>
  </si>
  <si>
    <t>U12450</t>
  </si>
  <si>
    <t>U12452</t>
  </si>
  <si>
    <t>U12482</t>
  </si>
  <si>
    <t>U12490</t>
  </si>
  <si>
    <t>U12501</t>
  </si>
  <si>
    <t>U12502</t>
  </si>
  <si>
    <t>U12528</t>
  </si>
  <si>
    <t>U12533</t>
  </si>
  <si>
    <t>U12542</t>
  </si>
  <si>
    <t>U12588</t>
  </si>
  <si>
    <t>U12612</t>
  </si>
  <si>
    <t>U12625</t>
  </si>
  <si>
    <t>U12629</t>
  </si>
  <si>
    <t>U12646</t>
  </si>
  <si>
    <t>U12660</t>
  </si>
  <si>
    <t>U12699</t>
  </si>
  <si>
    <t>U12702</t>
  </si>
  <si>
    <t>U12709</t>
  </si>
  <si>
    <t>U12710</t>
  </si>
  <si>
    <t>U12722</t>
  </si>
  <si>
    <t>U12731</t>
  </si>
  <si>
    <t>U12743</t>
  </si>
  <si>
    <t>U12753</t>
  </si>
  <si>
    <t>U12795</t>
  </si>
  <si>
    <t>U12796</t>
  </si>
  <si>
    <t>U12803</t>
  </si>
  <si>
    <t>U12815</t>
  </si>
  <si>
    <t>U12825</t>
  </si>
  <si>
    <t>U12845</t>
  </si>
  <si>
    <t>U12876</t>
  </si>
  <si>
    <t>U12884</t>
  </si>
  <si>
    <t>U12885</t>
  </si>
  <si>
    <t>U12902</t>
  </si>
  <si>
    <t>U12927</t>
  </si>
  <si>
    <t>U12931</t>
  </si>
  <si>
    <t>U12940</t>
  </si>
  <si>
    <t>U12950</t>
  </si>
  <si>
    <t>U12968</t>
  </si>
  <si>
    <t>U12991</t>
  </si>
  <si>
    <t>U12995</t>
  </si>
  <si>
    <t>U13020</t>
  </si>
  <si>
    <t>U13028</t>
  </si>
  <si>
    <t>U13040</t>
  </si>
  <si>
    <t>U13047</t>
  </si>
  <si>
    <t>U13061</t>
  </si>
  <si>
    <t>U13065</t>
  </si>
  <si>
    <t>U13071</t>
  </si>
  <si>
    <t>U13088</t>
  </si>
  <si>
    <t>U13105</t>
  </si>
  <si>
    <t>U13123</t>
  </si>
  <si>
    <t>U13131</t>
  </si>
  <si>
    <t>U13168</t>
  </si>
  <si>
    <t>U13197</t>
  </si>
  <si>
    <t>U13207</t>
  </si>
  <si>
    <t>U13210</t>
  </si>
  <si>
    <t>U13212</t>
  </si>
  <si>
    <t>U13219</t>
  </si>
  <si>
    <t>U13229</t>
  </si>
  <si>
    <t>U13249</t>
  </si>
  <si>
    <t>U13277</t>
  </si>
  <si>
    <t>U13282</t>
  </si>
  <si>
    <t>U13332</t>
  </si>
  <si>
    <t>U13351</t>
  </si>
  <si>
    <t>U13365</t>
  </si>
  <si>
    <t>U13366</t>
  </si>
  <si>
    <t>U13372</t>
  </si>
  <si>
    <t>U13373</t>
  </si>
  <si>
    <t>U13374</t>
  </si>
  <si>
    <t>U13379</t>
  </si>
  <si>
    <t>U13418</t>
  </si>
  <si>
    <t>U13426</t>
  </si>
  <si>
    <t>U13431</t>
  </si>
  <si>
    <t>U13435</t>
  </si>
  <si>
    <t>U13444</t>
  </si>
  <si>
    <t>U13475</t>
  </si>
  <si>
    <t>U13479</t>
  </si>
  <si>
    <t>U13483</t>
  </si>
  <si>
    <t>U13486</t>
  </si>
  <si>
    <t>U13514</t>
  </si>
  <si>
    <t>U13522</t>
  </si>
  <si>
    <t>U13532</t>
  </si>
  <si>
    <t>U13536</t>
  </si>
  <si>
    <t>U13559</t>
  </si>
  <si>
    <t>U13563</t>
  </si>
  <si>
    <t>U13566</t>
  </si>
  <si>
    <t>U13609</t>
  </si>
  <si>
    <t>U13627</t>
  </si>
  <si>
    <t>U13639</t>
  </si>
  <si>
    <t>U13645</t>
  </si>
  <si>
    <t>U13647</t>
  </si>
  <si>
    <t>U13686</t>
  </si>
  <si>
    <t>U13688</t>
  </si>
  <si>
    <t>U13690</t>
  </si>
  <si>
    <t>U13693</t>
  </si>
  <si>
    <t>U13710</t>
  </si>
  <si>
    <t>U13714</t>
  </si>
  <si>
    <t>U13717</t>
  </si>
  <si>
    <t>U13728</t>
  </si>
  <si>
    <t>U13732</t>
  </si>
  <si>
    <t>U13733</t>
  </si>
  <si>
    <t>U13747</t>
  </si>
  <si>
    <t>U13756</t>
  </si>
  <si>
    <t>U13782</t>
  </si>
  <si>
    <t>U13792</t>
  </si>
  <si>
    <t>U13814</t>
  </si>
  <si>
    <t>U13824</t>
  </si>
  <si>
    <t>U13838</t>
  </si>
  <si>
    <t>U13840</t>
  </si>
  <si>
    <t>U13849</t>
  </si>
  <si>
    <t>U13875</t>
  </si>
  <si>
    <t>U13882</t>
  </si>
  <si>
    <t>U13926</t>
  </si>
  <si>
    <t>U13940</t>
  </si>
  <si>
    <t>U13965</t>
  </si>
  <si>
    <t>U13978</t>
  </si>
  <si>
    <t>U13992</t>
  </si>
  <si>
    <t>U14007</t>
  </si>
  <si>
    <t>U14023</t>
  </si>
  <si>
    <t>U14024</t>
  </si>
  <si>
    <t>U14042</t>
  </si>
  <si>
    <t>U14059</t>
  </si>
  <si>
    <t>U14113</t>
  </si>
  <si>
    <t>U14121</t>
  </si>
  <si>
    <t>U14135</t>
  </si>
  <si>
    <t>U14147</t>
  </si>
  <si>
    <t>U14148</t>
  </si>
  <si>
    <t>U14156</t>
  </si>
  <si>
    <t>U14176</t>
  </si>
  <si>
    <t>U14189</t>
  </si>
  <si>
    <t>U14197</t>
  </si>
  <si>
    <t>U14204</t>
  </si>
  <si>
    <t>U14214</t>
  </si>
  <si>
    <t>U14222</t>
  </si>
  <si>
    <t>U14226</t>
  </si>
  <si>
    <t>U14237</t>
  </si>
  <si>
    <t>U14243</t>
  </si>
  <si>
    <t>U14246</t>
  </si>
  <si>
    <t>U14272</t>
  </si>
  <si>
    <t>U14273</t>
  </si>
  <si>
    <t>U14286</t>
  </si>
  <si>
    <t>U14305</t>
  </si>
  <si>
    <t>U14322</t>
  </si>
  <si>
    <t>U14325</t>
  </si>
  <si>
    <t>U14336</t>
  </si>
  <si>
    <t>U14340</t>
  </si>
  <si>
    <t>U14347</t>
  </si>
  <si>
    <t>U14386</t>
  </si>
  <si>
    <t>U14395</t>
  </si>
  <si>
    <t>U14400</t>
  </si>
  <si>
    <t>U14417</t>
  </si>
  <si>
    <t>U14432</t>
  </si>
  <si>
    <t>U14433</t>
  </si>
  <si>
    <t>U14434</t>
  </si>
  <si>
    <t>U14438</t>
  </si>
  <si>
    <t>U14441</t>
  </si>
  <si>
    <t>U14449</t>
  </si>
  <si>
    <t>U14452</t>
  </si>
  <si>
    <t>U14465</t>
  </si>
  <si>
    <t>U14472</t>
  </si>
  <si>
    <t>U14473</t>
  </si>
  <si>
    <t>U14474</t>
  </si>
  <si>
    <t>U14490</t>
  </si>
  <si>
    <t>U14521</t>
  </si>
  <si>
    <t>U14526</t>
  </si>
  <si>
    <t>U14541</t>
  </si>
  <si>
    <t>U14552</t>
  </si>
  <si>
    <t>U14555</t>
  </si>
  <si>
    <t>U14559</t>
  </si>
  <si>
    <t>U14579</t>
  </si>
  <si>
    <t>U14589</t>
  </si>
  <si>
    <t>U14593</t>
  </si>
  <si>
    <t>U14616</t>
  </si>
  <si>
    <t>U14620</t>
  </si>
  <si>
    <t>U14622</t>
  </si>
  <si>
    <t>U14634</t>
  </si>
  <si>
    <t>U14638</t>
  </si>
  <si>
    <t>U14657</t>
  </si>
  <si>
    <t>U14663</t>
  </si>
  <si>
    <t>U14685</t>
  </si>
  <si>
    <t>U14698</t>
  </si>
  <si>
    <t>U14707</t>
  </si>
  <si>
    <t>U14722</t>
  </si>
  <si>
    <t>U14737</t>
  </si>
  <si>
    <t>U14741</t>
  </si>
  <si>
    <t>U14742</t>
  </si>
  <si>
    <t>U14751</t>
  </si>
  <si>
    <t>U14763</t>
  </si>
  <si>
    <t>U14777</t>
  </si>
  <si>
    <t>U14797</t>
  </si>
  <si>
    <t>U14799</t>
  </si>
  <si>
    <t>U14831</t>
  </si>
  <si>
    <t>U14844</t>
  </si>
  <si>
    <t>U14851</t>
  </si>
  <si>
    <t>U14856</t>
  </si>
  <si>
    <t>U14875</t>
  </si>
  <si>
    <t>U14887</t>
  </si>
  <si>
    <t>U14914</t>
  </si>
  <si>
    <t>U14927</t>
  </si>
  <si>
    <t>U14935</t>
  </si>
  <si>
    <t>U14959</t>
  </si>
  <si>
    <t>U14972</t>
  </si>
  <si>
    <t>U14981</t>
  </si>
  <si>
    <t>U14989</t>
  </si>
  <si>
    <t>U15000</t>
  </si>
  <si>
    <t>U15003</t>
  </si>
  <si>
    <t>U15029</t>
  </si>
  <si>
    <t>U15046</t>
  </si>
  <si>
    <t>U15069</t>
  </si>
  <si>
    <t>U15072</t>
  </si>
  <si>
    <t>U15122</t>
  </si>
  <si>
    <t>U15136</t>
  </si>
  <si>
    <t>U15145</t>
  </si>
  <si>
    <t>U15149</t>
  </si>
  <si>
    <t>U15155</t>
  </si>
  <si>
    <t>U15158</t>
  </si>
  <si>
    <t>U15183</t>
  </si>
  <si>
    <t>U15190</t>
  </si>
  <si>
    <t>U15233</t>
  </si>
  <si>
    <t>U15242</t>
  </si>
  <si>
    <t>U15275</t>
  </si>
  <si>
    <t>U15297</t>
  </si>
  <si>
    <t>U15303</t>
  </si>
  <si>
    <t>U15307</t>
  </si>
  <si>
    <t>U15332</t>
  </si>
  <si>
    <t>U15341</t>
  </si>
  <si>
    <t>U15347</t>
  </si>
  <si>
    <t>U15352</t>
  </si>
  <si>
    <t>U15354</t>
  </si>
  <si>
    <t>U15355</t>
  </si>
  <si>
    <t>U15358</t>
  </si>
  <si>
    <t>U15361</t>
  </si>
  <si>
    <t>U15371</t>
  </si>
  <si>
    <t>U15435</t>
  </si>
  <si>
    <t>U15440</t>
  </si>
  <si>
    <t>U15445</t>
  </si>
  <si>
    <t>U15472</t>
  </si>
  <si>
    <t>U15473</t>
  </si>
  <si>
    <t>U15490</t>
  </si>
  <si>
    <t>U15552</t>
  </si>
  <si>
    <t>U15579</t>
  </si>
  <si>
    <t>U15596</t>
  </si>
  <si>
    <t>U15599</t>
  </si>
  <si>
    <t>U15608</t>
  </si>
  <si>
    <t>U15611</t>
  </si>
  <si>
    <t>U15614</t>
  </si>
  <si>
    <t>U15615</t>
  </si>
  <si>
    <t>U15626</t>
  </si>
  <si>
    <t>U15633</t>
  </si>
  <si>
    <t>U15636</t>
  </si>
  <si>
    <t>U15656</t>
  </si>
  <si>
    <t>U15677</t>
  </si>
  <si>
    <t>U15686</t>
  </si>
  <si>
    <t>U15700</t>
  </si>
  <si>
    <t>U15743</t>
  </si>
  <si>
    <t>U15746</t>
  </si>
  <si>
    <t>U15756</t>
  </si>
  <si>
    <t>U15767</t>
  </si>
  <si>
    <t>U15788</t>
  </si>
  <si>
    <t>U15795</t>
  </si>
  <si>
    <t>U15797</t>
  </si>
  <si>
    <t>U15803</t>
  </si>
  <si>
    <t>U15808</t>
  </si>
  <si>
    <t>U15844</t>
  </si>
  <si>
    <t>U15855</t>
  </si>
  <si>
    <t>U15872</t>
  </si>
  <si>
    <t>U15874</t>
  </si>
  <si>
    <t>U15907</t>
  </si>
  <si>
    <t>U15922</t>
  </si>
  <si>
    <t>U15923</t>
  </si>
  <si>
    <t>U15931</t>
  </si>
  <si>
    <t>U15932</t>
  </si>
  <si>
    <t>U15933</t>
  </si>
  <si>
    <t>U15946</t>
  </si>
  <si>
    <t>U15952</t>
  </si>
  <si>
    <t>U15960</t>
  </si>
  <si>
    <t>U15969</t>
  </si>
  <si>
    <t>U15980</t>
  </si>
  <si>
    <t>U15985</t>
  </si>
  <si>
    <t>U16012</t>
  </si>
  <si>
    <t>U16025</t>
  </si>
  <si>
    <t>U16053</t>
  </si>
  <si>
    <t>U16071</t>
  </si>
  <si>
    <t>U16084</t>
  </si>
  <si>
    <t>U16085</t>
  </si>
  <si>
    <t>U16097</t>
  </si>
  <si>
    <t>U16119</t>
  </si>
  <si>
    <t>U16126</t>
  </si>
  <si>
    <t>U16132</t>
  </si>
  <si>
    <t>U16134</t>
  </si>
  <si>
    <t>U16135</t>
  </si>
  <si>
    <t>U16139</t>
  </si>
  <si>
    <t>U16163</t>
  </si>
  <si>
    <t>U16167</t>
  </si>
  <si>
    <t>U16178</t>
  </si>
  <si>
    <t>U16182</t>
  </si>
  <si>
    <t>U16198</t>
  </si>
  <si>
    <t>U16222</t>
  </si>
  <si>
    <t>U16225</t>
  </si>
  <si>
    <t>U16233</t>
  </si>
  <si>
    <t>U16249</t>
  </si>
  <si>
    <t>U16251</t>
  </si>
  <si>
    <t>U16275</t>
  </si>
  <si>
    <t>U16276</t>
  </si>
  <si>
    <t>U16281</t>
  </si>
  <si>
    <t>U16282</t>
  </si>
  <si>
    <t>U16305</t>
  </si>
  <si>
    <t>U16312</t>
  </si>
  <si>
    <t>U16320</t>
  </si>
  <si>
    <t>U16329</t>
  </si>
  <si>
    <t>U16350</t>
  </si>
  <si>
    <t>U16352</t>
  </si>
  <si>
    <t>U16367</t>
  </si>
  <si>
    <t>U16368</t>
  </si>
  <si>
    <t>U16381</t>
  </si>
  <si>
    <t>U16389</t>
  </si>
  <si>
    <t>U16400</t>
  </si>
  <si>
    <t>U16401</t>
  </si>
  <si>
    <t>U16407</t>
  </si>
  <si>
    <t>U16427</t>
  </si>
  <si>
    <t>U16447</t>
  </si>
  <si>
    <t>U16450</t>
  </si>
  <si>
    <t>U16467</t>
  </si>
  <si>
    <t>U16474</t>
  </si>
  <si>
    <t>U16481</t>
  </si>
  <si>
    <t>U16526</t>
  </si>
  <si>
    <t>U16532</t>
  </si>
  <si>
    <t>U16534</t>
  </si>
  <si>
    <t>U16536</t>
  </si>
  <si>
    <t>U16558</t>
  </si>
  <si>
    <t>U16562</t>
  </si>
  <si>
    <t>U16571</t>
  </si>
  <si>
    <t>U16572</t>
  </si>
  <si>
    <t>U16632</t>
  </si>
  <si>
    <t>U16634</t>
  </si>
  <si>
    <t>U16638</t>
  </si>
  <si>
    <t>U16656</t>
  </si>
  <si>
    <t>U16671</t>
  </si>
  <si>
    <t>U16700</t>
  </si>
  <si>
    <t>U16702</t>
  </si>
  <si>
    <t>U16727</t>
  </si>
  <si>
    <t>U16736</t>
  </si>
  <si>
    <t>U16739</t>
  </si>
  <si>
    <t>U16747</t>
  </si>
  <si>
    <t>U16771</t>
  </si>
  <si>
    <t>U16781</t>
  </si>
  <si>
    <t>U16835</t>
  </si>
  <si>
    <t>U16845</t>
  </si>
  <si>
    <t>U16856</t>
  </si>
  <si>
    <t>U16870</t>
  </si>
  <si>
    <t>U16905</t>
  </si>
  <si>
    <t>U16924</t>
  </si>
  <si>
    <t>U16940</t>
  </si>
  <si>
    <t>U16941</t>
  </si>
  <si>
    <t>U16944</t>
  </si>
  <si>
    <t>U16953</t>
  </si>
  <si>
    <t>U16965</t>
  </si>
  <si>
    <t>U16969</t>
  </si>
  <si>
    <t>U16974</t>
  </si>
  <si>
    <t>U16975</t>
  </si>
  <si>
    <t>U16979</t>
  </si>
  <si>
    <t>U16995</t>
  </si>
  <si>
    <t>U17037</t>
  </si>
  <si>
    <t>U17043</t>
  </si>
  <si>
    <t>U17052</t>
  </si>
  <si>
    <t>U17056</t>
  </si>
  <si>
    <t>U17067</t>
  </si>
  <si>
    <t>U17086</t>
  </si>
  <si>
    <t>U17090</t>
  </si>
  <si>
    <t>U17106</t>
  </si>
  <si>
    <t>U17107</t>
  </si>
  <si>
    <t>U17152</t>
  </si>
  <si>
    <t>U17162</t>
  </si>
  <si>
    <t>U17167</t>
  </si>
  <si>
    <t>U17179</t>
  </si>
  <si>
    <t>U17210</t>
  </si>
  <si>
    <t>U17215</t>
  </si>
  <si>
    <t>U17228</t>
  </si>
  <si>
    <t>U17243</t>
  </si>
  <si>
    <t>U17244</t>
  </si>
  <si>
    <t>U17269</t>
  </si>
  <si>
    <t>U17277</t>
  </si>
  <si>
    <t>U17278</t>
  </si>
  <si>
    <t>U17298</t>
  </si>
  <si>
    <t>U17299</t>
  </si>
  <si>
    <t>U17364</t>
  </si>
  <si>
    <t>U17369</t>
  </si>
  <si>
    <t>U17370</t>
  </si>
  <si>
    <t>U17374</t>
  </si>
  <si>
    <t>U17387</t>
  </si>
  <si>
    <t>U17390</t>
  </si>
  <si>
    <t>U17391</t>
  </si>
  <si>
    <t>U17413</t>
  </si>
  <si>
    <t>U17421</t>
  </si>
  <si>
    <t>U17433</t>
  </si>
  <si>
    <t>U17434</t>
  </si>
  <si>
    <t>U17441</t>
  </si>
  <si>
    <t>U17442</t>
  </si>
  <si>
    <t>U17475</t>
  </si>
  <si>
    <t>U17477</t>
  </si>
  <si>
    <t>U17483</t>
  </si>
  <si>
    <t>U17498</t>
  </si>
  <si>
    <t>U17510</t>
  </si>
  <si>
    <t>U17511</t>
  </si>
  <si>
    <t>U17525</t>
  </si>
  <si>
    <t>U17531</t>
  </si>
  <si>
    <t>U17540</t>
  </si>
  <si>
    <t>U17542</t>
  </si>
  <si>
    <t>U17564</t>
  </si>
  <si>
    <t>U17565</t>
  </si>
  <si>
    <t>U17574</t>
  </si>
  <si>
    <t>U17575</t>
  </si>
  <si>
    <t>U17598</t>
  </si>
  <si>
    <t>U17602</t>
  </si>
  <si>
    <t>U17622</t>
  </si>
  <si>
    <t>U17626</t>
  </si>
  <si>
    <t>U17631</t>
  </si>
  <si>
    <t>U17640</t>
  </si>
  <si>
    <t>U17648</t>
  </si>
  <si>
    <t>U17651</t>
  </si>
  <si>
    <t>U17654</t>
  </si>
  <si>
    <t>U17662</t>
  </si>
  <si>
    <t>U17664</t>
  </si>
  <si>
    <t>U17691</t>
  </si>
  <si>
    <t>U17704</t>
  </si>
  <si>
    <t>U17715</t>
  </si>
  <si>
    <t>U17717</t>
  </si>
  <si>
    <t>U17721</t>
  </si>
  <si>
    <t>U17735</t>
  </si>
  <si>
    <t>U17742</t>
  </si>
  <si>
    <t>U17774</t>
  </si>
  <si>
    <t>U17778</t>
  </si>
  <si>
    <t>U17781</t>
  </si>
  <si>
    <t>U17794</t>
  </si>
  <si>
    <t>U17800</t>
  </si>
  <si>
    <t>U17828</t>
  </si>
  <si>
    <t>U17847</t>
  </si>
  <si>
    <t>U17849</t>
  </si>
  <si>
    <t>U17857</t>
  </si>
  <si>
    <t>U17894</t>
  </si>
  <si>
    <t>U17919</t>
  </si>
  <si>
    <t>U17946</t>
  </si>
  <si>
    <t>U17947</t>
  </si>
  <si>
    <t>U17954</t>
  </si>
  <si>
    <t>U17964</t>
  </si>
  <si>
    <t>U17975</t>
  </si>
  <si>
    <t>U18008</t>
  </si>
  <si>
    <t>U18014</t>
  </si>
  <si>
    <t>U18015</t>
  </si>
  <si>
    <t>U18017</t>
  </si>
  <si>
    <t>U18032</t>
  </si>
  <si>
    <t>U18035</t>
  </si>
  <si>
    <t>U18047</t>
  </si>
  <si>
    <t>U18060</t>
  </si>
  <si>
    <t>U18094</t>
  </si>
  <si>
    <t>U18097</t>
  </si>
  <si>
    <t>U18100</t>
  </si>
  <si>
    <t>U18104</t>
  </si>
  <si>
    <t>U18130</t>
  </si>
  <si>
    <t>U18149</t>
  </si>
  <si>
    <t>U18152</t>
  </si>
  <si>
    <t>U18173</t>
  </si>
  <si>
    <t>U18190</t>
  </si>
  <si>
    <t>U18204</t>
  </si>
  <si>
    <t>U18210</t>
  </si>
  <si>
    <t>U18246</t>
  </si>
  <si>
    <t>U18257</t>
  </si>
  <si>
    <t>U18285</t>
  </si>
  <si>
    <t>U18286</t>
  </si>
  <si>
    <t>U18290</t>
  </si>
  <si>
    <t>U18292</t>
  </si>
  <si>
    <t>U18307</t>
  </si>
  <si>
    <t>U18322</t>
  </si>
  <si>
    <t>U18341</t>
  </si>
  <si>
    <t>U18364</t>
  </si>
  <si>
    <t>U18366</t>
  </si>
  <si>
    <t>U18368</t>
  </si>
  <si>
    <t>U18408</t>
  </si>
  <si>
    <t>U18412</t>
  </si>
  <si>
    <t>U18416</t>
  </si>
  <si>
    <t>U18426</t>
  </si>
  <si>
    <t>U18431</t>
  </si>
  <si>
    <t>U18448</t>
  </si>
  <si>
    <t>U18449</t>
  </si>
  <si>
    <t>U18452</t>
  </si>
  <si>
    <t>U18472</t>
  </si>
  <si>
    <t>U18497</t>
  </si>
  <si>
    <t>U18515</t>
  </si>
  <si>
    <t>U18518</t>
  </si>
  <si>
    <t>U18529</t>
  </si>
  <si>
    <t>U18551</t>
  </si>
  <si>
    <t>U18554</t>
  </si>
  <si>
    <t>U18558</t>
  </si>
  <si>
    <t>U18580</t>
  </si>
  <si>
    <t>U18599</t>
  </si>
  <si>
    <t>U18613</t>
  </si>
  <si>
    <t>U18637</t>
  </si>
  <si>
    <t>U18688</t>
  </si>
  <si>
    <t>U18690</t>
  </si>
  <si>
    <t>U18708</t>
  </si>
  <si>
    <t>U18724</t>
  </si>
  <si>
    <t>U18752</t>
  </si>
  <si>
    <t>U18758</t>
  </si>
  <si>
    <t>U18767</t>
  </si>
  <si>
    <t>U18768</t>
  </si>
  <si>
    <t>U18773</t>
  </si>
  <si>
    <t>U18783</t>
  </si>
  <si>
    <t>U18798</t>
  </si>
  <si>
    <t>U18833</t>
  </si>
  <si>
    <t>U18836</t>
  </si>
  <si>
    <t>U18846</t>
  </si>
  <si>
    <t>U18855</t>
  </si>
  <si>
    <t>U18856</t>
  </si>
  <si>
    <t>U18884</t>
  </si>
  <si>
    <t>U18885</t>
  </si>
  <si>
    <t>U18900</t>
  </si>
  <si>
    <t>U18906</t>
  </si>
  <si>
    <t>U18912</t>
  </si>
  <si>
    <t>U18917</t>
  </si>
  <si>
    <t>U18922</t>
  </si>
  <si>
    <t>U18923</t>
  </si>
  <si>
    <t>U18958</t>
  </si>
  <si>
    <t>U18969</t>
  </si>
  <si>
    <t>U18971</t>
  </si>
  <si>
    <t>U18995</t>
  </si>
  <si>
    <t>U19016</t>
  </si>
  <si>
    <t>U19046</t>
  </si>
  <si>
    <t>U19052</t>
  </si>
  <si>
    <t>U19063</t>
  </si>
  <si>
    <t>U19069</t>
  </si>
  <si>
    <t>U19074</t>
  </si>
  <si>
    <t>U19097</t>
  </si>
  <si>
    <t>U19122</t>
  </si>
  <si>
    <t>U19230</t>
  </si>
  <si>
    <t>U19236</t>
  </si>
  <si>
    <t>U19247</t>
  </si>
  <si>
    <t>U19250</t>
  </si>
  <si>
    <t>U19290</t>
  </si>
  <si>
    <t>U19316</t>
  </si>
  <si>
    <t>U19324</t>
  </si>
  <si>
    <t>U19326</t>
  </si>
  <si>
    <t>U19333</t>
  </si>
  <si>
    <t>U19335</t>
  </si>
  <si>
    <t>U19342</t>
  </si>
  <si>
    <t>U19352</t>
  </si>
  <si>
    <t>U19357</t>
  </si>
  <si>
    <t>U19382</t>
  </si>
  <si>
    <t>U19386</t>
  </si>
  <si>
    <t>U19389</t>
  </si>
  <si>
    <t>U19395</t>
  </si>
  <si>
    <t>U19407</t>
  </si>
  <si>
    <t>U19412</t>
  </si>
  <si>
    <t>U19427</t>
  </si>
  <si>
    <t>U19434</t>
  </si>
  <si>
    <t>U19444</t>
  </si>
  <si>
    <t>U19451</t>
  </si>
  <si>
    <t>U19461</t>
  </si>
  <si>
    <t>U19464</t>
  </si>
  <si>
    <t>U19482</t>
  </si>
  <si>
    <t>U19488</t>
  </si>
  <si>
    <t>U19501</t>
  </si>
  <si>
    <t>U19505</t>
  </si>
  <si>
    <t>U19536</t>
  </si>
  <si>
    <t>U19553</t>
  </si>
  <si>
    <t>U19562</t>
  </si>
  <si>
    <t>U19567</t>
  </si>
  <si>
    <t>U19590</t>
  </si>
  <si>
    <t>U19594</t>
  </si>
  <si>
    <t>U19595</t>
  </si>
  <si>
    <t>U19599</t>
  </si>
  <si>
    <t>U19613</t>
  </si>
  <si>
    <t>U19636</t>
  </si>
  <si>
    <t>U19653</t>
  </si>
  <si>
    <t>U19670</t>
  </si>
  <si>
    <t>U19684</t>
  </si>
  <si>
    <t>U19686</t>
  </si>
  <si>
    <t>U19687</t>
  </si>
  <si>
    <t>U19700</t>
  </si>
  <si>
    <t>U19703</t>
  </si>
  <si>
    <t>U19706</t>
  </si>
  <si>
    <t>U19714</t>
  </si>
  <si>
    <t>U19756</t>
  </si>
  <si>
    <t>U19771</t>
  </si>
  <si>
    <t>U19776</t>
  </si>
  <si>
    <t>U19779</t>
  </si>
  <si>
    <t>U19788</t>
  </si>
  <si>
    <t>U19811</t>
  </si>
  <si>
    <t>U19816</t>
  </si>
  <si>
    <t>U19818</t>
  </si>
  <si>
    <t>U19892</t>
  </si>
  <si>
    <t>U19901</t>
  </si>
  <si>
    <t>U19914</t>
  </si>
  <si>
    <t>U19915</t>
  </si>
  <si>
    <t>U19920</t>
  </si>
  <si>
    <t>U19938</t>
  </si>
  <si>
    <t>U19943</t>
  </si>
  <si>
    <t>U19956</t>
  </si>
  <si>
    <t>U19969</t>
  </si>
  <si>
    <t>U19974</t>
  </si>
  <si>
    <t>U19979</t>
  </si>
  <si>
    <t>U19996</t>
  </si>
  <si>
    <t>U19997</t>
  </si>
  <si>
    <t>U20000</t>
  </si>
  <si>
    <t>U20003</t>
  </si>
  <si>
    <t>U20029</t>
  </si>
  <si>
    <t>U20046</t>
  </si>
  <si>
    <t>U20057</t>
  </si>
  <si>
    <t>U20068</t>
  </si>
  <si>
    <t>U20071</t>
  </si>
  <si>
    <t>U20072</t>
  </si>
  <si>
    <t>U20093</t>
  </si>
  <si>
    <t>U20131</t>
  </si>
  <si>
    <t>U20148</t>
  </si>
  <si>
    <t>U20178</t>
  </si>
  <si>
    <t>U20183</t>
  </si>
  <si>
    <t>U20198</t>
  </si>
  <si>
    <t>U20213</t>
  </si>
  <si>
    <t>U20239</t>
  </si>
  <si>
    <t>U20241</t>
  </si>
  <si>
    <t>U20275</t>
  </si>
  <si>
    <t>U20276</t>
  </si>
  <si>
    <t>U20301</t>
  </si>
  <si>
    <t>U20318</t>
  </si>
  <si>
    <t>U20320</t>
  </si>
  <si>
    <t>U20333</t>
  </si>
  <si>
    <t>U20344</t>
  </si>
  <si>
    <t>U20366</t>
  </si>
  <si>
    <t>U20373</t>
  </si>
  <si>
    <t>U20396</t>
  </si>
  <si>
    <t>U20405</t>
  </si>
  <si>
    <t>U20431</t>
  </si>
  <si>
    <t>U20455</t>
  </si>
  <si>
    <t>U20462</t>
  </si>
  <si>
    <t>U20466</t>
  </si>
  <si>
    <t>U20475</t>
  </si>
  <si>
    <t>U20488</t>
  </si>
  <si>
    <t>U20490</t>
  </si>
  <si>
    <t>U20496</t>
  </si>
  <si>
    <t>U20512</t>
  </si>
  <si>
    <t>U20534</t>
  </si>
  <si>
    <t>U20542</t>
  </si>
  <si>
    <t>U20543</t>
  </si>
  <si>
    <t>U20566</t>
  </si>
  <si>
    <t>U20567</t>
  </si>
  <si>
    <t>U20569</t>
  </si>
  <si>
    <t>U20585</t>
  </si>
  <si>
    <t>U20593</t>
  </si>
  <si>
    <t>U20598</t>
  </si>
  <si>
    <t>U20610</t>
  </si>
  <si>
    <t>U20628</t>
  </si>
  <si>
    <t>U20650</t>
  </si>
  <si>
    <t>U20651</t>
  </si>
  <si>
    <t>U20665</t>
  </si>
  <si>
    <t>U20676</t>
  </si>
  <si>
    <t>U20695</t>
  </si>
  <si>
    <t>U20710</t>
  </si>
  <si>
    <t>U20724</t>
  </si>
  <si>
    <t>U20741</t>
  </si>
  <si>
    <t>U20748</t>
  </si>
  <si>
    <t>U20753</t>
  </si>
  <si>
    <t>U20758</t>
  </si>
  <si>
    <t>U20765</t>
  </si>
  <si>
    <t>U20769</t>
  </si>
  <si>
    <t>U20776</t>
  </si>
  <si>
    <t>U20795</t>
  </si>
  <si>
    <t>U20798</t>
  </si>
  <si>
    <t>U20807</t>
  </si>
  <si>
    <t>U20811</t>
  </si>
  <si>
    <t>U20813</t>
  </si>
  <si>
    <t>U20837</t>
  </si>
  <si>
    <t>U20858</t>
  </si>
  <si>
    <t>U20861</t>
  </si>
  <si>
    <t>U20870</t>
  </si>
  <si>
    <t>U20953</t>
  </si>
  <si>
    <t>U20987</t>
  </si>
  <si>
    <t>U20996</t>
  </si>
  <si>
    <t>U21014</t>
  </si>
  <si>
    <t>U21060</t>
  </si>
  <si>
    <t>U21062</t>
  </si>
  <si>
    <t>U21077</t>
  </si>
  <si>
    <t>U21081</t>
  </si>
  <si>
    <t>U21089</t>
  </si>
  <si>
    <t>U21095</t>
  </si>
  <si>
    <t>U21104</t>
  </si>
  <si>
    <t>U21115</t>
  </si>
  <si>
    <t>U21157</t>
  </si>
  <si>
    <t>U21160</t>
  </si>
  <si>
    <t>U21171</t>
  </si>
  <si>
    <t>U21181</t>
  </si>
  <si>
    <t>U21184</t>
  </si>
  <si>
    <t>U21214</t>
  </si>
  <si>
    <t>U21220</t>
  </si>
  <si>
    <t>U21249</t>
  </si>
  <si>
    <t>U21258</t>
  </si>
  <si>
    <t>U21272</t>
  </si>
  <si>
    <t>U21279</t>
  </si>
  <si>
    <t>U21312</t>
  </si>
  <si>
    <t>U21316</t>
  </si>
  <si>
    <t>U21320</t>
  </si>
  <si>
    <t>U21326</t>
  </si>
  <si>
    <t>U21382</t>
  </si>
  <si>
    <t>U21385</t>
  </si>
  <si>
    <t>U21403</t>
  </si>
  <si>
    <t>U21436</t>
  </si>
  <si>
    <t>U21452</t>
  </si>
  <si>
    <t>U21484</t>
  </si>
  <si>
    <t>U21485</t>
  </si>
  <si>
    <t>U21498</t>
  </si>
  <si>
    <t>U21516</t>
  </si>
  <si>
    <t>U21521</t>
  </si>
  <si>
    <t>U21598</t>
  </si>
  <si>
    <t>U21617</t>
  </si>
  <si>
    <t>U21624</t>
  </si>
  <si>
    <t>U21627</t>
  </si>
  <si>
    <t>U21647</t>
  </si>
  <si>
    <t>U21690</t>
  </si>
  <si>
    <t>U21696</t>
  </si>
  <si>
    <t>U21698</t>
  </si>
  <si>
    <t>U21702</t>
  </si>
  <si>
    <t>U21706</t>
  </si>
  <si>
    <t>U21710</t>
  </si>
  <si>
    <t>U21712</t>
  </si>
  <si>
    <t>U21713</t>
  </si>
  <si>
    <t>U21722</t>
  </si>
  <si>
    <t>U21728</t>
  </si>
  <si>
    <t>U21755</t>
  </si>
  <si>
    <t>U21764</t>
  </si>
  <si>
    <t>U21768</t>
  </si>
  <si>
    <t>U21796</t>
  </si>
  <si>
    <t>U21805</t>
  </si>
  <si>
    <t>U21818</t>
  </si>
  <si>
    <t>U21819</t>
  </si>
  <si>
    <t>U21832</t>
  </si>
  <si>
    <t>U21876</t>
  </si>
  <si>
    <t>U21884</t>
  </si>
  <si>
    <t>U21885</t>
  </si>
  <si>
    <t>U21886</t>
  </si>
  <si>
    <t>U21891</t>
  </si>
  <si>
    <t>U21894</t>
  </si>
  <si>
    <t>U21901</t>
  </si>
  <si>
    <t>U21923</t>
  </si>
  <si>
    <t>U21927</t>
  </si>
  <si>
    <t>U21939</t>
  </si>
  <si>
    <t>U21953</t>
  </si>
  <si>
    <t>U21956</t>
  </si>
  <si>
    <t>U21962</t>
  </si>
  <si>
    <t>U21967</t>
  </si>
  <si>
    <t>U21971</t>
  </si>
  <si>
    <t>U21976</t>
  </si>
  <si>
    <t>U21981</t>
  </si>
  <si>
    <t>U21989</t>
  </si>
  <si>
    <t>U21999</t>
  </si>
  <si>
    <t>U22011</t>
  </si>
  <si>
    <t>U22012</t>
  </si>
  <si>
    <t>U22040</t>
  </si>
  <si>
    <t>U22069</t>
  </si>
  <si>
    <t>U22074</t>
  </si>
  <si>
    <t>U22087</t>
  </si>
  <si>
    <t>U22094</t>
  </si>
  <si>
    <t>U22117</t>
  </si>
  <si>
    <t>U22118</t>
  </si>
  <si>
    <t>U22120</t>
  </si>
  <si>
    <t>U22131</t>
  </si>
  <si>
    <t>U22159</t>
  </si>
  <si>
    <t>U22172</t>
  </si>
  <si>
    <t>U22173</t>
  </si>
  <si>
    <t>U22190</t>
  </si>
  <si>
    <t>U22201</t>
  </si>
  <si>
    <t>U22204</t>
  </si>
  <si>
    <t>U22213</t>
  </si>
  <si>
    <t>U22246</t>
  </si>
  <si>
    <t>U22264</t>
  </si>
  <si>
    <t>U22288</t>
  </si>
  <si>
    <t>U22297</t>
  </si>
  <si>
    <t>U22308</t>
  </si>
  <si>
    <t>U22309</t>
  </si>
  <si>
    <t>U22321</t>
  </si>
  <si>
    <t>U22345</t>
  </si>
  <si>
    <t>U22347</t>
  </si>
  <si>
    <t>U22351</t>
  </si>
  <si>
    <t>U22361</t>
  </si>
  <si>
    <t>U22362</t>
  </si>
  <si>
    <t>U22384</t>
  </si>
  <si>
    <t>U22399</t>
  </si>
  <si>
    <t>U22401</t>
  </si>
  <si>
    <t>U22448</t>
  </si>
  <si>
    <t>U22460</t>
  </si>
  <si>
    <t>U22461</t>
  </si>
  <si>
    <t>U22467</t>
  </si>
  <si>
    <t>U22468</t>
  </si>
  <si>
    <t>U22481</t>
  </si>
  <si>
    <t>U22482</t>
  </si>
  <si>
    <t>U22513</t>
  </si>
  <si>
    <t>U22520</t>
  </si>
  <si>
    <t>U22522</t>
  </si>
  <si>
    <t>U22529</t>
  </si>
  <si>
    <t>U22531</t>
  </si>
  <si>
    <t>U22540</t>
  </si>
  <si>
    <t>U22543</t>
  </si>
  <si>
    <t>U22549</t>
  </si>
  <si>
    <t>U22554</t>
  </si>
  <si>
    <t>U22556</t>
  </si>
  <si>
    <t>U22566</t>
  </si>
  <si>
    <t>U22591</t>
  </si>
  <si>
    <t>U22601</t>
  </si>
  <si>
    <t>U22620</t>
  </si>
  <si>
    <t>U22621</t>
  </si>
  <si>
    <t>U22625</t>
  </si>
  <si>
    <t>U22629</t>
  </si>
  <si>
    <t>U22634</t>
  </si>
  <si>
    <t>U22661</t>
  </si>
  <si>
    <t>U22663</t>
  </si>
  <si>
    <t>U22664</t>
  </si>
  <si>
    <t>U22668</t>
  </si>
  <si>
    <t>U22672</t>
  </si>
  <si>
    <t>U22673</t>
  </si>
  <si>
    <t>U22679</t>
  </si>
  <si>
    <t>U22719</t>
  </si>
  <si>
    <t>U22732</t>
  </si>
  <si>
    <t>U22733</t>
  </si>
  <si>
    <t>U22756</t>
  </si>
  <si>
    <t>U22758</t>
  </si>
  <si>
    <t>U22768</t>
  </si>
  <si>
    <t>U22771</t>
  </si>
  <si>
    <t>U22788</t>
  </si>
  <si>
    <t>U22806</t>
  </si>
  <si>
    <t>U22813</t>
  </si>
  <si>
    <t>U22837</t>
  </si>
  <si>
    <t>U22839</t>
  </si>
  <si>
    <t>U22843</t>
  </si>
  <si>
    <t>U22853</t>
  </si>
  <si>
    <t>U22871</t>
  </si>
  <si>
    <t>U22886</t>
  </si>
  <si>
    <t>U22889</t>
  </si>
  <si>
    <t>U22901</t>
  </si>
  <si>
    <t>U22908</t>
  </si>
  <si>
    <t>U22911</t>
  </si>
  <si>
    <t>U22918</t>
  </si>
  <si>
    <t>U22935</t>
  </si>
  <si>
    <t>U22945</t>
  </si>
  <si>
    <t>U22947</t>
  </si>
  <si>
    <t>U22950</t>
  </si>
  <si>
    <t>U22963</t>
  </si>
  <si>
    <t>U22968</t>
  </si>
  <si>
    <t>U22974</t>
  </si>
  <si>
    <t>U22983</t>
  </si>
  <si>
    <t>U22991</t>
  </si>
  <si>
    <t>U22994</t>
  </si>
  <si>
    <t>U23016</t>
  </si>
  <si>
    <t>U23041</t>
  </si>
  <si>
    <t>U23046</t>
  </si>
  <si>
    <t>U23085</t>
  </si>
  <si>
    <t>U23104</t>
  </si>
  <si>
    <t>U23105</t>
  </si>
  <si>
    <t>U23110</t>
  </si>
  <si>
    <t>U23111</t>
  </si>
  <si>
    <t>U23113</t>
  </si>
  <si>
    <t>U23115</t>
  </si>
  <si>
    <t>U23121</t>
  </si>
  <si>
    <t>U23130</t>
  </si>
  <si>
    <t>U23148</t>
  </si>
  <si>
    <t>U23165</t>
  </si>
  <si>
    <t>U23183</t>
  </si>
  <si>
    <t>U23198</t>
  </si>
  <si>
    <t>U23204</t>
  </si>
  <si>
    <t>U23212</t>
  </si>
  <si>
    <t>U23213</t>
  </si>
  <si>
    <t>U23227</t>
  </si>
  <si>
    <t>U23233</t>
  </si>
  <si>
    <t>U23249</t>
  </si>
  <si>
    <t>U23250</t>
  </si>
  <si>
    <t>U23260</t>
  </si>
  <si>
    <t>U23278</t>
  </si>
  <si>
    <t>U23281</t>
  </si>
  <si>
    <t>U23310</t>
  </si>
  <si>
    <t>U23311</t>
  </si>
  <si>
    <t>U23316</t>
  </si>
  <si>
    <t>U23339</t>
  </si>
  <si>
    <t>U23354</t>
  </si>
  <si>
    <t>U23368</t>
  </si>
  <si>
    <t>U23370</t>
  </si>
  <si>
    <t>U23376</t>
  </si>
  <si>
    <t>U23388</t>
  </si>
  <si>
    <t>U23394</t>
  </si>
  <si>
    <t>U23400</t>
  </si>
  <si>
    <t>U23412</t>
  </si>
  <si>
    <t>U23441</t>
  </si>
  <si>
    <t>U23443</t>
  </si>
  <si>
    <t>U23461</t>
  </si>
  <si>
    <t>U23471</t>
  </si>
  <si>
    <t>U23479</t>
  </si>
  <si>
    <t>U23492</t>
  </si>
  <si>
    <t>U23517</t>
  </si>
  <si>
    <t>U23519</t>
  </si>
  <si>
    <t>U23522</t>
  </si>
  <si>
    <t>U23524</t>
  </si>
  <si>
    <t>U23529</t>
  </si>
  <si>
    <t>U23541</t>
  </si>
  <si>
    <t>U23543</t>
  </si>
  <si>
    <t>U23577</t>
  </si>
  <si>
    <t>U23578</t>
  </si>
  <si>
    <t>U23594</t>
  </si>
  <si>
    <t>U23601</t>
  </si>
  <si>
    <t>U23605</t>
  </si>
  <si>
    <t>U23624</t>
  </si>
  <si>
    <t>U23636</t>
  </si>
  <si>
    <t>U23669</t>
  </si>
  <si>
    <t>U23681</t>
  </si>
  <si>
    <t>U23683</t>
  </si>
  <si>
    <t>U23733</t>
  </si>
  <si>
    <t>U23744</t>
  </si>
  <si>
    <t>U23762</t>
  </si>
  <si>
    <t>U23765</t>
  </si>
  <si>
    <t>U23776</t>
  </si>
  <si>
    <t>U23793</t>
  </si>
  <si>
    <t>U23794</t>
  </si>
  <si>
    <t>U23818</t>
  </si>
  <si>
    <t>U23821</t>
  </si>
  <si>
    <t>U23830</t>
  </si>
  <si>
    <t>U23845</t>
  </si>
  <si>
    <t>U23859</t>
  </si>
  <si>
    <t>U23865</t>
  </si>
  <si>
    <t>U23886</t>
  </si>
  <si>
    <t>U23903</t>
  </si>
  <si>
    <t>U23904</t>
  </si>
  <si>
    <t>U23912</t>
  </si>
  <si>
    <t>U23926</t>
  </si>
  <si>
    <t>U23953</t>
  </si>
  <si>
    <t>U23955</t>
  </si>
  <si>
    <t>U24005</t>
  </si>
  <si>
    <t>U24009</t>
  </si>
  <si>
    <t>U24010</t>
  </si>
  <si>
    <t>U24016</t>
  </si>
  <si>
    <t>U24020</t>
  </si>
  <si>
    <t>U24057</t>
  </si>
  <si>
    <t>U24094</t>
  </si>
  <si>
    <t>U24110</t>
  </si>
  <si>
    <t>U24120</t>
  </si>
  <si>
    <t>U24152</t>
  </si>
  <si>
    <t>U24157</t>
  </si>
  <si>
    <t>U24162</t>
  </si>
  <si>
    <t>U24173</t>
  </si>
  <si>
    <t>U24196</t>
  </si>
  <si>
    <t>U24213</t>
  </si>
  <si>
    <t>U24222</t>
  </si>
  <si>
    <t>U24233</t>
  </si>
  <si>
    <t>U24269</t>
  </si>
  <si>
    <t>U24273</t>
  </si>
  <si>
    <t>U24282</t>
  </si>
  <si>
    <t>U24295</t>
  </si>
  <si>
    <t>U24315</t>
  </si>
  <si>
    <t>U24335</t>
  </si>
  <si>
    <t>U24343</t>
  </si>
  <si>
    <t>U24349</t>
  </si>
  <si>
    <t>U24357</t>
  </si>
  <si>
    <t>U24358</t>
  </si>
  <si>
    <t>U24362</t>
  </si>
  <si>
    <t>U24374</t>
  </si>
  <si>
    <t>U24375</t>
  </si>
  <si>
    <t>U24384</t>
  </si>
  <si>
    <t>U24399</t>
  </si>
  <si>
    <t>U24407</t>
  </si>
  <si>
    <t>U24423</t>
  </si>
  <si>
    <t>U24434</t>
  </si>
  <si>
    <t>U24454</t>
  </si>
  <si>
    <t>U24458</t>
  </si>
  <si>
    <t>U24462</t>
  </si>
  <si>
    <t>U24474</t>
  </si>
  <si>
    <t>U24482</t>
  </si>
  <si>
    <t>U24498</t>
  </si>
  <si>
    <t>U24508</t>
  </si>
  <si>
    <t>U24513</t>
  </si>
  <si>
    <t>U24548</t>
  </si>
  <si>
    <t>U24564</t>
  </si>
  <si>
    <t>U24586</t>
  </si>
  <si>
    <t>U24588</t>
  </si>
  <si>
    <t>U24593</t>
  </si>
  <si>
    <t>U24605</t>
  </si>
  <si>
    <t>U24612</t>
  </si>
  <si>
    <t>U24623</t>
  </si>
  <si>
    <t>U24633</t>
  </si>
  <si>
    <t>U24635</t>
  </si>
  <si>
    <t>U24669</t>
  </si>
  <si>
    <t>U24694</t>
  </si>
  <si>
    <t>U24701</t>
  </si>
  <si>
    <t>U24709</t>
  </si>
  <si>
    <t>U24714</t>
  </si>
  <si>
    <t>U24741</t>
  </si>
  <si>
    <t>U24758</t>
  </si>
  <si>
    <t>U24761</t>
  </si>
  <si>
    <t>U24768</t>
  </si>
  <si>
    <t>U24794</t>
  </si>
  <si>
    <t>U24819</t>
  </si>
  <si>
    <t>U24866</t>
  </si>
  <si>
    <t>U24881</t>
  </si>
  <si>
    <t>U24941</t>
  </si>
  <si>
    <t>U24967</t>
  </si>
  <si>
    <t>U24990</t>
  </si>
  <si>
    <t>U24995</t>
  </si>
  <si>
    <t>U25015</t>
  </si>
  <si>
    <t>U25017</t>
  </si>
  <si>
    <t>U25027</t>
  </si>
  <si>
    <t>U25040</t>
  </si>
  <si>
    <t>U25056</t>
  </si>
  <si>
    <t>U25058</t>
  </si>
  <si>
    <t>U25079</t>
  </si>
  <si>
    <t>U25109</t>
  </si>
  <si>
    <t>U25121</t>
  </si>
  <si>
    <t>U25125</t>
  </si>
  <si>
    <t>U25128</t>
  </si>
  <si>
    <t>U25129</t>
  </si>
  <si>
    <t>U25155</t>
  </si>
  <si>
    <t>U25181</t>
  </si>
  <si>
    <t>U25183</t>
  </si>
  <si>
    <t>U25187</t>
  </si>
  <si>
    <t>U25202</t>
  </si>
  <si>
    <t>U25214</t>
  </si>
  <si>
    <t>U25215</t>
  </si>
  <si>
    <t>U25229</t>
  </si>
  <si>
    <t>U25234</t>
  </si>
  <si>
    <t>U25235</t>
  </si>
  <si>
    <t>U25237</t>
  </si>
  <si>
    <t>U25258</t>
  </si>
  <si>
    <t>U25260</t>
  </si>
  <si>
    <t>U25292</t>
  </si>
  <si>
    <t>U25293</t>
  </si>
  <si>
    <t>U25319</t>
  </si>
  <si>
    <t>U25337</t>
  </si>
  <si>
    <t>U25339</t>
  </si>
  <si>
    <t>U25376</t>
  </si>
  <si>
    <t>U25402</t>
  </si>
  <si>
    <t>U25456</t>
  </si>
  <si>
    <t>U25464</t>
  </si>
  <si>
    <t>U25486</t>
  </si>
  <si>
    <t>U25492</t>
  </si>
  <si>
    <t>U25498</t>
  </si>
  <si>
    <t>U25503</t>
  </si>
  <si>
    <t>U25514</t>
  </si>
  <si>
    <t>U25525</t>
  </si>
  <si>
    <t>U25536</t>
  </si>
  <si>
    <t>U25539</t>
  </si>
  <si>
    <t>U25542</t>
  </si>
  <si>
    <t>U25568</t>
  </si>
  <si>
    <t>U25576</t>
  </si>
  <si>
    <t>U25601</t>
  </si>
  <si>
    <t>U25605</t>
  </si>
  <si>
    <t>U25611</t>
  </si>
  <si>
    <t>U25622</t>
  </si>
  <si>
    <t>U25625</t>
  </si>
  <si>
    <t>U25645</t>
  </si>
  <si>
    <t>U25656</t>
  </si>
  <si>
    <t>U25659</t>
  </si>
  <si>
    <t>U25680</t>
  </si>
  <si>
    <t>U25682</t>
  </si>
  <si>
    <t>U25686</t>
  </si>
  <si>
    <t>U25687</t>
  </si>
  <si>
    <t>U25688</t>
  </si>
  <si>
    <t>U25691</t>
  </si>
  <si>
    <t>U25716</t>
  </si>
  <si>
    <t>U25752</t>
  </si>
  <si>
    <t>U25765</t>
  </si>
  <si>
    <t>U25782</t>
  </si>
  <si>
    <t>U25787</t>
  </si>
  <si>
    <t>U25792</t>
  </si>
  <si>
    <t>U25805</t>
  </si>
  <si>
    <t>U25824</t>
  </si>
  <si>
    <t>U25826</t>
  </si>
  <si>
    <t>U25852</t>
  </si>
  <si>
    <t>U25883</t>
  </si>
  <si>
    <t>U25901</t>
  </si>
  <si>
    <t>U25955</t>
  </si>
  <si>
    <t>U25980</t>
  </si>
  <si>
    <t>U25998</t>
  </si>
  <si>
    <t>U26015</t>
  </si>
  <si>
    <t>U26022</t>
  </si>
  <si>
    <t>U26052</t>
  </si>
  <si>
    <t>U26060</t>
  </si>
  <si>
    <t>U26079</t>
  </si>
  <si>
    <t>U26085</t>
  </si>
  <si>
    <t>U26131</t>
  </si>
  <si>
    <t>U26150</t>
  </si>
  <si>
    <t>U26161</t>
  </si>
  <si>
    <t>U26170</t>
  </si>
  <si>
    <t>U26183</t>
  </si>
  <si>
    <t>U26226</t>
  </si>
  <si>
    <t>U26228</t>
  </si>
  <si>
    <t>U26239</t>
  </si>
  <si>
    <t>U26250</t>
  </si>
  <si>
    <t>U26265</t>
  </si>
  <si>
    <t>U26272</t>
  </si>
  <si>
    <t>U26279</t>
  </si>
  <si>
    <t>U26290</t>
  </si>
  <si>
    <t>U26333</t>
  </si>
  <si>
    <t>U26357</t>
  </si>
  <si>
    <t>U26388</t>
  </si>
  <si>
    <t>U26427</t>
  </si>
  <si>
    <t>U26435</t>
  </si>
  <si>
    <t>U26436</t>
  </si>
  <si>
    <t>U26440</t>
  </si>
  <si>
    <t>U26441</t>
  </si>
  <si>
    <t>U26445</t>
  </si>
  <si>
    <t>U26469</t>
  </si>
  <si>
    <t>U26478</t>
  </si>
  <si>
    <t>U26525</t>
  </si>
  <si>
    <t>U26534</t>
  </si>
  <si>
    <t>U26544</t>
  </si>
  <si>
    <t>U26569</t>
  </si>
  <si>
    <t>U26572</t>
  </si>
  <si>
    <t>U26574</t>
  </si>
  <si>
    <t>U26599</t>
  </si>
  <si>
    <t>U26631</t>
  </si>
  <si>
    <t>U26652</t>
  </si>
  <si>
    <t>U26656</t>
  </si>
  <si>
    <t>U26671</t>
  </si>
  <si>
    <t>U26674</t>
  </si>
  <si>
    <t>U26683</t>
  </si>
  <si>
    <t>U26687</t>
  </si>
  <si>
    <t>U26697</t>
  </si>
  <si>
    <t>U26698</t>
  </si>
  <si>
    <t>U26705</t>
  </si>
  <si>
    <t>U26707</t>
  </si>
  <si>
    <t>U26709</t>
  </si>
  <si>
    <t>U26719</t>
  </si>
  <si>
    <t>U26720</t>
  </si>
  <si>
    <t>U26737</t>
  </si>
  <si>
    <t>U26777</t>
  </si>
  <si>
    <t>U26781</t>
  </si>
  <si>
    <t>U26787</t>
  </si>
  <si>
    <t>U26788</t>
  </si>
  <si>
    <t>U26815</t>
  </si>
  <si>
    <t>U26823</t>
  </si>
  <si>
    <t>U26825</t>
  </si>
  <si>
    <t>U26835</t>
  </si>
  <si>
    <t>U26840</t>
  </si>
  <si>
    <t>U26880</t>
  </si>
  <si>
    <t>U26881</t>
  </si>
  <si>
    <t>U26886</t>
  </si>
  <si>
    <t>U26891</t>
  </si>
  <si>
    <t>U26930</t>
  </si>
  <si>
    <t>U26932</t>
  </si>
  <si>
    <t>U26953</t>
  </si>
  <si>
    <t>U26956</t>
  </si>
  <si>
    <t>U26963</t>
  </si>
  <si>
    <t>U26984</t>
  </si>
  <si>
    <t>U26986</t>
  </si>
  <si>
    <t>U26989</t>
  </si>
  <si>
    <t>U26995</t>
  </si>
  <si>
    <t>U26996</t>
  </si>
  <si>
    <t>U26999</t>
  </si>
  <si>
    <t>U27021</t>
  </si>
  <si>
    <t>U27027</t>
  </si>
  <si>
    <t>U27034</t>
  </si>
  <si>
    <t>U27073</t>
  </si>
  <si>
    <t>U27083</t>
  </si>
  <si>
    <t>U27097</t>
  </si>
  <si>
    <t>U27101</t>
  </si>
  <si>
    <t>U27114</t>
  </si>
  <si>
    <t>U27141</t>
  </si>
  <si>
    <t>U27142</t>
  </si>
  <si>
    <t>U27152</t>
  </si>
  <si>
    <t>U27156</t>
  </si>
  <si>
    <t>U27174</t>
  </si>
  <si>
    <t>U27193</t>
  </si>
  <si>
    <t>U27205</t>
  </si>
  <si>
    <t>U27206</t>
  </si>
  <si>
    <t>U27226</t>
  </si>
  <si>
    <t>U27232</t>
  </si>
  <si>
    <t>U27233</t>
  </si>
  <si>
    <t>U27255</t>
  </si>
  <si>
    <t>U27259</t>
  </si>
  <si>
    <t>U27274</t>
  </si>
  <si>
    <t>U27275</t>
  </si>
  <si>
    <t>U27290</t>
  </si>
  <si>
    <t>U27304</t>
  </si>
  <si>
    <t>U27306</t>
  </si>
  <si>
    <t>U27310</t>
  </si>
  <si>
    <t>U27337</t>
  </si>
  <si>
    <t>U27351</t>
  </si>
  <si>
    <t>U27360</t>
  </si>
  <si>
    <t>U27364</t>
  </si>
  <si>
    <t>U27398</t>
  </si>
  <si>
    <t>U27399</t>
  </si>
  <si>
    <t>U27402</t>
  </si>
  <si>
    <t>U27424</t>
  </si>
  <si>
    <t>U27436</t>
  </si>
  <si>
    <t>U27442</t>
  </si>
  <si>
    <t>U27468</t>
  </si>
  <si>
    <t>U27470</t>
  </si>
  <si>
    <t>U27487</t>
  </si>
  <si>
    <t>U27489</t>
  </si>
  <si>
    <t>U27495</t>
  </si>
  <si>
    <t>U27500</t>
  </si>
  <si>
    <t>U27562</t>
  </si>
  <si>
    <t>U27564</t>
  </si>
  <si>
    <t>U27570</t>
  </si>
  <si>
    <t>U27575</t>
  </si>
  <si>
    <t>U27582</t>
  </si>
  <si>
    <t>U27593</t>
  </si>
  <si>
    <t>U27633</t>
  </si>
  <si>
    <t>U27659</t>
  </si>
  <si>
    <t>U27666</t>
  </si>
  <si>
    <t>U27676</t>
  </si>
  <si>
    <t>U27712</t>
  </si>
  <si>
    <t>U27729</t>
  </si>
  <si>
    <t>U27735</t>
  </si>
  <si>
    <t>U27751</t>
  </si>
  <si>
    <t>U27787</t>
  </si>
  <si>
    <t>U27813</t>
  </si>
  <si>
    <t>U27831</t>
  </si>
  <si>
    <t>U27833</t>
  </si>
  <si>
    <t>U27845</t>
  </si>
  <si>
    <t>U27854</t>
  </si>
  <si>
    <t>U27877</t>
  </si>
  <si>
    <t>U27911</t>
  </si>
  <si>
    <t>U27917</t>
  </si>
  <si>
    <t>U27925</t>
  </si>
  <si>
    <t>U27930</t>
  </si>
  <si>
    <t>U27931</t>
  </si>
  <si>
    <t>U27934</t>
  </si>
  <si>
    <t>U27955</t>
  </si>
  <si>
    <t>U27967</t>
  </si>
  <si>
    <t>U27993</t>
  </si>
  <si>
    <t>U27999</t>
  </si>
  <si>
    <t>U28001</t>
  </si>
  <si>
    <t>U28008</t>
  </si>
  <si>
    <t>U28018</t>
  </si>
  <si>
    <t>U28026</t>
  </si>
  <si>
    <t>U28034</t>
  </si>
  <si>
    <t>U28042</t>
  </si>
  <si>
    <t>U28063</t>
  </si>
  <si>
    <t>U28066</t>
  </si>
  <si>
    <t>U28072</t>
  </si>
  <si>
    <t>U28076</t>
  </si>
  <si>
    <t>U28096</t>
  </si>
  <si>
    <t>U28097</t>
  </si>
  <si>
    <t>U28103</t>
  </si>
  <si>
    <t>U28111</t>
  </si>
  <si>
    <t>U28128</t>
  </si>
  <si>
    <t>U28152</t>
  </si>
  <si>
    <t>U28163</t>
  </si>
  <si>
    <t>U28167</t>
  </si>
  <si>
    <t>U28207</t>
  </si>
  <si>
    <t>U28227</t>
  </si>
  <si>
    <t>U28235</t>
  </si>
  <si>
    <t>U28242</t>
  </si>
  <si>
    <t>U28247</t>
  </si>
  <si>
    <t>U28264</t>
  </si>
  <si>
    <t>U28286</t>
  </si>
  <si>
    <t>U28296</t>
  </si>
  <si>
    <t>U28308</t>
  </si>
  <si>
    <t>U28351</t>
  </si>
  <si>
    <t>U28359</t>
  </si>
  <si>
    <t>U28379</t>
  </si>
  <si>
    <t>U28387</t>
  </si>
  <si>
    <t>U28407</t>
  </si>
  <si>
    <t>U28417</t>
  </si>
  <si>
    <t>U28420</t>
  </si>
  <si>
    <t>U28441</t>
  </si>
  <si>
    <t>U28470</t>
  </si>
  <si>
    <t>U28476</t>
  </si>
  <si>
    <t>U28477</t>
  </si>
  <si>
    <t>U28495</t>
  </si>
  <si>
    <t>U28514</t>
  </si>
  <si>
    <t>U28555</t>
  </si>
  <si>
    <t>U28561</t>
  </si>
  <si>
    <t>U28563</t>
  </si>
  <si>
    <t>U28565</t>
  </si>
  <si>
    <t>U28567</t>
  </si>
  <si>
    <t>U28571</t>
  </si>
  <si>
    <t>U28580</t>
  </si>
  <si>
    <t>U28581</t>
  </si>
  <si>
    <t>U28600</t>
  </si>
  <si>
    <t>U28609</t>
  </si>
  <si>
    <t>U28636</t>
  </si>
  <si>
    <t>U28644</t>
  </si>
  <si>
    <t>U28650</t>
  </si>
  <si>
    <t>U28651</t>
  </si>
  <si>
    <t>U28653</t>
  </si>
  <si>
    <t>U28667</t>
  </si>
  <si>
    <t>U28686</t>
  </si>
  <si>
    <t>U28689</t>
  </si>
  <si>
    <t>U28702</t>
  </si>
  <si>
    <t>U28707</t>
  </si>
  <si>
    <t>U28710</t>
  </si>
  <si>
    <t>U28723</t>
  </si>
  <si>
    <t>U28736</t>
  </si>
  <si>
    <t>U28740</t>
  </si>
  <si>
    <t>U28742</t>
  </si>
  <si>
    <t>U28748</t>
  </si>
  <si>
    <t>U28757</t>
  </si>
  <si>
    <t>U28780</t>
  </si>
  <si>
    <t>U28801</t>
  </si>
  <si>
    <t>U28806</t>
  </si>
  <si>
    <t>U28813</t>
  </si>
  <si>
    <t>U28820</t>
  </si>
  <si>
    <t>U28823</t>
  </si>
  <si>
    <t>U28828</t>
  </si>
  <si>
    <t>U28830</t>
  </si>
  <si>
    <t>U28841</t>
  </si>
  <si>
    <t>U28845</t>
  </si>
  <si>
    <t>U28908</t>
  </si>
  <si>
    <t>U28916</t>
  </si>
  <si>
    <t>U28919</t>
  </si>
  <si>
    <t>U28938</t>
  </si>
  <si>
    <t>U28989</t>
  </si>
  <si>
    <t>U29043</t>
  </si>
  <si>
    <t>U29047</t>
  </si>
  <si>
    <t>U29065</t>
  </si>
  <si>
    <t>U29067</t>
  </si>
  <si>
    <t>U29082</t>
  </si>
  <si>
    <t>U29090</t>
  </si>
  <si>
    <t>U29096</t>
  </si>
  <si>
    <t>U29117</t>
  </si>
  <si>
    <t>U29136</t>
  </si>
  <si>
    <t>U29150</t>
  </si>
  <si>
    <t>U29179</t>
  </si>
  <si>
    <t>U29181</t>
  </si>
  <si>
    <t>U29186</t>
  </si>
  <si>
    <t>U29226</t>
  </si>
  <si>
    <t>U29239</t>
  </si>
  <si>
    <t>U29263</t>
  </si>
  <si>
    <t>U29282</t>
  </si>
  <si>
    <t>U29311</t>
  </si>
  <si>
    <t>U29312</t>
  </si>
  <si>
    <t>U29320</t>
  </si>
  <si>
    <t>U29371</t>
  </si>
  <si>
    <t>U29373</t>
  </si>
  <si>
    <t>U29378</t>
  </si>
  <si>
    <t>U29379</t>
  </si>
  <si>
    <t>U29382</t>
  </si>
  <si>
    <t>U29399</t>
  </si>
  <si>
    <t>U29405</t>
  </si>
  <si>
    <t>U29414</t>
  </si>
  <si>
    <t>U29417</t>
  </si>
  <si>
    <t>U29435</t>
  </si>
  <si>
    <t>U29452</t>
  </si>
  <si>
    <t>U29458</t>
  </si>
  <si>
    <t>U29463</t>
  </si>
  <si>
    <t>U29512</t>
  </si>
  <si>
    <t>U29513</t>
  </si>
  <si>
    <t>U29516</t>
  </si>
  <si>
    <t>U29528</t>
  </si>
  <si>
    <t>U29552</t>
  </si>
  <si>
    <t>U29574</t>
  </si>
  <si>
    <t>U29579</t>
  </si>
  <si>
    <t>U29583</t>
  </si>
  <si>
    <t>U29612</t>
  </si>
  <si>
    <t>U29630</t>
  </si>
  <si>
    <t>U29642</t>
  </si>
  <si>
    <t>U29663</t>
  </si>
  <si>
    <t>U29681</t>
  </si>
  <si>
    <t>U29686</t>
  </si>
  <si>
    <t>U29687</t>
  </si>
  <si>
    <t>U29709</t>
  </si>
  <si>
    <t>U29716</t>
  </si>
  <si>
    <t>U29720</t>
  </si>
  <si>
    <t>U29731</t>
  </si>
  <si>
    <t>U29734</t>
  </si>
  <si>
    <t>U29743</t>
  </si>
  <si>
    <t>U29753</t>
  </si>
  <si>
    <t>U29760</t>
  </si>
  <si>
    <t>U29764</t>
  </si>
  <si>
    <t>U29766</t>
  </si>
  <si>
    <t>U29779</t>
  </si>
  <si>
    <t>U29787</t>
  </si>
  <si>
    <t>U29799</t>
  </si>
  <si>
    <t>U29807</t>
  </si>
  <si>
    <t>U29848</t>
  </si>
  <si>
    <t>U29853</t>
  </si>
  <si>
    <t>U29855</t>
  </si>
  <si>
    <t>U29864</t>
  </si>
  <si>
    <t>U29931</t>
  </si>
  <si>
    <t>U30014</t>
  </si>
  <si>
    <t>U30017</t>
  </si>
  <si>
    <t>U30075</t>
  </si>
  <si>
    <t>U30089</t>
  </si>
  <si>
    <t>U30097</t>
  </si>
  <si>
    <t>U30105</t>
  </si>
  <si>
    <t>U30106</t>
  </si>
  <si>
    <t>U30113</t>
  </si>
  <si>
    <t>U30118</t>
  </si>
  <si>
    <t>U30136</t>
  </si>
  <si>
    <t>U30139</t>
  </si>
  <si>
    <t>U30143</t>
  </si>
  <si>
    <t>U30151</t>
  </si>
  <si>
    <t>U30172</t>
  </si>
  <si>
    <t>U30176</t>
  </si>
  <si>
    <t>U30178</t>
  </si>
  <si>
    <t>U30192</t>
  </si>
  <si>
    <t>U30199</t>
  </si>
  <si>
    <t>U30232</t>
  </si>
  <si>
    <t>U30254</t>
  </si>
  <si>
    <t>U30264</t>
  </si>
  <si>
    <t>U30265</t>
  </si>
  <si>
    <t>U30269</t>
  </si>
  <si>
    <t>U30275</t>
  </si>
  <si>
    <t>U30277</t>
  </si>
  <si>
    <t>U30278</t>
  </si>
  <si>
    <t>U30306</t>
  </si>
  <si>
    <t>U30328</t>
  </si>
  <si>
    <t>U30332</t>
  </si>
  <si>
    <t>U30334</t>
  </si>
  <si>
    <t>U30341</t>
  </si>
  <si>
    <t>U30342</t>
  </si>
  <si>
    <t>U30357</t>
  </si>
  <si>
    <t>U30360</t>
  </si>
  <si>
    <t>U30364</t>
  </si>
  <si>
    <t>U30365</t>
  </si>
  <si>
    <t>U30392</t>
  </si>
  <si>
    <t>U30425</t>
  </si>
  <si>
    <t>U30446</t>
  </si>
  <si>
    <t>U30469</t>
  </si>
  <si>
    <t>U30483</t>
  </si>
  <si>
    <t>U30487</t>
  </si>
  <si>
    <t>U30504</t>
  </si>
  <si>
    <t>U30512</t>
  </si>
  <si>
    <t>U30530</t>
  </si>
  <si>
    <t>U30626</t>
  </si>
  <si>
    <t>U30656</t>
  </si>
  <si>
    <t>U30667</t>
  </si>
  <si>
    <t>U30680</t>
  </si>
  <si>
    <t>U30693</t>
  </si>
  <si>
    <t>U30701</t>
  </si>
  <si>
    <t>U30711</t>
  </si>
  <si>
    <t>U30726</t>
  </si>
  <si>
    <t>U30727</t>
  </si>
  <si>
    <t>U30733</t>
  </si>
  <si>
    <t>U30775</t>
  </si>
  <si>
    <t>U30792</t>
  </si>
  <si>
    <t>U30801</t>
  </si>
  <si>
    <t>U30811</t>
  </si>
  <si>
    <t>U30832</t>
  </si>
  <si>
    <t>U30858</t>
  </si>
  <si>
    <t>U30882</t>
  </si>
  <si>
    <t>U30926</t>
  </si>
  <si>
    <t>U30966</t>
  </si>
  <si>
    <t>U30970</t>
  </si>
  <si>
    <t>U30975</t>
  </si>
  <si>
    <t>U30978</t>
  </si>
  <si>
    <t>U30981</t>
  </si>
  <si>
    <t>U30989</t>
  </si>
  <si>
    <t>U30991</t>
  </si>
  <si>
    <t>U31019</t>
  </si>
  <si>
    <t>U31022</t>
  </si>
  <si>
    <t>U31044</t>
  </si>
  <si>
    <t>U31045</t>
  </si>
  <si>
    <t>U31055</t>
  </si>
  <si>
    <t>U31061</t>
  </si>
  <si>
    <t>U31086</t>
  </si>
  <si>
    <t>U31102</t>
  </si>
  <si>
    <t>U31103</t>
  </si>
  <si>
    <t>U31139</t>
  </si>
  <si>
    <t>U31154</t>
  </si>
  <si>
    <t>U31176</t>
  </si>
  <si>
    <t>U31184</t>
  </si>
  <si>
    <t>U31187</t>
  </si>
  <si>
    <t>U31204</t>
  </si>
  <si>
    <t>U31208</t>
  </si>
  <si>
    <t>U31236</t>
  </si>
  <si>
    <t>U31249</t>
  </si>
  <si>
    <t>U31256</t>
  </si>
  <si>
    <t>U31262</t>
  </si>
  <si>
    <t>U31263</t>
  </si>
  <si>
    <t>U31271</t>
  </si>
  <si>
    <t>U31288</t>
  </si>
  <si>
    <t>U31289</t>
  </si>
  <si>
    <t>U31304</t>
  </si>
  <si>
    <t>U31310</t>
  </si>
  <si>
    <t>U31323</t>
  </si>
  <si>
    <t>U31340</t>
  </si>
  <si>
    <t>U31343</t>
  </si>
  <si>
    <t>U31363</t>
  </si>
  <si>
    <t>U31370</t>
  </si>
  <si>
    <t>U31375</t>
  </si>
  <si>
    <t>U31388</t>
  </si>
  <si>
    <t>U31397</t>
  </si>
  <si>
    <t>U31399</t>
  </si>
  <si>
    <t>U31403</t>
  </si>
  <si>
    <t>U31419</t>
  </si>
  <si>
    <t>U31426</t>
  </si>
  <si>
    <t>U31433</t>
  </si>
  <si>
    <t>U31455</t>
  </si>
  <si>
    <t>U31456</t>
  </si>
  <si>
    <t>U31485</t>
  </si>
  <si>
    <t>U31497</t>
  </si>
  <si>
    <t>U31514</t>
  </si>
  <si>
    <t>U31522</t>
  </si>
  <si>
    <t>U31554</t>
  </si>
  <si>
    <t>U31555</t>
  </si>
  <si>
    <t>U31560</t>
  </si>
  <si>
    <t>U31575</t>
  </si>
  <si>
    <t>U31577</t>
  </si>
  <si>
    <t>U31602</t>
  </si>
  <si>
    <t>U31609</t>
  </si>
  <si>
    <t>U31614</t>
  </si>
  <si>
    <t>U31653</t>
  </si>
  <si>
    <t>U31685</t>
  </si>
  <si>
    <t>U31687</t>
  </si>
  <si>
    <t>U31695</t>
  </si>
  <si>
    <t>U31713</t>
  </si>
  <si>
    <t>U31714</t>
  </si>
  <si>
    <t>U31715</t>
  </si>
  <si>
    <t>U31750</t>
  </si>
  <si>
    <t>U31781</t>
  </si>
  <si>
    <t>U31811</t>
  </si>
  <si>
    <t>U31824</t>
  </si>
  <si>
    <t>U31833</t>
  </si>
  <si>
    <t>U31858</t>
  </si>
  <si>
    <t>U31875</t>
  </si>
  <si>
    <t>U31884</t>
  </si>
  <si>
    <t>U31887</t>
  </si>
  <si>
    <t>U31902</t>
  </si>
  <si>
    <t>U31945</t>
  </si>
  <si>
    <t>U31964</t>
  </si>
  <si>
    <t>U31986</t>
  </si>
  <si>
    <t>U32008</t>
  </si>
  <si>
    <t>U32011</t>
  </si>
  <si>
    <t>U32026</t>
  </si>
  <si>
    <t>U32062</t>
  </si>
  <si>
    <t>U32072</t>
  </si>
  <si>
    <t>U32110</t>
  </si>
  <si>
    <t>U32125</t>
  </si>
  <si>
    <t>U32143</t>
  </si>
  <si>
    <t>U32147</t>
  </si>
  <si>
    <t>U32173</t>
  </si>
  <si>
    <t>U32174</t>
  </si>
  <si>
    <t>U32183</t>
  </si>
  <si>
    <t>U32184</t>
  </si>
  <si>
    <t>U32201</t>
  </si>
  <si>
    <t>U32210</t>
  </si>
  <si>
    <t>U32226</t>
  </si>
  <si>
    <t>U32235</t>
  </si>
  <si>
    <t>U32238</t>
  </si>
  <si>
    <t>U32282</t>
  </si>
  <si>
    <t>U32309</t>
  </si>
  <si>
    <t>U32352</t>
  </si>
  <si>
    <t>U32358</t>
  </si>
  <si>
    <t>U32391</t>
  </si>
  <si>
    <t>U32396</t>
  </si>
  <si>
    <t>U32406</t>
  </si>
  <si>
    <t>U32409</t>
  </si>
  <si>
    <t>U32411</t>
  </si>
  <si>
    <t>U32413</t>
  </si>
  <si>
    <t>U32416</t>
  </si>
  <si>
    <t>U32421</t>
  </si>
  <si>
    <t>U32422</t>
  </si>
  <si>
    <t xml:space="preserve">BUDGET TRACKER DASHBOARD </t>
  </si>
  <si>
    <t>Total Records =COUNTA(Data!A:A)-1</t>
  </si>
  <si>
    <t>Average Income =AVERAGE(Data!E:E)</t>
  </si>
  <si>
    <t>Average Expenses =AVERAGE(Data!F:F)</t>
  </si>
  <si>
    <t>Average Savings =AVERAGE(Data!G:G)</t>
  </si>
  <si>
    <t>Average DTI =AVERAGE(Data!H:H)</t>
  </si>
  <si>
    <t>High Risk % =COUNTIF(Data!H:H,"&gt;0.4")/COUNT(Data!H:H)</t>
  </si>
  <si>
    <t>Average Savings Rate =AVERAGE(Data!I:I)</t>
  </si>
  <si>
    <t xml:space="preserve">Metric </t>
  </si>
  <si>
    <t>Total Records</t>
  </si>
  <si>
    <t>Average Income</t>
  </si>
  <si>
    <t>Average Expenses</t>
  </si>
  <si>
    <t>Average Savings</t>
  </si>
  <si>
    <t>Average DTI</t>
  </si>
  <si>
    <t>Region</t>
  </si>
  <si>
    <t>high_risk</t>
  </si>
  <si>
    <t>High Risk</t>
  </si>
  <si>
    <t>Average Saving Rate</t>
  </si>
  <si>
    <t>High Risk %</t>
  </si>
  <si>
    <t>Average Income Savings Rate</t>
  </si>
  <si>
    <t>Category</t>
  </si>
  <si>
    <t>Amount</t>
  </si>
  <si>
    <t>Income</t>
  </si>
  <si>
    <t>Expenses</t>
  </si>
  <si>
    <t>Savings</t>
  </si>
  <si>
    <t>Date updated through</t>
  </si>
  <si>
    <t>BUDGET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</si>
</sst>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t;=1000000]\ \$#,##0.00,,\ &quot;M&quot;;[&gt;=1000]\ \ \$#,##0.00,\ &quot;K&quot;;\ \$##0.00"/>
    <numFmt numFmtId="166" formatCode="[$-F800]dddd\,\ mmmm\ dd\,\ yyyy"/>
  </numFmts>
  <fonts count="4" x14ac:knownFonts="1">
    <font>
      <sz val="11"/>
      <color theme="1"/>
      <name val="Aptos Narrow"/>
      <family val="2"/>
      <scheme val="minor"/>
    </font>
    <font>
      <b/>
      <sz val="11"/>
      <color theme="1"/>
      <name val="Aptos Narrow"/>
      <family val="2"/>
      <scheme val="minor"/>
    </font>
    <font>
      <b/>
      <sz val="11"/>
      <color theme="0"/>
      <name val="Aptos Narrow"/>
      <family val="2"/>
      <scheme val="minor"/>
    </font>
    <font>
      <b/>
      <sz val="34"/>
      <color theme="0"/>
      <name val="Aptos Narrow"/>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rgb="FFFFFF00"/>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17">
    <xf numFmtId="0" fontId="0" fillId="0" borderId="0" xfId="0"/>
    <xf numFmtId="14" fontId="0" fillId="0" borderId="0" xfId="0" applyNumberFormat="1"/>
    <xf numFmtId="0" fontId="0" fillId="0" borderId="0" xfId="0" pivotButton="1"/>
    <xf numFmtId="164" fontId="0" fillId="0" borderId="0" xfId="0" applyNumberFormat="1"/>
    <xf numFmtId="2" fontId="0" fillId="0" borderId="0" xfId="0" applyNumberFormat="1"/>
    <xf numFmtId="0" fontId="0" fillId="0" borderId="0" xfId="0" applyAlignment="1">
      <alignment horizontal="left"/>
    </xf>
    <xf numFmtId="10" fontId="0" fillId="0" borderId="0" xfId="0" applyNumberFormat="1"/>
    <xf numFmtId="0" fontId="1" fillId="2" borderId="1" xfId="0" applyFont="1" applyFill="1" applyBorder="1" applyAlignment="1">
      <alignment horizontal="left"/>
    </xf>
    <xf numFmtId="164" fontId="1" fillId="2" borderId="1" xfId="0" applyNumberFormat="1" applyFont="1" applyFill="1" applyBorder="1"/>
    <xf numFmtId="0" fontId="0" fillId="3" borderId="0" xfId="0" applyFill="1"/>
    <xf numFmtId="0" fontId="0" fillId="4" borderId="0" xfId="0" applyFill="1"/>
    <xf numFmtId="0" fontId="0" fillId="0" borderId="0" xfId="0" applyFill="1"/>
    <xf numFmtId="0" fontId="0" fillId="0" borderId="0" xfId="0" applyNumberFormat="1"/>
    <xf numFmtId="3" fontId="0" fillId="0" borderId="0" xfId="0" applyNumberFormat="1"/>
    <xf numFmtId="0" fontId="2" fillId="3" borderId="0" xfId="0" applyFont="1" applyFill="1" applyAlignment="1">
      <alignment horizontal="center"/>
    </xf>
    <xf numFmtId="0" fontId="3" fillId="3" borderId="0" xfId="0" applyFont="1" applyFill="1" applyAlignment="1">
      <alignment horizontal="center"/>
    </xf>
    <xf numFmtId="166" fontId="2" fillId="3" borderId="0" xfId="0" applyNumberFormat="1" applyFont="1" applyFill="1" applyAlignment="1">
      <alignment horizontal="center"/>
    </xf>
  </cellXfs>
  <cellStyles count="1">
    <cellStyle name="Normal" xfId="0" builtinId="0"/>
  </cellStyles>
  <dxfs count="30">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1"/>
        <color theme="1"/>
        <name val="Aptos Narrow"/>
        <family val="2"/>
        <scheme val="minor"/>
      </font>
      <numFmt numFmtId="164" formatCode="[&gt;=1000000]\ \$#,##0.00,,\ &quot;M&quot;;[&gt;=1000]\ \ \$#,##0.00,\ &quot;K&quot;;\ \$##0.00"/>
      <fill>
        <patternFill patternType="solid">
          <fgColor theme="4" tint="0.79998168889431442"/>
          <bgColor theme="4" tint="0.79998168889431442"/>
        </patternFill>
      </fill>
      <border diagonalUp="0" diagonalDown="0">
        <left/>
        <right/>
        <top style="thin">
          <color theme="4" tint="0.39997558519241921"/>
        </top>
        <bottom/>
        <vertical/>
        <horizontal/>
      </border>
    </dxf>
    <dxf>
      <font>
        <b/>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numFmt numFmtId="0" formatCode="General"/>
    </dxf>
    <dxf>
      <numFmt numFmtId="19" formatCode="dd/mm/yyyy"/>
    </dxf>
  </dxfs>
  <tableStyles count="0" defaultTableStyle="TableStyleMedium2" defaultPivotStyle="PivotStyleLight16"/>
  <colors>
    <mruColors>
      <color rgb="FF0D01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solidFill>
                  <a:srgbClr val="002060"/>
                </a:solidFill>
              </a:rPr>
              <a:t>INCOME</a:t>
            </a:r>
            <a:r>
              <a:rPr lang="en-US" baseline="0">
                <a:solidFill>
                  <a:srgbClr val="002060"/>
                </a:solidFill>
              </a:rPr>
              <a:t> VS EXPENSES VS SAVINGS</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lotArea>
      <c:layout/>
      <c:doughnutChart>
        <c:varyColors val="1"/>
        <c:ser>
          <c:idx val="0"/>
          <c:order val="0"/>
          <c:tx>
            <c:strRef>
              <c:f>Charts!$B$1</c:f>
              <c:strCache>
                <c:ptCount val="1"/>
                <c:pt idx="0">
                  <c:v>Amount</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ED5C-4F75-AC97-DC6A6AFDC21A}"/>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ED5C-4F75-AC97-DC6A6AFDC21A}"/>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ED5C-4F75-AC97-DC6A6AFDC21A}"/>
              </c:ext>
            </c:extLst>
          </c:dPt>
          <c:dLbls>
            <c:numFmt formatCode="[&gt;=1000000]\ \$#,##0.00,,\ &quot;M&quot;;[&gt;=1000]\ \ \$#,##0.00,\ &quot;K&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Charts!$A$2:$A$4</c:f>
              <c:strCache>
                <c:ptCount val="3"/>
                <c:pt idx="0">
                  <c:v>Income</c:v>
                </c:pt>
                <c:pt idx="1">
                  <c:v>Expenses</c:v>
                </c:pt>
                <c:pt idx="2">
                  <c:v>Savings</c:v>
                </c:pt>
              </c:strCache>
            </c:strRef>
          </c:cat>
          <c:val>
            <c:numRef>
              <c:f>Charts!$B$2:$B$4</c:f>
              <c:numCache>
                <c:formatCode>[&gt;=1000000]\ \$#,##0.00,,\ "M";[&gt;=1000]\ \ \$#,##0.00,\ "K";\ \$##0.00</c:formatCode>
                <c:ptCount val="3"/>
                <c:pt idx="0">
                  <c:v>4265.8436607858966</c:v>
                </c:pt>
                <c:pt idx="1">
                  <c:v>2575.1545469125949</c:v>
                </c:pt>
                <c:pt idx="2">
                  <c:v>27907.327477947038</c:v>
                </c:pt>
              </c:numCache>
            </c:numRef>
          </c:val>
          <c:extLst>
            <c:ext xmlns:c16="http://schemas.microsoft.com/office/drawing/2014/chart" uri="{C3380CC4-5D6E-409C-BE32-E72D297353CC}">
              <c16:uniqueId val="{00000006-ED5C-4F75-AC97-DC6A6AFDC21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[budget_dashboard.xlsx]PivotTables!high_risk</c:name>
    <c:fmtId val="10"/>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GB">
                <a:solidFill>
                  <a:srgbClr val="002060"/>
                </a:solidFill>
              </a:rPr>
              <a:t>HIGH RISK BY PERCENT REGION</a:t>
            </a:r>
            <a:endParaRPr lang="en-NG">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solidFill>
              <a:sysClr val="window" lastClr="FFFFFF">
                <a:alpha val="8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 sourceLinked="0"/>
          <c:spPr>
            <a:solidFill>
              <a:sysClr val="window" lastClr="FFFFFF">
                <a:alpha val="8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0%" sourceLinked="0"/>
          <c:spPr>
            <a:solidFill>
              <a:sysClr val="window" lastClr="FFFFFF">
                <a:alpha val="80000"/>
              </a:sys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00%" sourceLinked="0"/>
          <c:spPr>
            <a:solidFill>
              <a:sysClr val="window" lastClr="FFFFFF">
                <a:alpha val="80000"/>
              </a:sys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numFmt formatCode="0.00%" sourceLinked="0"/>
          <c:spPr>
            <a:solidFill>
              <a:sysClr val="window" lastClr="FFFFFF">
                <a:alpha val="80000"/>
              </a:sys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PivotTables!$L$14</c:f>
              <c:strCache>
                <c:ptCount val="1"/>
                <c:pt idx="0">
                  <c:v>High Risk</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PivotTables!$K$15:$K$20</c:f>
              <c:strCache>
                <c:ptCount val="5"/>
                <c:pt idx="0">
                  <c:v>Other</c:v>
                </c:pt>
                <c:pt idx="1">
                  <c:v>Europe</c:v>
                </c:pt>
                <c:pt idx="2">
                  <c:v>Asia</c:v>
                </c:pt>
                <c:pt idx="3">
                  <c:v>North America</c:v>
                </c:pt>
                <c:pt idx="4">
                  <c:v>Africa</c:v>
                </c:pt>
              </c:strCache>
            </c:strRef>
          </c:cat>
          <c:val>
            <c:numRef>
              <c:f>PivotTables!$L$15:$L$20</c:f>
              <c:numCache>
                <c:formatCode>General</c:formatCode>
                <c:ptCount val="5"/>
                <c:pt idx="0">
                  <c:v>96</c:v>
                </c:pt>
                <c:pt idx="1">
                  <c:v>103</c:v>
                </c:pt>
                <c:pt idx="2">
                  <c:v>117</c:v>
                </c:pt>
                <c:pt idx="3">
                  <c:v>120</c:v>
                </c:pt>
                <c:pt idx="4">
                  <c:v>111</c:v>
                </c:pt>
              </c:numCache>
            </c:numRef>
          </c:val>
          <c:extLst>
            <c:ext xmlns:c16="http://schemas.microsoft.com/office/drawing/2014/chart" uri="{C3380CC4-5D6E-409C-BE32-E72D297353CC}">
              <c16:uniqueId val="{00000000-8D05-4C65-9176-4FBFBB9BCB3C}"/>
            </c:ext>
          </c:extLst>
        </c:ser>
        <c:ser>
          <c:idx val="1"/>
          <c:order val="1"/>
          <c:tx>
            <c:strRef>
              <c:f>PivotTables!$M$14</c:f>
              <c:strCache>
                <c:ptCount val="1"/>
                <c:pt idx="0">
                  <c:v>High Risk %</c:v>
                </c:pt>
              </c:strCache>
            </c:strRef>
          </c:tx>
          <c:spPr>
            <a:solidFill>
              <a:schemeClr val="accent2"/>
            </a:solidFill>
            <a:ln>
              <a:noFill/>
            </a:ln>
            <a:effectLst/>
          </c:spPr>
          <c:invertIfNegative val="0"/>
          <c:dLbls>
            <c:numFmt formatCode="0.00%" sourceLinked="0"/>
            <c:spPr>
              <a:solidFill>
                <a:sysClr val="window" lastClr="FFFFFF">
                  <a:alpha val="80000"/>
                </a:sys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PivotTables!$K$15:$K$20</c:f>
              <c:strCache>
                <c:ptCount val="5"/>
                <c:pt idx="0">
                  <c:v>Other</c:v>
                </c:pt>
                <c:pt idx="1">
                  <c:v>Europe</c:v>
                </c:pt>
                <c:pt idx="2">
                  <c:v>Asia</c:v>
                </c:pt>
                <c:pt idx="3">
                  <c:v>North America</c:v>
                </c:pt>
                <c:pt idx="4">
                  <c:v>Africa</c:v>
                </c:pt>
              </c:strCache>
            </c:strRef>
          </c:cat>
          <c:val>
            <c:numRef>
              <c:f>PivotTables!$M$15:$M$20</c:f>
              <c:numCache>
                <c:formatCode>0.00%</c:formatCode>
                <c:ptCount val="5"/>
                <c:pt idx="0">
                  <c:v>0.1947261663286004</c:v>
                </c:pt>
                <c:pt idx="1">
                  <c:v>0.20682730923694778</c:v>
                </c:pt>
                <c:pt idx="2">
                  <c:v>0.22807017543859648</c:v>
                </c:pt>
                <c:pt idx="3">
                  <c:v>0.23255813953488372</c:v>
                </c:pt>
                <c:pt idx="4">
                  <c:v>0.23417721518987342</c:v>
                </c:pt>
              </c:numCache>
            </c:numRef>
          </c:val>
          <c:extLst>
            <c:ext xmlns:c16="http://schemas.microsoft.com/office/drawing/2014/chart" uri="{C3380CC4-5D6E-409C-BE32-E72D297353CC}">
              <c16:uniqueId val="{00000001-8D05-4C65-9176-4FBFBB9BCB3C}"/>
            </c:ext>
          </c:extLst>
        </c:ser>
        <c:dLbls>
          <c:dLblPos val="outEnd"/>
          <c:showLegendKey val="0"/>
          <c:showVal val="1"/>
          <c:showCatName val="0"/>
          <c:showSerName val="0"/>
          <c:showPercent val="0"/>
          <c:showBubbleSize val="0"/>
        </c:dLbls>
        <c:gapWidth val="219"/>
        <c:axId val="799646815"/>
        <c:axId val="798550895"/>
      </c:barChart>
      <c:catAx>
        <c:axId val="799646815"/>
        <c:scaling>
          <c:orientation val="minMax"/>
        </c:scaling>
        <c:delete val="0"/>
        <c:axPos val="l"/>
        <c:title>
          <c:tx>
            <c:rich>
              <a:bodyPr rot="-5400000" spcFirstLastPara="1" vertOverflow="ellipsis" vert="horz" wrap="square" anchor="ctr" anchorCtr="1"/>
              <a:lstStyle/>
              <a:p>
                <a:pPr>
                  <a:defRPr sz="1000" b="1" i="0" u="none" strike="noStrike" kern="1200" baseline="0">
                    <a:solidFill>
                      <a:srgbClr val="002060"/>
                    </a:solidFill>
                    <a:latin typeface="+mn-lt"/>
                    <a:ea typeface="+mn-ea"/>
                    <a:cs typeface="+mn-cs"/>
                  </a:defRPr>
                </a:pPr>
                <a:r>
                  <a:rPr lang="en-GB" b="1">
                    <a:solidFill>
                      <a:srgbClr val="002060"/>
                    </a:solidFill>
                  </a:rPr>
                  <a:t>REGION</a:t>
                </a:r>
                <a:endParaRPr lang="en-NG" b="1">
                  <a:solidFill>
                    <a:srgbClr val="002060"/>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NG"/>
          </a:p>
        </c:txPr>
        <c:crossAx val="798550895"/>
        <c:crosses val="autoZero"/>
        <c:auto val="1"/>
        <c:lblAlgn val="ctr"/>
        <c:lblOffset val="100"/>
        <c:noMultiLvlLbl val="0"/>
      </c:catAx>
      <c:valAx>
        <c:axId val="798550895"/>
        <c:scaling>
          <c:orientation val="minMax"/>
        </c:scaling>
        <c:delete val="0"/>
        <c:axPos val="b"/>
        <c:title>
          <c:tx>
            <c:rich>
              <a:bodyPr rot="0" spcFirstLastPara="1" vertOverflow="ellipsis" vert="horz" wrap="square" anchor="ctr" anchorCtr="1"/>
              <a:lstStyle/>
              <a:p>
                <a:pPr>
                  <a:defRPr sz="1000" b="1" i="0" u="none" strike="noStrike" kern="1200" baseline="0">
                    <a:solidFill>
                      <a:srgbClr val="002060"/>
                    </a:solidFill>
                    <a:latin typeface="+mn-lt"/>
                    <a:ea typeface="+mn-ea"/>
                    <a:cs typeface="+mn-cs"/>
                  </a:defRPr>
                </a:pPr>
                <a:r>
                  <a:rPr lang="en-GB" b="1" baseline="0">
                    <a:solidFill>
                      <a:srgbClr val="002060"/>
                    </a:solidFill>
                  </a:rPr>
                  <a:t>HIGH RISK PEOPLE</a:t>
                </a:r>
                <a:endParaRPr lang="en-NG" b="1">
                  <a:solidFill>
                    <a:srgbClr val="002060"/>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NG"/>
          </a:p>
        </c:txPr>
        <c:crossAx val="79964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[budget_dashboard.xlsx]PivotTables!average_DTI</c:name>
    <c:fmtId val="9"/>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GB" b="1">
                <a:solidFill>
                  <a:srgbClr val="002060"/>
                </a:solidFill>
              </a:rPr>
              <a:t>DTI BY</a:t>
            </a:r>
            <a:r>
              <a:rPr lang="en-GB" b="1" baseline="0">
                <a:solidFill>
                  <a:srgbClr val="002060"/>
                </a:solidFill>
              </a:rPr>
              <a:t> REGION</a:t>
            </a:r>
            <a:endParaRPr lang="en-NG"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PivotTables!$J$12</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PivotTables!$I$13:$I$18</c:f>
              <c:strCache>
                <c:ptCount val="5"/>
                <c:pt idx="0">
                  <c:v>Africa</c:v>
                </c:pt>
                <c:pt idx="1">
                  <c:v>Asia</c:v>
                </c:pt>
                <c:pt idx="2">
                  <c:v>Europe</c:v>
                </c:pt>
                <c:pt idx="3">
                  <c:v>North America</c:v>
                </c:pt>
                <c:pt idx="4">
                  <c:v>Other</c:v>
                </c:pt>
              </c:strCache>
            </c:strRef>
          </c:cat>
          <c:val>
            <c:numRef>
              <c:f>PivotTables!$J$13:$J$18</c:f>
              <c:numCache>
                <c:formatCode>0.00</c:formatCode>
                <c:ptCount val="5"/>
                <c:pt idx="0">
                  <c:v>0.25181434599156122</c:v>
                </c:pt>
                <c:pt idx="1">
                  <c:v>0.25389863547758285</c:v>
                </c:pt>
                <c:pt idx="2">
                  <c:v>0.24483935742971888</c:v>
                </c:pt>
                <c:pt idx="3">
                  <c:v>0.2619186046511629</c:v>
                </c:pt>
                <c:pt idx="4">
                  <c:v>0.22614604462474641</c:v>
                </c:pt>
              </c:numCache>
            </c:numRef>
          </c:val>
          <c:extLst>
            <c:ext xmlns:c16="http://schemas.microsoft.com/office/drawing/2014/chart" uri="{C3380CC4-5D6E-409C-BE32-E72D297353CC}">
              <c16:uniqueId val="{00000000-0140-496A-BBB8-734BF56ABB69}"/>
            </c:ext>
          </c:extLst>
        </c:ser>
        <c:dLbls>
          <c:dLblPos val="outEnd"/>
          <c:showLegendKey val="0"/>
          <c:showVal val="1"/>
          <c:showCatName val="0"/>
          <c:showSerName val="0"/>
          <c:showPercent val="0"/>
          <c:showBubbleSize val="0"/>
        </c:dLbls>
        <c:gapWidth val="219"/>
        <c:overlap val="-27"/>
        <c:axId val="1065173935"/>
        <c:axId val="439458703"/>
      </c:barChart>
      <c:catAx>
        <c:axId val="1065173935"/>
        <c:scaling>
          <c:orientation val="minMax"/>
        </c:scaling>
        <c:delete val="0"/>
        <c:axPos val="b"/>
        <c:title>
          <c:tx>
            <c:rich>
              <a:bodyPr rot="0" spcFirstLastPara="1" vertOverflow="ellipsis" vert="horz" wrap="square" anchor="ctr" anchorCtr="1"/>
              <a:lstStyle/>
              <a:p>
                <a:pPr>
                  <a:defRPr sz="1000" b="1" i="0" u="none" strike="noStrike" kern="1200" baseline="0">
                    <a:solidFill>
                      <a:srgbClr val="002060"/>
                    </a:solidFill>
                    <a:latin typeface="+mn-lt"/>
                    <a:ea typeface="+mn-ea"/>
                    <a:cs typeface="+mn-cs"/>
                  </a:defRPr>
                </a:pPr>
                <a:r>
                  <a:rPr lang="en-GB" b="1">
                    <a:solidFill>
                      <a:srgbClr val="002060"/>
                    </a:solidFill>
                  </a:rPr>
                  <a:t>REGION</a:t>
                </a:r>
                <a:endParaRPr lang="en-NG" b="1">
                  <a:solidFill>
                    <a:srgbClr val="002060"/>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NG"/>
          </a:p>
        </c:txPr>
        <c:crossAx val="439458703"/>
        <c:crosses val="autoZero"/>
        <c:auto val="1"/>
        <c:lblAlgn val="ctr"/>
        <c:lblOffset val="100"/>
        <c:noMultiLvlLbl val="0"/>
      </c:catAx>
      <c:valAx>
        <c:axId val="439458703"/>
        <c:scaling>
          <c:orientation val="minMax"/>
        </c:scaling>
        <c:delete val="0"/>
        <c:axPos val="l"/>
        <c:title>
          <c:tx>
            <c:rich>
              <a:bodyPr rot="-5400000" spcFirstLastPara="1" vertOverflow="ellipsis" vert="horz" wrap="square" anchor="ctr" anchorCtr="1"/>
              <a:lstStyle/>
              <a:p>
                <a:pPr>
                  <a:defRPr sz="1000" b="1" i="0" u="none" strike="noStrike" kern="1200" baseline="0">
                    <a:solidFill>
                      <a:srgbClr val="002060"/>
                    </a:solidFill>
                    <a:latin typeface="+mn-lt"/>
                    <a:ea typeface="+mn-ea"/>
                    <a:cs typeface="+mn-cs"/>
                  </a:defRPr>
                </a:pPr>
                <a:r>
                  <a:rPr lang="en-GB" b="1">
                    <a:solidFill>
                      <a:srgbClr val="002060"/>
                    </a:solidFill>
                  </a:rPr>
                  <a:t>DTI</a:t>
                </a:r>
                <a:endParaRPr lang="en-NG" b="1">
                  <a:solidFill>
                    <a:srgbClr val="002060"/>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NG"/>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NG"/>
          </a:p>
        </c:txPr>
        <c:crossAx val="1065173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[budget_dashboard.xlsx]PivotTables!average_expenses</c:name>
    <c:fmtId val="33"/>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AVERAGE</a:t>
            </a:r>
            <a:r>
              <a:rPr lang="en-US" b="1" baseline="0">
                <a:solidFill>
                  <a:srgbClr val="002060"/>
                </a:solidFill>
              </a:rPr>
              <a:t> EXPENSES BY REGION</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 \$#,##0.00,,\ &quot;M&quot;;[&gt;=1000]\ \ \$#,##0.00,\ &quot;K&quot;;\ \$##0.0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 \$#,##0.00,,\ &quot;M&quot;;[&gt;=1000]\ \ \$#,##0.00,\ &quot;K&quot;;\ \$##0.0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numFmt formatCode="[&gt;=1000000]\ \$#,##0.00,,\ &quot;M&quot;;[&gt;=1000]\ \ \$#,##0.00,\ &quot;K&quot;;\ \$##0.0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numFmt formatCode="[&gt;=1000000]\ \$#,##0.00,,\ &quot;M&quot;;[&gt;=1000]\ \ \$#,##0.00,\ &quot;K&quot;;\ \$##0.0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numFmt formatCode="[&gt;=1000000]\ \$#,##0.00,,\ &quot;M&quot;;[&gt;=1000]\ \ \$#,##0.00,\ &quot;K&quot;;\ \$##0.0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numFmt formatCode="[&gt;=1000000]\ \$#,##0.00,,\ &quot;M&quot;;[&gt;=1000]\ \ \$#,##0.00,\ &quot;K&quot;;\ \$##0.0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PivotTables!$F$12</c:f>
              <c:strCache>
                <c:ptCount val="1"/>
                <c:pt idx="0">
                  <c:v>Total</c:v>
                </c:pt>
              </c:strCache>
            </c:strRef>
          </c:tx>
          <c:spPr>
            <a:ln w="28575" cap="rnd">
              <a:solidFill>
                <a:schemeClr val="accent1"/>
              </a:solidFill>
              <a:round/>
            </a:ln>
            <a:effectLst/>
          </c:spPr>
          <c:marker>
            <c:symbol val="none"/>
          </c:marker>
          <c:dLbls>
            <c:numFmt formatCode="[&gt;=1000000]\ \$#,##0.00,,\ &quot;M&quot;;[&gt;=1000]\ \ \$#,##0.00,\ &quot;K&quot;;\ \$##0.0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PivotTables!$E$13:$E$18</c:f>
              <c:strCache>
                <c:ptCount val="5"/>
                <c:pt idx="0">
                  <c:v>Asia</c:v>
                </c:pt>
                <c:pt idx="1">
                  <c:v>Europe</c:v>
                </c:pt>
                <c:pt idx="2">
                  <c:v>North America</c:v>
                </c:pt>
                <c:pt idx="3">
                  <c:v>Africa</c:v>
                </c:pt>
                <c:pt idx="4">
                  <c:v>Other</c:v>
                </c:pt>
              </c:strCache>
            </c:strRef>
          </c:cat>
          <c:val>
            <c:numRef>
              <c:f>PivotTables!$F$13:$F$18</c:f>
              <c:numCache>
                <c:formatCode>[&gt;=1000000]\ \$#,##0.00,,\ "M";[&gt;=1000]\ \ \$#,##0.00,\ "K";\ \$##0.00</c:formatCode>
                <c:ptCount val="5"/>
                <c:pt idx="0">
                  <c:v>2650.8534892787511</c:v>
                </c:pt>
                <c:pt idx="1">
                  <c:v>2604.1972690763055</c:v>
                </c:pt>
                <c:pt idx="2">
                  <c:v>2585.8274224806214</c:v>
                </c:pt>
                <c:pt idx="3">
                  <c:v>2567.8780801687758</c:v>
                </c:pt>
                <c:pt idx="4">
                  <c:v>2462.8726166328611</c:v>
                </c:pt>
              </c:numCache>
            </c:numRef>
          </c:val>
          <c:smooth val="0"/>
          <c:extLst>
            <c:ext xmlns:c16="http://schemas.microsoft.com/office/drawing/2014/chart" uri="{C3380CC4-5D6E-409C-BE32-E72D297353CC}">
              <c16:uniqueId val="{00000000-CC01-45B9-AE42-A2EC404D6212}"/>
            </c:ext>
          </c:extLst>
        </c:ser>
        <c:dLbls>
          <c:showLegendKey val="0"/>
          <c:showVal val="1"/>
          <c:showCatName val="0"/>
          <c:showSerName val="0"/>
          <c:showPercent val="0"/>
          <c:showBubbleSize val="0"/>
        </c:dLbls>
        <c:smooth val="0"/>
        <c:axId val="796740703"/>
        <c:axId val="798545135"/>
      </c:lineChart>
      <c:catAx>
        <c:axId val="796740703"/>
        <c:scaling>
          <c:orientation val="minMax"/>
        </c:scaling>
        <c:delete val="0"/>
        <c:axPos val="b"/>
        <c:title>
          <c:tx>
            <c:rich>
              <a:bodyPr rot="0" spcFirstLastPara="1" vertOverflow="ellipsis" vert="horz" wrap="square" anchor="ctr" anchorCtr="1"/>
              <a:lstStyle/>
              <a:p>
                <a:pPr algn="ctr">
                  <a:defRPr sz="1000" b="1" i="0" u="none" strike="noStrike" kern="1200" baseline="0">
                    <a:solidFill>
                      <a:srgbClr val="002060"/>
                    </a:solidFill>
                    <a:latin typeface="+mn-lt"/>
                    <a:ea typeface="+mn-ea"/>
                    <a:cs typeface="+mn-cs"/>
                  </a:defRPr>
                </a:pPr>
                <a:r>
                  <a:rPr lang="en-US" b="1">
                    <a:solidFill>
                      <a:srgbClr val="002060"/>
                    </a:solidFill>
                  </a:rPr>
                  <a:t>REGION</a:t>
                </a:r>
              </a:p>
            </c:rich>
          </c:tx>
          <c:layout>
            <c:manualLayout>
              <c:xMode val="edge"/>
              <c:yMode val="edge"/>
              <c:x val="0.44528135157015003"/>
              <c:y val="0.87868037328667248"/>
            </c:manualLayout>
          </c:layout>
          <c:overlay val="0"/>
          <c:spPr>
            <a:noFill/>
            <a:ln>
              <a:noFill/>
            </a:ln>
            <a:effectLst/>
          </c:spPr>
          <c:txPr>
            <a:bodyPr rot="0" spcFirstLastPara="1" vertOverflow="ellipsis" vert="horz" wrap="square" anchor="ctr" anchorCtr="1"/>
            <a:lstStyle/>
            <a:p>
              <a:pPr algn="ctr">
                <a:defRPr sz="1000" b="1" i="0" u="none" strike="noStrike" kern="1200" baseline="0">
                  <a:solidFill>
                    <a:srgbClr val="002060"/>
                  </a:solidFill>
                  <a:latin typeface="+mn-lt"/>
                  <a:ea typeface="+mn-ea"/>
                  <a:cs typeface="+mn-cs"/>
                </a:defRPr>
              </a:pPr>
              <a:endParaRPr lang="en-NG"/>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NG"/>
          </a:p>
        </c:txPr>
        <c:crossAx val="798545135"/>
        <c:crosses val="autoZero"/>
        <c:auto val="1"/>
        <c:lblAlgn val="ctr"/>
        <c:lblOffset val="100"/>
        <c:noMultiLvlLbl val="0"/>
      </c:catAx>
      <c:valAx>
        <c:axId val="798545135"/>
        <c:scaling>
          <c:orientation val="minMax"/>
        </c:scaling>
        <c:delete val="0"/>
        <c:axPos val="l"/>
        <c:title>
          <c:tx>
            <c:rich>
              <a:bodyPr rot="-5400000" spcFirstLastPara="1" vertOverflow="ellipsis" vert="horz" wrap="square" anchor="ctr" anchorCtr="1"/>
              <a:lstStyle/>
              <a:p>
                <a:pPr>
                  <a:defRPr sz="1000" b="1" i="0" u="none" strike="noStrike" kern="1200" baseline="0">
                    <a:solidFill>
                      <a:srgbClr val="002060"/>
                    </a:solidFill>
                    <a:latin typeface="+mn-lt"/>
                    <a:ea typeface="+mn-ea"/>
                    <a:cs typeface="+mn-cs"/>
                  </a:defRPr>
                </a:pPr>
                <a:r>
                  <a:rPr lang="en-GB" b="1">
                    <a:solidFill>
                      <a:srgbClr val="002060"/>
                    </a:solidFill>
                  </a:rPr>
                  <a:t>EXPENSES</a:t>
                </a:r>
                <a:endParaRPr lang="en-NG" b="1">
                  <a:solidFill>
                    <a:srgbClr val="002060"/>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NG"/>
            </a:p>
          </c:txPr>
        </c:title>
        <c:numFmt formatCode="[&gt;=1000000]\ \$#,##0.00,,\ &quot;M&quot;;[&gt;=1000]\ \ \$#,##0.00,\ &quot;K&quot;;\ \$##0.0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75000"/>
                  </a:schemeClr>
                </a:solidFill>
                <a:latin typeface="+mn-lt"/>
                <a:ea typeface="+mn-ea"/>
                <a:cs typeface="+mn-cs"/>
              </a:defRPr>
            </a:pPr>
            <a:endParaRPr lang="en-NG"/>
          </a:p>
        </c:txPr>
        <c:crossAx val="796740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6" Type="http://schemas.openxmlformats.org/officeDocument/2006/relationships/image" Target="../media/image12.svg"/><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10</xdr:col>
      <xdr:colOff>330188</xdr:colOff>
      <xdr:row>26</xdr:row>
      <xdr:rowOff>96838</xdr:rowOff>
    </xdr:from>
    <xdr:to>
      <xdr:col>14</xdr:col>
      <xdr:colOff>257188</xdr:colOff>
      <xdr:row>35</xdr:row>
      <xdr:rowOff>182338</xdr:rowOff>
    </xdr:to>
    <xdr:graphicFrame macro="">
      <xdr:nvGraphicFramePr>
        <xdr:cNvPr id="2" name="pie_income_vs_E&amp;S">
          <a:extLst>
            <a:ext uri="{FF2B5EF4-FFF2-40B4-BE49-F238E27FC236}">
              <a16:creationId xmlns:a16="http://schemas.microsoft.com/office/drawing/2014/main" id="{626B6C5E-840E-4B7C-B377-5E9D6B200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381001</xdr:colOff>
      <xdr:row>26</xdr:row>
      <xdr:rowOff>96838</xdr:rowOff>
    </xdr:from>
    <xdr:to>
      <xdr:col>10</xdr:col>
      <xdr:colOff>254001</xdr:colOff>
      <xdr:row>35</xdr:row>
      <xdr:rowOff>182338</xdr:rowOff>
    </xdr:to>
    <xdr:graphicFrame macro="">
      <xdr:nvGraphicFramePr>
        <xdr:cNvPr id="4" name="highRisk_chart">
          <a:extLst>
            <a:ext uri="{FF2B5EF4-FFF2-40B4-BE49-F238E27FC236}">
              <a16:creationId xmlns:a16="http://schemas.microsoft.com/office/drawing/2014/main" id="{B80FD9A4-BC6A-41B6-B980-73E34ACC8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333375</xdr:colOff>
      <xdr:row>26</xdr:row>
      <xdr:rowOff>96838</xdr:rowOff>
    </xdr:from>
    <xdr:to>
      <xdr:col>23</xdr:col>
      <xdr:colOff>0</xdr:colOff>
      <xdr:row>35</xdr:row>
      <xdr:rowOff>182338</xdr:rowOff>
    </xdr:to>
    <xdr:graphicFrame macro="">
      <xdr:nvGraphicFramePr>
        <xdr:cNvPr id="5" name="DTI_chart">
          <a:extLst>
            <a:ext uri="{FF2B5EF4-FFF2-40B4-BE49-F238E27FC236}">
              <a16:creationId xmlns:a16="http://schemas.microsoft.com/office/drawing/2014/main" id="{C5160A75-7708-49A6-860C-D542AF0FE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55564</xdr:colOff>
      <xdr:row>3</xdr:row>
      <xdr:rowOff>80963</xdr:rowOff>
    </xdr:from>
    <xdr:to>
      <xdr:col>2</xdr:col>
      <xdr:colOff>289064</xdr:colOff>
      <xdr:row>9</xdr:row>
      <xdr:rowOff>89963</xdr:rowOff>
    </xdr:to>
    <mc:AlternateContent xmlns:mc="http://schemas.openxmlformats.org/markup-compatibility/2006">
      <mc:Choice xmlns:a14="http://schemas.microsoft.com/office/drawing/2010/main" Requires="a14">
        <xdr:graphicFrame macro="">
          <xdr:nvGraphicFramePr>
            <xdr:cNvPr id="6" name="age">
              <a:extLst>
                <a:ext uri="{FF2B5EF4-FFF2-40B4-BE49-F238E27FC236}">
                  <a16:creationId xmlns:a16="http://schemas.microsoft.com/office/drawing/2014/main" id="{F899788A-4788-4D18-B37F-DB141C6DB3C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55564" y="652463"/>
              <a:ext cx="1461167" cy="1152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55564</xdr:colOff>
      <xdr:row>10</xdr:row>
      <xdr:rowOff>9525</xdr:rowOff>
    </xdr:from>
    <xdr:to>
      <xdr:col>2</xdr:col>
      <xdr:colOff>289064</xdr:colOff>
      <xdr:row>16</xdr:row>
      <xdr:rowOff>18525</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8E4C99F7-C25A-4618-8AB3-167401B483E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5564" y="1914525"/>
              <a:ext cx="1461167" cy="1152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55564</xdr:colOff>
      <xdr:row>29</xdr:row>
      <xdr:rowOff>176213</xdr:rowOff>
    </xdr:from>
    <xdr:to>
      <xdr:col>2</xdr:col>
      <xdr:colOff>289064</xdr:colOff>
      <xdr:row>35</xdr:row>
      <xdr:rowOff>185213</xdr:rowOff>
    </xdr:to>
    <mc:AlternateContent xmlns:mc="http://schemas.openxmlformats.org/markup-compatibility/2006">
      <mc:Choice xmlns:a14="http://schemas.microsoft.com/office/drawing/2010/main" Requires="a14">
        <xdr:graphicFrame macro="">
          <xdr:nvGraphicFramePr>
            <xdr:cNvPr id="8" name="education_level">
              <a:extLst>
                <a:ext uri="{FF2B5EF4-FFF2-40B4-BE49-F238E27FC236}">
                  <a16:creationId xmlns:a16="http://schemas.microsoft.com/office/drawing/2014/main" id="{50229BAE-10E9-470F-9EF8-490C3DE8FCA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dr:sp macro="" textlink="">
          <xdr:nvSpPr>
            <xdr:cNvPr id="0" name=""/>
            <xdr:cNvSpPr>
              <a:spLocks noTextEdit="1"/>
            </xdr:cNvSpPr>
          </xdr:nvSpPr>
          <xdr:spPr>
            <a:xfrm>
              <a:off x="55564" y="5700713"/>
              <a:ext cx="1461167" cy="1152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55564</xdr:colOff>
      <xdr:row>16</xdr:row>
      <xdr:rowOff>128587</xdr:rowOff>
    </xdr:from>
    <xdr:to>
      <xdr:col>2</xdr:col>
      <xdr:colOff>289064</xdr:colOff>
      <xdr:row>22</xdr:row>
      <xdr:rowOff>137587</xdr:rowOff>
    </xdr:to>
    <mc:AlternateContent xmlns:mc="http://schemas.openxmlformats.org/markup-compatibility/2006">
      <mc:Choice xmlns:a14="http://schemas.microsoft.com/office/drawing/2010/main" Requires="a14">
        <xdr:graphicFrame macro="">
          <xdr:nvGraphicFramePr>
            <xdr:cNvPr id="9" name="employment_status">
              <a:extLst>
                <a:ext uri="{FF2B5EF4-FFF2-40B4-BE49-F238E27FC236}">
                  <a16:creationId xmlns:a16="http://schemas.microsoft.com/office/drawing/2014/main" id="{2F1983E6-9F53-45CB-BD94-52DD760C823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mployment_status"/>
            </a:graphicData>
          </a:graphic>
        </xdr:graphicFrame>
      </mc:Choice>
      <mc:Fallback>
        <xdr:sp macro="" textlink="">
          <xdr:nvSpPr>
            <xdr:cNvPr id="0" name=""/>
            <xdr:cNvSpPr>
              <a:spLocks noTextEdit="1"/>
            </xdr:cNvSpPr>
          </xdr:nvSpPr>
          <xdr:spPr>
            <a:xfrm>
              <a:off x="55564" y="3176587"/>
              <a:ext cx="1461167" cy="1152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55564</xdr:colOff>
      <xdr:row>23</xdr:row>
      <xdr:rowOff>57149</xdr:rowOff>
    </xdr:from>
    <xdr:to>
      <xdr:col>2</xdr:col>
      <xdr:colOff>289064</xdr:colOff>
      <xdr:row>29</xdr:row>
      <xdr:rowOff>66149</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30FDFBBC-AAC5-4731-875B-B8B899444A0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5564" y="4438649"/>
              <a:ext cx="1461167" cy="1152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xdr:col>
      <xdr:colOff>394757</xdr:colOff>
      <xdr:row>3</xdr:row>
      <xdr:rowOff>79904</xdr:rowOff>
    </xdr:from>
    <xdr:to>
      <xdr:col>7</xdr:col>
      <xdr:colOff>142875</xdr:colOff>
      <xdr:row>10</xdr:row>
      <xdr:rowOff>118271</xdr:rowOff>
    </xdr:to>
    <mc:AlternateContent xmlns:mc="http://schemas.openxmlformats.org/markup-compatibility/2006">
      <mc:Choice xmlns:tsle="http://schemas.microsoft.com/office/drawing/2012/timeslicer" Requires="tsle">
        <xdr:graphicFrame macro="">
          <xdr:nvGraphicFramePr>
            <xdr:cNvPr id="11" name="record_date">
              <a:extLst>
                <a:ext uri="{FF2B5EF4-FFF2-40B4-BE49-F238E27FC236}">
                  <a16:creationId xmlns:a16="http://schemas.microsoft.com/office/drawing/2014/main" id="{34C5C1D8-5C3A-4556-949B-6702DDB186B7}"/>
                </a:ext>
              </a:extLst>
            </xdr:cNvPr>
            <xdr:cNvGraphicFramePr/>
          </xdr:nvGraphicFramePr>
          <xdr:xfrm>
            <a:off x="0" y="0"/>
            <a:ext cx="0" cy="0"/>
          </xdr:xfrm>
          <a:graphic>
            <a:graphicData uri="http://schemas.microsoft.com/office/drawing/2012/timeslicer">
              <tsle:timeslicer xmlns:tsle="http://schemas.microsoft.com/office/drawing/2012/timeslicer" name="record_date"/>
            </a:graphicData>
          </a:graphic>
        </xdr:graphicFrame>
      </mc:Choice>
      <mc:Fallback>
        <xdr:sp macro="" textlink="">
          <xdr:nvSpPr>
            <xdr:cNvPr id="0" name=""/>
            <xdr:cNvSpPr>
              <a:spLocks noTextEdit="1"/>
            </xdr:cNvSpPr>
          </xdr:nvSpPr>
          <xdr:spPr>
            <a:xfrm>
              <a:off x="1622424" y="651404"/>
              <a:ext cx="2817284" cy="1371867"/>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fPrintsWithSheet="0"/>
  </xdr:twoCellAnchor>
  <xdr:twoCellAnchor editAs="absolute">
    <xdr:from>
      <xdr:col>7</xdr:col>
      <xdr:colOff>262201</xdr:colOff>
      <xdr:row>3</xdr:row>
      <xdr:rowOff>79905</xdr:rowOff>
    </xdr:from>
    <xdr:to>
      <xdr:col>13</xdr:col>
      <xdr:colOff>118798</xdr:colOff>
      <xdr:row>10</xdr:row>
      <xdr:rowOff>118272</xdr:rowOff>
    </xdr:to>
    <mc:AlternateContent xmlns:mc="http://schemas.openxmlformats.org/markup-compatibility/2006">
      <mc:Choice xmlns:tsle="http://schemas.microsoft.com/office/drawing/2012/timeslicer" Requires="tsle">
        <xdr:graphicFrame macro="">
          <xdr:nvGraphicFramePr>
            <xdr:cNvPr id="12" name="record_date 1">
              <a:extLst>
                <a:ext uri="{FF2B5EF4-FFF2-40B4-BE49-F238E27FC236}">
                  <a16:creationId xmlns:a16="http://schemas.microsoft.com/office/drawing/2014/main" id="{D7D862AC-341A-41D2-8E8A-71494A5DF5C0}"/>
                </a:ext>
              </a:extLst>
            </xdr:cNvPr>
            <xdr:cNvGraphicFramePr/>
          </xdr:nvGraphicFramePr>
          <xdr:xfrm>
            <a:off x="0" y="0"/>
            <a:ext cx="0" cy="0"/>
          </xdr:xfrm>
          <a:graphic>
            <a:graphicData uri="http://schemas.microsoft.com/office/drawing/2012/timeslicer">
              <tsle:timeslicer xmlns:tsle="http://schemas.microsoft.com/office/drawing/2012/timeslicer" name="record_date 1"/>
            </a:graphicData>
          </a:graphic>
        </xdr:graphicFrame>
      </mc:Choice>
      <mc:Fallback>
        <xdr:sp macro="" textlink="">
          <xdr:nvSpPr>
            <xdr:cNvPr id="0" name=""/>
            <xdr:cNvSpPr>
              <a:spLocks noTextEdit="1"/>
            </xdr:cNvSpPr>
          </xdr:nvSpPr>
          <xdr:spPr>
            <a:xfrm>
              <a:off x="4559034" y="651405"/>
              <a:ext cx="3539597" cy="1371867"/>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fLocksWithSheet="0"/>
  </xdr:twoCellAnchor>
  <xdr:twoCellAnchor editAs="absolute">
    <xdr:from>
      <xdr:col>13</xdr:col>
      <xdr:colOff>238125</xdr:colOff>
      <xdr:row>3</xdr:row>
      <xdr:rowOff>79905</xdr:rowOff>
    </xdr:from>
    <xdr:to>
      <xdr:col>23</xdr:col>
      <xdr:colOff>0</xdr:colOff>
      <xdr:row>10</xdr:row>
      <xdr:rowOff>118272</xdr:rowOff>
    </xdr:to>
    <mc:AlternateContent xmlns:mc="http://schemas.openxmlformats.org/markup-compatibility/2006">
      <mc:Choice xmlns:tsle="http://schemas.microsoft.com/office/drawing/2012/timeslicer" Requires="tsle">
        <xdr:graphicFrame macro="">
          <xdr:nvGraphicFramePr>
            <xdr:cNvPr id="13" name="record_date 2">
              <a:extLst>
                <a:ext uri="{FF2B5EF4-FFF2-40B4-BE49-F238E27FC236}">
                  <a16:creationId xmlns:a16="http://schemas.microsoft.com/office/drawing/2014/main" id="{2E1838D9-4E16-42CB-9246-088A0077E395}"/>
                </a:ext>
              </a:extLst>
            </xdr:cNvPr>
            <xdr:cNvGraphicFramePr/>
          </xdr:nvGraphicFramePr>
          <xdr:xfrm>
            <a:off x="0" y="0"/>
            <a:ext cx="0" cy="0"/>
          </xdr:xfrm>
          <a:graphic>
            <a:graphicData uri="http://schemas.microsoft.com/office/drawing/2012/timeslicer">
              <tsle:timeslicer xmlns:tsle="http://schemas.microsoft.com/office/drawing/2012/timeslicer" name="record_date 2"/>
            </a:graphicData>
          </a:graphic>
        </xdr:graphicFrame>
      </mc:Choice>
      <mc:Fallback>
        <xdr:sp macro="" textlink="">
          <xdr:nvSpPr>
            <xdr:cNvPr id="0" name=""/>
            <xdr:cNvSpPr>
              <a:spLocks noTextEdit="1"/>
            </xdr:cNvSpPr>
          </xdr:nvSpPr>
          <xdr:spPr>
            <a:xfrm>
              <a:off x="8217958" y="651405"/>
              <a:ext cx="6027209" cy="1371867"/>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fLocksWithSheet="0"/>
  </xdr:twoCellAnchor>
  <xdr:twoCellAnchor>
    <xdr:from>
      <xdr:col>2</xdr:col>
      <xdr:colOff>381000</xdr:colOff>
      <xdr:row>14</xdr:row>
      <xdr:rowOff>17463</xdr:rowOff>
    </xdr:from>
    <xdr:to>
      <xdr:col>23</xdr:col>
      <xdr:colOff>0</xdr:colOff>
      <xdr:row>26</xdr:row>
      <xdr:rowOff>15875</xdr:rowOff>
    </xdr:to>
    <xdr:graphicFrame macro="">
      <xdr:nvGraphicFramePr>
        <xdr:cNvPr id="14" name="expenses_chart">
          <a:extLst>
            <a:ext uri="{FF2B5EF4-FFF2-40B4-BE49-F238E27FC236}">
              <a16:creationId xmlns:a16="http://schemas.microsoft.com/office/drawing/2014/main" id="{1B7132A3-4381-7A5B-DDB8-5C0021723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390181</xdr:colOff>
      <xdr:row>11</xdr:row>
      <xdr:rowOff>34427</xdr:rowOff>
    </xdr:from>
    <xdr:to>
      <xdr:col>5</xdr:col>
      <xdr:colOff>68857</xdr:colOff>
      <xdr:row>13</xdr:row>
      <xdr:rowOff>183613</xdr:rowOff>
    </xdr:to>
    <xdr:grpSp>
      <xdr:nvGrpSpPr>
        <xdr:cNvPr id="25" name="Group 24">
          <a:extLst>
            <a:ext uri="{FF2B5EF4-FFF2-40B4-BE49-F238E27FC236}">
              <a16:creationId xmlns:a16="http://schemas.microsoft.com/office/drawing/2014/main" id="{43528E0F-8CA3-C3E6-B18D-D5DACC031AC8}"/>
            </a:ext>
          </a:extLst>
        </xdr:cNvPr>
        <xdr:cNvGrpSpPr/>
      </xdr:nvGrpSpPr>
      <xdr:grpSpPr>
        <a:xfrm>
          <a:off x="1617848" y="2129927"/>
          <a:ext cx="1520176" cy="530186"/>
          <a:chOff x="1606627" y="2145993"/>
          <a:chExt cx="1503344" cy="539367"/>
        </a:xfrm>
      </xdr:grpSpPr>
      <xdr:sp macro="" textlink="">
        <xdr:nvSpPr>
          <xdr:cNvPr id="17" name="Rectangle: Rounded Corners 16">
            <a:extLst>
              <a:ext uri="{FF2B5EF4-FFF2-40B4-BE49-F238E27FC236}">
                <a16:creationId xmlns:a16="http://schemas.microsoft.com/office/drawing/2014/main" id="{0CD336E1-BD07-4339-3461-D26412248322}"/>
              </a:ext>
            </a:extLst>
          </xdr:cNvPr>
          <xdr:cNvSpPr/>
        </xdr:nvSpPr>
        <xdr:spPr>
          <a:xfrm>
            <a:off x="1606627" y="2145993"/>
            <a:ext cx="1482112" cy="539367"/>
          </a:xfrm>
          <a:prstGeom prst="roundRect">
            <a:avLst/>
          </a:prstGeom>
          <a:ln w="6350"/>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NG" sz="1100"/>
          </a:p>
        </xdr:txBody>
      </xdr:sp>
      <xdr:sp macro="" textlink="PivotTables!$B$13">
        <xdr:nvSpPr>
          <xdr:cNvPr id="19" name="TextBox 18">
            <a:extLst>
              <a:ext uri="{FF2B5EF4-FFF2-40B4-BE49-F238E27FC236}">
                <a16:creationId xmlns:a16="http://schemas.microsoft.com/office/drawing/2014/main" id="{0B21D042-C533-978B-4096-414F8C2AF57E}"/>
              </a:ext>
            </a:extLst>
          </xdr:cNvPr>
          <xdr:cNvSpPr txBox="1"/>
        </xdr:nvSpPr>
        <xdr:spPr>
          <a:xfrm>
            <a:off x="2054189" y="2341084"/>
            <a:ext cx="768885" cy="342851"/>
          </a:xfrm>
          <a:prstGeom prst="rect">
            <a:avLst/>
          </a:prstGeom>
          <a:noFill/>
          <a:ln w="6350"/>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77FE0435-DA3D-42DF-AF2F-66ADE9D816EA}" type="TxLink">
              <a:rPr lang="en-US" sz="1600" b="1" i="0" u="none" strike="noStrike">
                <a:solidFill>
                  <a:srgbClr val="002060"/>
                </a:solidFill>
                <a:latin typeface="Aptos Narrow"/>
              </a:rPr>
              <a:pPr algn="ctr"/>
              <a:t>2,494</a:t>
            </a:fld>
            <a:endParaRPr lang="en-US" sz="1600" b="1">
              <a:solidFill>
                <a:srgbClr val="002060"/>
              </a:solidFill>
            </a:endParaRPr>
          </a:p>
        </xdr:txBody>
      </xdr:sp>
      <xdr:sp macro="" textlink="">
        <xdr:nvSpPr>
          <xdr:cNvPr id="21" name="TextBox 20">
            <a:extLst>
              <a:ext uri="{FF2B5EF4-FFF2-40B4-BE49-F238E27FC236}">
                <a16:creationId xmlns:a16="http://schemas.microsoft.com/office/drawing/2014/main" id="{FA6B9DCF-82E1-C19D-D188-330854716518}"/>
              </a:ext>
            </a:extLst>
          </xdr:cNvPr>
          <xdr:cNvSpPr txBox="1"/>
        </xdr:nvSpPr>
        <xdr:spPr>
          <a:xfrm>
            <a:off x="2054189" y="2145994"/>
            <a:ext cx="1055782" cy="280205"/>
          </a:xfrm>
          <a:prstGeom prst="rect">
            <a:avLst/>
          </a:prstGeom>
          <a:noFill/>
          <a:ln w="6350"/>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i="0" u="none" strike="noStrike">
                <a:solidFill>
                  <a:srgbClr val="002060"/>
                </a:solidFill>
                <a:latin typeface="Aptos Narrow"/>
              </a:rPr>
              <a:t>Total</a:t>
            </a:r>
            <a:r>
              <a:rPr lang="en-US" sz="1200" b="1" i="0" u="none" strike="noStrike" baseline="0">
                <a:solidFill>
                  <a:srgbClr val="002060"/>
                </a:solidFill>
                <a:latin typeface="Aptos Narrow"/>
              </a:rPr>
              <a:t> Records</a:t>
            </a:r>
            <a:endParaRPr lang="en-US" sz="1200" b="1" i="0" u="none" strike="noStrike">
              <a:solidFill>
                <a:srgbClr val="002060"/>
              </a:solidFill>
              <a:latin typeface="Aptos Narrow"/>
            </a:endParaRPr>
          </a:p>
        </xdr:txBody>
      </xdr:sp>
      <xdr:pic>
        <xdr:nvPicPr>
          <xdr:cNvPr id="23" name="Graphic 22" descr="Database with solid fill">
            <a:extLst>
              <a:ext uri="{FF2B5EF4-FFF2-40B4-BE49-F238E27FC236}">
                <a16:creationId xmlns:a16="http://schemas.microsoft.com/office/drawing/2014/main" id="{231C6FFC-BEA9-B3A9-F5B9-1BB28929AEC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98433" y="2198964"/>
            <a:ext cx="432000" cy="432000"/>
          </a:xfrm>
          <a:prstGeom prst="rect">
            <a:avLst/>
          </a:prstGeom>
        </xdr:spPr>
      </xdr:pic>
    </xdr:grpSp>
    <xdr:clientData/>
  </xdr:twoCellAnchor>
  <xdr:twoCellAnchor>
    <xdr:from>
      <xdr:col>6</xdr:col>
      <xdr:colOff>140007</xdr:colOff>
      <xdr:row>11</xdr:row>
      <xdr:rowOff>34427</xdr:rowOff>
    </xdr:from>
    <xdr:to>
      <xdr:col>8</xdr:col>
      <xdr:colOff>405673</xdr:colOff>
      <xdr:row>13</xdr:row>
      <xdr:rowOff>183613</xdr:rowOff>
    </xdr:to>
    <xdr:grpSp>
      <xdr:nvGrpSpPr>
        <xdr:cNvPr id="68" name="Group 67">
          <a:extLst>
            <a:ext uri="{FF2B5EF4-FFF2-40B4-BE49-F238E27FC236}">
              <a16:creationId xmlns:a16="http://schemas.microsoft.com/office/drawing/2014/main" id="{49F036EF-EE6B-A23D-5346-BAD010E8AD0C}"/>
            </a:ext>
          </a:extLst>
        </xdr:cNvPr>
        <xdr:cNvGrpSpPr/>
      </xdr:nvGrpSpPr>
      <xdr:grpSpPr>
        <a:xfrm>
          <a:off x="3823007" y="2129927"/>
          <a:ext cx="1493333" cy="530186"/>
          <a:chOff x="3789344" y="2180421"/>
          <a:chExt cx="1482112" cy="539367"/>
        </a:xfrm>
      </xdr:grpSpPr>
      <xdr:sp macro="" textlink="">
        <xdr:nvSpPr>
          <xdr:cNvPr id="27" name="Rectangle: Rounded Corners 26">
            <a:extLst>
              <a:ext uri="{FF2B5EF4-FFF2-40B4-BE49-F238E27FC236}">
                <a16:creationId xmlns:a16="http://schemas.microsoft.com/office/drawing/2014/main" id="{D8838377-593D-D927-F11E-4BCA3F9EE341}"/>
              </a:ext>
            </a:extLst>
          </xdr:cNvPr>
          <xdr:cNvSpPr/>
        </xdr:nvSpPr>
        <xdr:spPr>
          <a:xfrm>
            <a:off x="3789344" y="2180421"/>
            <a:ext cx="1482112" cy="539367"/>
          </a:xfrm>
          <a:prstGeom prst="roundRect">
            <a:avLst/>
          </a:prstGeom>
          <a:ln w="6350"/>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NG" sz="1100"/>
          </a:p>
        </xdr:txBody>
      </xdr:sp>
      <xdr:grpSp>
        <xdr:nvGrpSpPr>
          <xdr:cNvPr id="53" name="Group 52">
            <a:extLst>
              <a:ext uri="{FF2B5EF4-FFF2-40B4-BE49-F238E27FC236}">
                <a16:creationId xmlns:a16="http://schemas.microsoft.com/office/drawing/2014/main" id="{81328C2D-3EF2-0A0D-49A4-2A6EFE4B5001}"/>
              </a:ext>
            </a:extLst>
          </xdr:cNvPr>
          <xdr:cNvGrpSpPr/>
        </xdr:nvGrpSpPr>
        <xdr:grpSpPr>
          <a:xfrm>
            <a:off x="4165753" y="2180422"/>
            <a:ext cx="1055782" cy="537941"/>
            <a:chOff x="4165753" y="2180422"/>
            <a:chExt cx="1055782" cy="537941"/>
          </a:xfrm>
        </xdr:grpSpPr>
        <xdr:sp macro="" textlink="PivotTables!$D$20">
          <xdr:nvSpPr>
            <xdr:cNvPr id="28" name="TextBox 27">
              <a:extLst>
                <a:ext uri="{FF2B5EF4-FFF2-40B4-BE49-F238E27FC236}">
                  <a16:creationId xmlns:a16="http://schemas.microsoft.com/office/drawing/2014/main" id="{7D667DD4-1BE2-7C08-8777-BC57D73260D0}"/>
                </a:ext>
              </a:extLst>
            </xdr:cNvPr>
            <xdr:cNvSpPr txBox="1"/>
          </xdr:nvSpPr>
          <xdr:spPr>
            <a:xfrm>
              <a:off x="4165753" y="2375512"/>
              <a:ext cx="983487" cy="342851"/>
            </a:xfrm>
            <a:prstGeom prst="rect">
              <a:avLst/>
            </a:prstGeom>
            <a:noFill/>
            <a:ln w="6350"/>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55885573-6106-4A68-ADAA-0DF621BF432E}" type="TxLink">
                <a:rPr lang="en-US" sz="1600" b="1" i="0" u="none" strike="noStrike">
                  <a:solidFill>
                    <a:srgbClr val="002060"/>
                  </a:solidFill>
                  <a:latin typeface="Aptos Narrow"/>
                </a:rPr>
                <a:t>  $4.27 K</a:t>
              </a:fld>
              <a:endParaRPr lang="en-US" sz="1600" b="1">
                <a:solidFill>
                  <a:srgbClr val="002060"/>
                </a:solidFill>
              </a:endParaRPr>
            </a:p>
          </xdr:txBody>
        </xdr:sp>
        <xdr:sp macro="" textlink="">
          <xdr:nvSpPr>
            <xdr:cNvPr id="29" name="TextBox 28">
              <a:extLst>
                <a:ext uri="{FF2B5EF4-FFF2-40B4-BE49-F238E27FC236}">
                  <a16:creationId xmlns:a16="http://schemas.microsoft.com/office/drawing/2014/main" id="{B7FB4B01-74B3-A589-99F3-951E93856856}"/>
                </a:ext>
              </a:extLst>
            </xdr:cNvPr>
            <xdr:cNvSpPr txBox="1"/>
          </xdr:nvSpPr>
          <xdr:spPr>
            <a:xfrm>
              <a:off x="4165753" y="2180422"/>
              <a:ext cx="1055782" cy="280205"/>
            </a:xfrm>
            <a:prstGeom prst="rect">
              <a:avLst/>
            </a:prstGeom>
            <a:noFill/>
            <a:ln w="6350"/>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002060"/>
                  </a:solidFill>
                  <a:latin typeface="Aptos Narrow"/>
                </a:rPr>
                <a:t>Income</a:t>
              </a:r>
            </a:p>
          </xdr:txBody>
        </xdr:sp>
      </xdr:grpSp>
      <xdr:pic>
        <xdr:nvPicPr>
          <xdr:cNvPr id="52" name="Graphic 51" descr="Dollar with solid fill">
            <a:extLst>
              <a:ext uri="{FF2B5EF4-FFF2-40B4-BE49-F238E27FC236}">
                <a16:creationId xmlns:a16="http://schemas.microsoft.com/office/drawing/2014/main" id="{75DCB80F-6F11-C504-2E67-3DDEB72F1E4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855904" y="2260753"/>
            <a:ext cx="432000" cy="432000"/>
          </a:xfrm>
          <a:prstGeom prst="rect">
            <a:avLst/>
          </a:prstGeom>
        </xdr:spPr>
      </xdr:pic>
    </xdr:grpSp>
    <xdr:clientData/>
  </xdr:twoCellAnchor>
  <xdr:twoCellAnchor>
    <xdr:from>
      <xdr:col>9</xdr:col>
      <xdr:colOff>498055</xdr:colOff>
      <xdr:row>11</xdr:row>
      <xdr:rowOff>34427</xdr:rowOff>
    </xdr:from>
    <xdr:to>
      <xdr:col>12</xdr:col>
      <xdr:colOff>176730</xdr:colOff>
      <xdr:row>13</xdr:row>
      <xdr:rowOff>183613</xdr:rowOff>
    </xdr:to>
    <xdr:grpSp>
      <xdr:nvGrpSpPr>
        <xdr:cNvPr id="67" name="Group 66">
          <a:extLst>
            <a:ext uri="{FF2B5EF4-FFF2-40B4-BE49-F238E27FC236}">
              <a16:creationId xmlns:a16="http://schemas.microsoft.com/office/drawing/2014/main" id="{507B837E-60D1-F30E-C38F-8C22C3E6C42E}"/>
            </a:ext>
          </a:extLst>
        </xdr:cNvPr>
        <xdr:cNvGrpSpPr/>
      </xdr:nvGrpSpPr>
      <xdr:grpSpPr>
        <a:xfrm>
          <a:off x="6022555" y="2129927"/>
          <a:ext cx="1520175" cy="530186"/>
          <a:chOff x="5972061" y="2180421"/>
          <a:chExt cx="1503344" cy="539367"/>
        </a:xfrm>
      </xdr:grpSpPr>
      <xdr:sp macro="" textlink="">
        <xdr:nvSpPr>
          <xdr:cNvPr id="32" name="Rectangle: Rounded Corners 31">
            <a:extLst>
              <a:ext uri="{FF2B5EF4-FFF2-40B4-BE49-F238E27FC236}">
                <a16:creationId xmlns:a16="http://schemas.microsoft.com/office/drawing/2014/main" id="{F458B2FD-4ABA-2A34-D15E-B35D2E9F8837}"/>
              </a:ext>
            </a:extLst>
          </xdr:cNvPr>
          <xdr:cNvSpPr/>
        </xdr:nvSpPr>
        <xdr:spPr>
          <a:xfrm>
            <a:off x="5972061" y="2180421"/>
            <a:ext cx="1482112" cy="539367"/>
          </a:xfrm>
          <a:prstGeom prst="roundRect">
            <a:avLst/>
          </a:prstGeom>
          <a:ln w="6350"/>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NG" sz="1100"/>
          </a:p>
        </xdr:txBody>
      </xdr:sp>
      <xdr:sp macro="" textlink="PivotTables!$F$18">
        <xdr:nvSpPr>
          <xdr:cNvPr id="33" name="TextBox 32">
            <a:extLst>
              <a:ext uri="{FF2B5EF4-FFF2-40B4-BE49-F238E27FC236}">
                <a16:creationId xmlns:a16="http://schemas.microsoft.com/office/drawing/2014/main" id="{26F39BD8-DA4D-4733-B422-3FB3FCBF4885}"/>
              </a:ext>
            </a:extLst>
          </xdr:cNvPr>
          <xdr:cNvSpPr txBox="1"/>
        </xdr:nvSpPr>
        <xdr:spPr>
          <a:xfrm>
            <a:off x="6419623" y="2375512"/>
            <a:ext cx="982335" cy="342851"/>
          </a:xfrm>
          <a:prstGeom prst="rect">
            <a:avLst/>
          </a:prstGeom>
          <a:noFill/>
          <a:ln w="6350"/>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832943B6-FEBE-4103-BAF9-6AE100ACF2BB}" type="TxLink">
              <a:rPr lang="en-US" sz="1600" b="1" i="0" u="none" strike="noStrike">
                <a:solidFill>
                  <a:srgbClr val="002060"/>
                </a:solidFill>
                <a:latin typeface="Aptos Narrow"/>
              </a:rPr>
              <a:t>  $2.58 K</a:t>
            </a:fld>
            <a:endParaRPr lang="en-US" sz="1600" b="1">
              <a:solidFill>
                <a:srgbClr val="002060"/>
              </a:solidFill>
            </a:endParaRPr>
          </a:p>
        </xdr:txBody>
      </xdr:sp>
      <xdr:sp macro="" textlink="">
        <xdr:nvSpPr>
          <xdr:cNvPr id="34" name="TextBox 33">
            <a:extLst>
              <a:ext uri="{FF2B5EF4-FFF2-40B4-BE49-F238E27FC236}">
                <a16:creationId xmlns:a16="http://schemas.microsoft.com/office/drawing/2014/main" id="{5676A1CC-74F7-AA81-D674-C2909278DA1E}"/>
              </a:ext>
            </a:extLst>
          </xdr:cNvPr>
          <xdr:cNvSpPr txBox="1"/>
        </xdr:nvSpPr>
        <xdr:spPr>
          <a:xfrm>
            <a:off x="6419623" y="2180422"/>
            <a:ext cx="1055782" cy="280205"/>
          </a:xfrm>
          <a:prstGeom prst="rect">
            <a:avLst/>
          </a:prstGeom>
          <a:noFill/>
          <a:ln w="6350"/>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002060"/>
                </a:solidFill>
                <a:latin typeface="Aptos Narrow"/>
              </a:rPr>
              <a:t>Expenses</a:t>
            </a:r>
          </a:p>
        </xdr:txBody>
      </xdr:sp>
      <xdr:pic>
        <xdr:nvPicPr>
          <xdr:cNvPr id="54" name="Graphic 53" descr="Dollar with solid fill">
            <a:extLst>
              <a:ext uri="{FF2B5EF4-FFF2-40B4-BE49-F238E27FC236}">
                <a16:creationId xmlns:a16="http://schemas.microsoft.com/office/drawing/2014/main" id="{61EFF2D8-8717-F26F-E41D-32D3E6027D4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070754" y="2237801"/>
            <a:ext cx="432000" cy="432000"/>
          </a:xfrm>
          <a:prstGeom prst="rect">
            <a:avLst/>
          </a:prstGeom>
        </xdr:spPr>
      </xdr:pic>
    </xdr:grpSp>
    <xdr:clientData/>
  </xdr:twoCellAnchor>
  <xdr:twoCellAnchor>
    <xdr:from>
      <xdr:col>13</xdr:col>
      <xdr:colOff>247880</xdr:colOff>
      <xdr:row>11</xdr:row>
      <xdr:rowOff>34427</xdr:rowOff>
    </xdr:from>
    <xdr:to>
      <xdr:col>15</xdr:col>
      <xdr:colOff>534779</xdr:colOff>
      <xdr:row>13</xdr:row>
      <xdr:rowOff>183613</xdr:rowOff>
    </xdr:to>
    <xdr:grpSp>
      <xdr:nvGrpSpPr>
        <xdr:cNvPr id="66" name="Group 65">
          <a:extLst>
            <a:ext uri="{FF2B5EF4-FFF2-40B4-BE49-F238E27FC236}">
              <a16:creationId xmlns:a16="http://schemas.microsoft.com/office/drawing/2014/main" id="{8C5B14F3-C6A2-70BA-969E-1753047D5172}"/>
            </a:ext>
          </a:extLst>
        </xdr:cNvPr>
        <xdr:cNvGrpSpPr/>
      </xdr:nvGrpSpPr>
      <xdr:grpSpPr>
        <a:xfrm>
          <a:off x="8227713" y="2129927"/>
          <a:ext cx="1514566" cy="530186"/>
          <a:chOff x="8154778" y="2180421"/>
          <a:chExt cx="1503344" cy="539367"/>
        </a:xfrm>
      </xdr:grpSpPr>
      <xdr:sp macro="" textlink="">
        <xdr:nvSpPr>
          <xdr:cNvPr id="37" name="Rectangle: Rounded Corners 36">
            <a:extLst>
              <a:ext uri="{FF2B5EF4-FFF2-40B4-BE49-F238E27FC236}">
                <a16:creationId xmlns:a16="http://schemas.microsoft.com/office/drawing/2014/main" id="{11E654A3-3B2D-23A0-2A75-B53FBF2BA8FF}"/>
              </a:ext>
            </a:extLst>
          </xdr:cNvPr>
          <xdr:cNvSpPr/>
        </xdr:nvSpPr>
        <xdr:spPr>
          <a:xfrm>
            <a:off x="8154778" y="2180421"/>
            <a:ext cx="1482112" cy="539367"/>
          </a:xfrm>
          <a:prstGeom prst="roundRect">
            <a:avLst/>
          </a:prstGeom>
          <a:ln w="6350"/>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NG" sz="1100"/>
          </a:p>
        </xdr:txBody>
      </xdr:sp>
      <xdr:grpSp>
        <xdr:nvGrpSpPr>
          <xdr:cNvPr id="56" name="Group 55">
            <a:extLst>
              <a:ext uri="{FF2B5EF4-FFF2-40B4-BE49-F238E27FC236}">
                <a16:creationId xmlns:a16="http://schemas.microsoft.com/office/drawing/2014/main" id="{AE6EE7DD-3A56-9A14-B216-A1E6898FCBEB}"/>
              </a:ext>
            </a:extLst>
          </xdr:cNvPr>
          <xdr:cNvGrpSpPr/>
        </xdr:nvGrpSpPr>
        <xdr:grpSpPr>
          <a:xfrm>
            <a:off x="8602340" y="2180422"/>
            <a:ext cx="1055782" cy="537941"/>
            <a:chOff x="8602340" y="2180422"/>
            <a:chExt cx="1055782" cy="537941"/>
          </a:xfrm>
        </xdr:grpSpPr>
        <xdr:sp macro="" textlink="PivotTables!$H$20">
          <xdr:nvSpPr>
            <xdr:cNvPr id="38" name="TextBox 37">
              <a:extLst>
                <a:ext uri="{FF2B5EF4-FFF2-40B4-BE49-F238E27FC236}">
                  <a16:creationId xmlns:a16="http://schemas.microsoft.com/office/drawing/2014/main" id="{8A1F660D-CA1B-5712-633C-AB046248B96F}"/>
                </a:ext>
              </a:extLst>
            </xdr:cNvPr>
            <xdr:cNvSpPr txBox="1"/>
          </xdr:nvSpPr>
          <xdr:spPr>
            <a:xfrm>
              <a:off x="8677508" y="2375512"/>
              <a:ext cx="905446" cy="342851"/>
            </a:xfrm>
            <a:prstGeom prst="rect">
              <a:avLst/>
            </a:prstGeom>
            <a:noFill/>
            <a:ln w="6350"/>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A1CA0262-4665-42C5-905A-8D202D8DA8D5}" type="TxLink">
                <a:rPr lang="en-US" sz="1600" b="1" i="0" u="none" strike="noStrike">
                  <a:solidFill>
                    <a:srgbClr val="002060"/>
                  </a:solidFill>
                  <a:latin typeface="Aptos Narrow"/>
                </a:rPr>
                <a:t>  $27.91 K</a:t>
              </a:fld>
              <a:endParaRPr lang="en-US" sz="1600" b="1">
                <a:solidFill>
                  <a:srgbClr val="002060"/>
                </a:solidFill>
              </a:endParaRPr>
            </a:p>
          </xdr:txBody>
        </xdr:sp>
        <xdr:sp macro="" textlink="">
          <xdr:nvSpPr>
            <xdr:cNvPr id="39" name="TextBox 38">
              <a:extLst>
                <a:ext uri="{FF2B5EF4-FFF2-40B4-BE49-F238E27FC236}">
                  <a16:creationId xmlns:a16="http://schemas.microsoft.com/office/drawing/2014/main" id="{2A35AD02-DFF8-A3FE-6524-50ED04E408EA}"/>
                </a:ext>
              </a:extLst>
            </xdr:cNvPr>
            <xdr:cNvSpPr txBox="1"/>
          </xdr:nvSpPr>
          <xdr:spPr>
            <a:xfrm>
              <a:off x="8602340" y="2180422"/>
              <a:ext cx="1055782" cy="280205"/>
            </a:xfrm>
            <a:prstGeom prst="rect">
              <a:avLst/>
            </a:prstGeom>
            <a:noFill/>
            <a:ln w="6350"/>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1" i="0" u="none" strike="noStrike">
                  <a:solidFill>
                    <a:srgbClr val="002060"/>
                  </a:solidFill>
                  <a:latin typeface="Aptos Narrow"/>
                </a:rPr>
                <a:t>Savings</a:t>
              </a:r>
            </a:p>
          </xdr:txBody>
        </xdr:sp>
      </xdr:grpSp>
      <xdr:pic>
        <xdr:nvPicPr>
          <xdr:cNvPr id="55" name="Graphic 54" descr="Dollar with solid fill">
            <a:extLst>
              <a:ext uri="{FF2B5EF4-FFF2-40B4-BE49-F238E27FC236}">
                <a16:creationId xmlns:a16="http://schemas.microsoft.com/office/drawing/2014/main" id="{6E619546-8C0D-6E32-B21C-EBE3FECBB8E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251175" y="2233392"/>
            <a:ext cx="432000" cy="432000"/>
          </a:xfrm>
          <a:prstGeom prst="rect">
            <a:avLst/>
          </a:prstGeom>
        </xdr:spPr>
      </xdr:pic>
    </xdr:grpSp>
    <xdr:clientData/>
  </xdr:twoCellAnchor>
  <xdr:twoCellAnchor>
    <xdr:from>
      <xdr:col>16</xdr:col>
      <xdr:colOff>605929</xdr:colOff>
      <xdr:row>11</xdr:row>
      <xdr:rowOff>34427</xdr:rowOff>
    </xdr:from>
    <xdr:to>
      <xdr:col>19</xdr:col>
      <xdr:colOff>284604</xdr:colOff>
      <xdr:row>13</xdr:row>
      <xdr:rowOff>183613</xdr:rowOff>
    </xdr:to>
    <xdr:grpSp>
      <xdr:nvGrpSpPr>
        <xdr:cNvPr id="65" name="Group 64">
          <a:extLst>
            <a:ext uri="{FF2B5EF4-FFF2-40B4-BE49-F238E27FC236}">
              <a16:creationId xmlns:a16="http://schemas.microsoft.com/office/drawing/2014/main" id="{24CC9DB8-6F25-F456-1A40-2CBC7B0E13E6}"/>
            </a:ext>
          </a:extLst>
        </xdr:cNvPr>
        <xdr:cNvGrpSpPr/>
      </xdr:nvGrpSpPr>
      <xdr:grpSpPr>
        <a:xfrm>
          <a:off x="10427262" y="2129927"/>
          <a:ext cx="1520175" cy="530186"/>
          <a:chOff x="10337495" y="2180421"/>
          <a:chExt cx="1503344" cy="539367"/>
        </a:xfrm>
      </xdr:grpSpPr>
      <xdr:sp macro="" textlink="">
        <xdr:nvSpPr>
          <xdr:cNvPr id="42" name="Rectangle: Rounded Corners 41">
            <a:extLst>
              <a:ext uri="{FF2B5EF4-FFF2-40B4-BE49-F238E27FC236}">
                <a16:creationId xmlns:a16="http://schemas.microsoft.com/office/drawing/2014/main" id="{D65DED76-F9B8-1E6F-BB9F-20D3CC00C8FF}"/>
              </a:ext>
            </a:extLst>
          </xdr:cNvPr>
          <xdr:cNvSpPr/>
        </xdr:nvSpPr>
        <xdr:spPr>
          <a:xfrm>
            <a:off x="10337495" y="2180421"/>
            <a:ext cx="1482112" cy="539367"/>
          </a:xfrm>
          <a:prstGeom prst="roundRect">
            <a:avLst/>
          </a:prstGeom>
          <a:ln w="6350"/>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NG" sz="1100"/>
          </a:p>
        </xdr:txBody>
      </xdr:sp>
      <xdr:grpSp>
        <xdr:nvGrpSpPr>
          <xdr:cNvPr id="59" name="Group 58">
            <a:extLst>
              <a:ext uri="{FF2B5EF4-FFF2-40B4-BE49-F238E27FC236}">
                <a16:creationId xmlns:a16="http://schemas.microsoft.com/office/drawing/2014/main" id="{2A3CB5A8-3FE3-0A31-5B56-53DF6712B34D}"/>
              </a:ext>
            </a:extLst>
          </xdr:cNvPr>
          <xdr:cNvGrpSpPr/>
        </xdr:nvGrpSpPr>
        <xdr:grpSpPr>
          <a:xfrm>
            <a:off x="10785057" y="2180422"/>
            <a:ext cx="1055782" cy="537941"/>
            <a:chOff x="10785057" y="2180422"/>
            <a:chExt cx="1055782" cy="537941"/>
          </a:xfrm>
        </xdr:grpSpPr>
        <xdr:sp macro="" textlink="PivotTables!$J$18">
          <xdr:nvSpPr>
            <xdr:cNvPr id="43" name="TextBox 42">
              <a:extLst>
                <a:ext uri="{FF2B5EF4-FFF2-40B4-BE49-F238E27FC236}">
                  <a16:creationId xmlns:a16="http://schemas.microsoft.com/office/drawing/2014/main" id="{38A1102B-E17D-AE08-D2DA-54F4B3B641C5}"/>
                </a:ext>
              </a:extLst>
            </xdr:cNvPr>
            <xdr:cNvSpPr txBox="1"/>
          </xdr:nvSpPr>
          <xdr:spPr>
            <a:xfrm>
              <a:off x="10928506" y="2375512"/>
              <a:ext cx="768885" cy="342851"/>
            </a:xfrm>
            <a:prstGeom prst="rect">
              <a:avLst/>
            </a:prstGeom>
            <a:noFill/>
            <a:ln w="6350"/>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32D6F8CE-0F83-406D-9977-2E549C785384}" type="TxLink">
                <a:rPr lang="en-US" sz="1600" b="1" i="0" u="none" strike="noStrike">
                  <a:solidFill>
                    <a:srgbClr val="002060"/>
                  </a:solidFill>
                  <a:latin typeface="Aptos Narrow"/>
                </a:rPr>
                <a:t>0.25</a:t>
              </a:fld>
              <a:endParaRPr lang="en-US" sz="1600" b="1">
                <a:solidFill>
                  <a:srgbClr val="002060"/>
                </a:solidFill>
              </a:endParaRPr>
            </a:p>
          </xdr:txBody>
        </xdr:sp>
        <xdr:sp macro="" textlink="">
          <xdr:nvSpPr>
            <xdr:cNvPr id="44" name="TextBox 43">
              <a:extLst>
                <a:ext uri="{FF2B5EF4-FFF2-40B4-BE49-F238E27FC236}">
                  <a16:creationId xmlns:a16="http://schemas.microsoft.com/office/drawing/2014/main" id="{D69B8788-3761-BA6B-9D9F-33F7E1BDED4F}"/>
                </a:ext>
              </a:extLst>
            </xdr:cNvPr>
            <xdr:cNvSpPr txBox="1"/>
          </xdr:nvSpPr>
          <xdr:spPr>
            <a:xfrm>
              <a:off x="10785057" y="2180422"/>
              <a:ext cx="1055782" cy="280205"/>
            </a:xfrm>
            <a:prstGeom prst="rect">
              <a:avLst/>
            </a:prstGeom>
            <a:noFill/>
            <a:ln w="6350"/>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i="0" u="none" strike="noStrike">
                  <a:solidFill>
                    <a:srgbClr val="002060"/>
                  </a:solidFill>
                  <a:latin typeface="Aptos Narrow"/>
                </a:rPr>
                <a:t>AVG. DTI</a:t>
              </a:r>
            </a:p>
          </xdr:txBody>
        </xdr:sp>
      </xdr:grpSp>
      <xdr:pic>
        <xdr:nvPicPr>
          <xdr:cNvPr id="58" name="Graphic 57" descr="Golden Ratio with solid fill">
            <a:extLst>
              <a:ext uri="{FF2B5EF4-FFF2-40B4-BE49-F238E27FC236}">
                <a16:creationId xmlns:a16="http://schemas.microsoft.com/office/drawing/2014/main" id="{A3A04B27-A5A5-35C8-183F-7FC9282C128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408645" y="2233392"/>
            <a:ext cx="432000" cy="432000"/>
          </a:xfrm>
          <a:prstGeom prst="rect">
            <a:avLst/>
          </a:prstGeom>
        </xdr:spPr>
      </xdr:pic>
    </xdr:grpSp>
    <xdr:clientData/>
  </xdr:twoCellAnchor>
  <xdr:twoCellAnchor>
    <xdr:from>
      <xdr:col>20</xdr:col>
      <xdr:colOff>355754</xdr:colOff>
      <xdr:row>11</xdr:row>
      <xdr:rowOff>34427</xdr:rowOff>
    </xdr:from>
    <xdr:to>
      <xdr:col>23</xdr:col>
      <xdr:colOff>34429</xdr:colOff>
      <xdr:row>13</xdr:row>
      <xdr:rowOff>183613</xdr:rowOff>
    </xdr:to>
    <xdr:grpSp>
      <xdr:nvGrpSpPr>
        <xdr:cNvPr id="63" name="Group 62">
          <a:extLst>
            <a:ext uri="{FF2B5EF4-FFF2-40B4-BE49-F238E27FC236}">
              <a16:creationId xmlns:a16="http://schemas.microsoft.com/office/drawing/2014/main" id="{AFAC210E-3CA2-FFAE-A57A-27447C178364}"/>
            </a:ext>
          </a:extLst>
        </xdr:cNvPr>
        <xdr:cNvGrpSpPr/>
      </xdr:nvGrpSpPr>
      <xdr:grpSpPr>
        <a:xfrm>
          <a:off x="12632421" y="2129927"/>
          <a:ext cx="1647175" cy="530186"/>
          <a:chOff x="12520212" y="2180421"/>
          <a:chExt cx="1503344" cy="539367"/>
        </a:xfrm>
      </xdr:grpSpPr>
      <xdr:sp macro="" textlink="">
        <xdr:nvSpPr>
          <xdr:cNvPr id="47" name="Rectangle: Rounded Corners 46">
            <a:extLst>
              <a:ext uri="{FF2B5EF4-FFF2-40B4-BE49-F238E27FC236}">
                <a16:creationId xmlns:a16="http://schemas.microsoft.com/office/drawing/2014/main" id="{97FEAE99-FF3F-615E-F48A-195DC8F97D5D}"/>
              </a:ext>
            </a:extLst>
          </xdr:cNvPr>
          <xdr:cNvSpPr/>
        </xdr:nvSpPr>
        <xdr:spPr>
          <a:xfrm>
            <a:off x="12520212" y="2180421"/>
            <a:ext cx="1482112" cy="539367"/>
          </a:xfrm>
          <a:prstGeom prst="roundRect">
            <a:avLst/>
          </a:prstGeom>
          <a:ln w="6350"/>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NG" sz="1100"/>
          </a:p>
        </xdr:txBody>
      </xdr:sp>
      <xdr:grpSp>
        <xdr:nvGrpSpPr>
          <xdr:cNvPr id="62" name="Group 61">
            <a:extLst>
              <a:ext uri="{FF2B5EF4-FFF2-40B4-BE49-F238E27FC236}">
                <a16:creationId xmlns:a16="http://schemas.microsoft.com/office/drawing/2014/main" id="{4B6500C7-B19B-4C5E-09B8-60682E26C21B}"/>
              </a:ext>
            </a:extLst>
          </xdr:cNvPr>
          <xdr:cNvGrpSpPr/>
        </xdr:nvGrpSpPr>
        <xdr:grpSpPr>
          <a:xfrm>
            <a:off x="12967774" y="2180422"/>
            <a:ext cx="1055782" cy="537941"/>
            <a:chOff x="12967774" y="2180422"/>
            <a:chExt cx="1055782" cy="537941"/>
          </a:xfrm>
        </xdr:grpSpPr>
        <xdr:sp macro="" textlink="PivotTables!$L$20">
          <xdr:nvSpPr>
            <xdr:cNvPr id="48" name="TextBox 47">
              <a:extLst>
                <a:ext uri="{FF2B5EF4-FFF2-40B4-BE49-F238E27FC236}">
                  <a16:creationId xmlns:a16="http://schemas.microsoft.com/office/drawing/2014/main" id="{F31AA534-3E98-507C-C237-795A2AF39B26}"/>
                </a:ext>
              </a:extLst>
            </xdr:cNvPr>
            <xdr:cNvSpPr txBox="1"/>
          </xdr:nvSpPr>
          <xdr:spPr>
            <a:xfrm>
              <a:off x="13111223" y="2375512"/>
              <a:ext cx="768885" cy="342851"/>
            </a:xfrm>
            <a:prstGeom prst="rect">
              <a:avLst/>
            </a:prstGeom>
            <a:noFill/>
            <a:ln w="6350"/>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036D3663-8705-4DEB-8B5E-33AC54D23822}" type="TxLink">
                <a:rPr lang="en-US" sz="1600" b="1" i="0" u="none" strike="noStrike">
                  <a:solidFill>
                    <a:srgbClr val="002060"/>
                  </a:solidFill>
                  <a:latin typeface="Aptos Narrow"/>
                </a:rPr>
                <a:t>547</a:t>
              </a:fld>
              <a:endParaRPr lang="en-US" sz="1600" b="1">
                <a:solidFill>
                  <a:srgbClr val="002060"/>
                </a:solidFill>
              </a:endParaRPr>
            </a:p>
          </xdr:txBody>
        </xdr:sp>
        <xdr:sp macro="" textlink="">
          <xdr:nvSpPr>
            <xdr:cNvPr id="49" name="TextBox 48">
              <a:extLst>
                <a:ext uri="{FF2B5EF4-FFF2-40B4-BE49-F238E27FC236}">
                  <a16:creationId xmlns:a16="http://schemas.microsoft.com/office/drawing/2014/main" id="{8659FB29-C1A7-5754-13D2-F4A401DC5F1D}"/>
                </a:ext>
              </a:extLst>
            </xdr:cNvPr>
            <xdr:cNvSpPr txBox="1"/>
          </xdr:nvSpPr>
          <xdr:spPr>
            <a:xfrm>
              <a:off x="12967774" y="2180422"/>
              <a:ext cx="1055782" cy="280205"/>
            </a:xfrm>
            <a:prstGeom prst="rect">
              <a:avLst/>
            </a:prstGeom>
            <a:noFill/>
            <a:ln w="6350"/>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1" i="0" u="none" strike="noStrike">
                  <a:solidFill>
                    <a:srgbClr val="002060"/>
                  </a:solidFill>
                  <a:latin typeface="Aptos Narrow"/>
                </a:rPr>
                <a:t>High Risk</a:t>
              </a:r>
            </a:p>
          </xdr:txBody>
        </xdr:sp>
      </xdr:grpSp>
      <xdr:pic>
        <xdr:nvPicPr>
          <xdr:cNvPr id="61" name="Graphic 60" descr="Radioactive with solid fill">
            <a:extLst>
              <a:ext uri="{FF2B5EF4-FFF2-40B4-BE49-F238E27FC236}">
                <a16:creationId xmlns:a16="http://schemas.microsoft.com/office/drawing/2014/main" id="{29C1DB41-5B4E-8A9B-0C16-94CE6DA20A7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623494" y="2233392"/>
            <a:ext cx="432000" cy="432000"/>
          </a:xfrm>
          <a:prstGeom prst="rect">
            <a:avLst/>
          </a:prstGeom>
        </xdr:spPr>
      </xdr:pic>
    </xdr:grpSp>
    <xdr:clientData/>
  </xdr:twoCellAnchor>
  <xdr:twoCellAnchor editAs="oneCell">
    <xdr:from>
      <xdr:col>19</xdr:col>
      <xdr:colOff>195092</xdr:colOff>
      <xdr:row>0</xdr:row>
      <xdr:rowOff>0</xdr:rowOff>
    </xdr:from>
    <xdr:to>
      <xdr:col>20</xdr:col>
      <xdr:colOff>18869</xdr:colOff>
      <xdr:row>2</xdr:row>
      <xdr:rowOff>41819</xdr:rowOff>
    </xdr:to>
    <xdr:pic>
      <xdr:nvPicPr>
        <xdr:cNvPr id="70" name="Graphic 69" descr="Monthly calendar with solid fill">
          <a:extLst>
            <a:ext uri="{FF2B5EF4-FFF2-40B4-BE49-F238E27FC236}">
              <a16:creationId xmlns:a16="http://schemas.microsoft.com/office/drawing/2014/main" id="{00E2D661-CE50-E6D9-4EF4-35C58D3287B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751327" y="0"/>
          <a:ext cx="432000" cy="432000"/>
        </a:xfrm>
        <a:prstGeom prst="rect">
          <a:avLst/>
        </a:prstGeom>
      </xdr:spPr>
    </xdr:pic>
    <xdr:clientData/>
  </xdr:twoCellAnchor>
  <xdr:twoCellAnchor editAs="oneCell">
    <xdr:from>
      <xdr:col>1</xdr:col>
      <xdr:colOff>0</xdr:colOff>
      <xdr:row>0</xdr:row>
      <xdr:rowOff>0</xdr:rowOff>
    </xdr:from>
    <xdr:to>
      <xdr:col>1</xdr:col>
      <xdr:colOff>540000</xdr:colOff>
      <xdr:row>2</xdr:row>
      <xdr:rowOff>149819</xdr:rowOff>
    </xdr:to>
    <xdr:pic>
      <xdr:nvPicPr>
        <xdr:cNvPr id="72" name="Graphic 71" descr="Bank with solid fill">
          <a:extLst>
            <a:ext uri="{FF2B5EF4-FFF2-40B4-BE49-F238E27FC236}">
              <a16:creationId xmlns:a16="http://schemas.microsoft.com/office/drawing/2014/main" id="{BC3BFBFD-C36D-B3E0-AAC2-2F394BAA4F1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08223" y="0"/>
          <a:ext cx="540000" cy="5400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MSA" refreshedDate="46269.72070740741" createdVersion="8" refreshedVersion="8" minRefreshableVersion="3" recordCount="2494" xr:uid="{673E1FCF-602B-4E62-BF17-7F8552294699}">
  <cacheSource type="worksheet">
    <worksheetSource name="ML_data"/>
  </cacheSource>
  <cacheFields count="22">
    <cacheField name="user_id" numFmtId="0">
      <sharedItems/>
    </cacheField>
    <cacheField name="age" numFmtId="0">
      <sharedItems containsSemiMixedTypes="0" containsString="0" containsNumber="1" containsInteger="1" minValue="18" maxValue="69" count="52">
        <n v="23"/>
        <n v="57"/>
        <n v="40"/>
        <n v="44"/>
        <n v="54"/>
        <n v="38"/>
        <n v="35"/>
        <n v="27"/>
        <n v="49"/>
        <n v="25"/>
        <n v="48"/>
        <n v="42"/>
        <n v="22"/>
        <n v="21"/>
        <n v="43"/>
        <n v="20"/>
        <n v="19"/>
        <n v="29"/>
        <n v="58"/>
        <n v="69"/>
        <n v="62"/>
        <n v="61"/>
        <n v="24"/>
        <n v="45"/>
        <n v="51"/>
        <n v="56"/>
        <n v="59"/>
        <n v="50"/>
        <n v="46"/>
        <n v="65"/>
        <n v="53"/>
        <n v="34"/>
        <n v="30"/>
        <n v="41"/>
        <n v="36"/>
        <n v="64"/>
        <n v="18"/>
        <n v="67"/>
        <n v="63"/>
        <n v="37"/>
        <n v="39"/>
        <n v="32"/>
        <n v="31"/>
        <n v="26"/>
        <n v="66"/>
        <n v="52"/>
        <n v="33"/>
        <n v="68"/>
        <n v="60"/>
        <n v="55"/>
        <n v="28"/>
        <n v="47"/>
      </sharedItems>
    </cacheField>
    <cacheField name="gender" numFmtId="0">
      <sharedItems count="3">
        <s v="Male"/>
        <s v="Female"/>
        <s v="Other"/>
      </sharedItems>
    </cacheField>
    <cacheField name="education_level" numFmtId="0">
      <sharedItems count="5">
        <s v="High School"/>
        <s v="Other"/>
        <s v="Master"/>
        <s v="Bachelor"/>
        <s v="PhD"/>
      </sharedItems>
    </cacheField>
    <cacheField name="employment_status" numFmtId="0">
      <sharedItems count="4">
        <s v="Student"/>
        <s v="Employed"/>
        <s v="Self-employed"/>
        <s v="Unemployed"/>
      </sharedItems>
    </cacheField>
    <cacheField name="job_title" numFmtId="0">
      <sharedItems/>
    </cacheField>
    <cacheField name="monthly_income_usd" numFmtId="0">
      <sharedItems containsSemiMixedTypes="0" containsString="0" containsNumber="1" minValue="500" maxValue="10928.64"/>
    </cacheField>
    <cacheField name="monthly_expenses_usd" numFmtId="0">
      <sharedItems containsSemiMixedTypes="0" containsString="0" containsNumber="1" minValue="150.75" maxValue="9008.01"/>
    </cacheField>
    <cacheField name="savings_usd" numFmtId="0">
      <sharedItems containsSemiMixedTypes="0" containsString="0" containsNumber="1" minValue="635.96" maxValue="119391.42"/>
    </cacheField>
    <cacheField name="has_loan" numFmtId="0">
      <sharedItems/>
    </cacheField>
    <cacheField name="loan_type" numFmtId="0">
      <sharedItems/>
    </cacheField>
    <cacheField name="loan_amount_usd" numFmtId="0">
      <sharedItems containsSemiMixedTypes="0" containsString="0" containsNumber="1" minValue="0" maxValue="497531.32"/>
    </cacheField>
    <cacheField name="loan_term_months" numFmtId="0">
      <sharedItems containsSemiMixedTypes="0" containsString="0" containsNumber="1" containsInteger="1" minValue="0" maxValue="360"/>
    </cacheField>
    <cacheField name="monthly_emi_usd" numFmtId="0">
      <sharedItems containsSemiMixedTypes="0" containsString="0" containsNumber="1" minValue="0" maxValue="15563.26"/>
    </cacheField>
    <cacheField name="loan_interest_rate_pct" numFmtId="0">
      <sharedItems containsSemiMixedTypes="0" containsString="0" containsNumber="1" minValue="0" maxValue="29.99"/>
    </cacheField>
    <cacheField name="debt_to_income_ratio" numFmtId="0">
      <sharedItems containsSemiMixedTypes="0" containsString="0" containsNumber="1" minValue="0" maxValue="1.97"/>
    </cacheField>
    <cacheField name="credit_score" numFmtId="0">
      <sharedItems containsSemiMixedTypes="0" containsString="0" containsNumber="1" containsInteger="1" minValue="300" maxValue="850"/>
    </cacheField>
    <cacheField name="savings_to_income_ratio" numFmtId="0">
      <sharedItems containsSemiMixedTypes="0" containsString="0" containsNumber="1" minValue="0.1" maxValue="0.98"/>
    </cacheField>
    <cacheField name="region" numFmtId="0">
      <sharedItems count="5">
        <s v="Europe"/>
        <s v="North America"/>
        <s v="Other"/>
        <s v="Africa"/>
        <s v="Asia"/>
      </sharedItems>
    </cacheField>
    <cacheField name="record_date" numFmtId="14">
      <sharedItems containsSemiMixedTypes="0" containsNonDate="0" containsDate="1" containsString="0" minDate="2021-07-23T00:00:00" maxDate="2025-07-23T00:00:00" count="1187">
        <d v="2023-03-24T00:00:00"/>
        <d v="2021-12-11T00:00:00"/>
        <d v="2023-07-08T00:00:00"/>
        <d v="2024-07-30T00:00:00"/>
        <d v="2025-04-29T00:00:00"/>
        <d v="2021-11-08T00:00:00"/>
        <d v="2023-07-04T00:00:00"/>
        <d v="2022-10-19T00:00:00"/>
        <d v="2024-12-18T00:00:00"/>
        <d v="2022-02-06T00:00:00"/>
        <d v="2022-09-21T00:00:00"/>
        <d v="2025-01-10T00:00:00"/>
        <d v="2023-03-25T00:00:00"/>
        <d v="2023-12-18T00:00:00"/>
        <d v="2022-07-04T00:00:00"/>
        <d v="2023-07-09T00:00:00"/>
        <d v="2024-09-26T00:00:00"/>
        <d v="2024-01-19T00:00:00"/>
        <d v="2024-01-07T00:00:00"/>
        <d v="2023-06-24T00:00:00"/>
        <d v="2024-01-11T00:00:00"/>
        <d v="2021-12-21T00:00:00"/>
        <d v="2022-07-12T00:00:00"/>
        <d v="2022-04-23T00:00:00"/>
        <d v="2023-09-06T00:00:00"/>
        <d v="2022-02-08T00:00:00"/>
        <d v="2024-08-20T00:00:00"/>
        <d v="2024-03-02T00:00:00"/>
        <d v="2023-09-12T00:00:00"/>
        <d v="2024-05-20T00:00:00"/>
        <d v="2025-07-05T00:00:00"/>
        <d v="2024-10-07T00:00:00"/>
        <d v="2025-03-29T00:00:00"/>
        <d v="2025-06-15T00:00:00"/>
        <d v="2025-05-22T00:00:00"/>
        <d v="2021-11-24T00:00:00"/>
        <d v="2023-08-29T00:00:00"/>
        <d v="2024-06-23T00:00:00"/>
        <d v="2023-10-06T00:00:00"/>
        <d v="2021-07-29T00:00:00"/>
        <d v="2024-12-12T00:00:00"/>
        <d v="2023-10-19T00:00:00"/>
        <d v="2024-07-07T00:00:00"/>
        <d v="2021-10-16T00:00:00"/>
        <d v="2024-03-29T00:00:00"/>
        <d v="2023-07-29T00:00:00"/>
        <d v="2022-07-27T00:00:00"/>
        <d v="2024-05-25T00:00:00"/>
        <d v="2025-05-29T00:00:00"/>
        <d v="2025-01-22T00:00:00"/>
        <d v="2021-09-15T00:00:00"/>
        <d v="2024-02-09T00:00:00"/>
        <d v="2024-01-12T00:00:00"/>
        <d v="2024-12-29T00:00:00"/>
        <d v="2024-01-30T00:00:00"/>
        <d v="2024-10-12T00:00:00"/>
        <d v="2024-07-19T00:00:00"/>
        <d v="2025-07-20T00:00:00"/>
        <d v="2025-05-31T00:00:00"/>
        <d v="2023-12-05T00:00:00"/>
        <d v="2023-04-17T00:00:00"/>
        <d v="2023-02-02T00:00:00"/>
        <d v="2023-12-24T00:00:00"/>
        <d v="2025-02-16T00:00:00"/>
        <d v="2025-04-16T00:00:00"/>
        <d v="2023-09-03T00:00:00"/>
        <d v="2024-06-14T00:00:00"/>
        <d v="2022-10-27T00:00:00"/>
        <d v="2022-05-05T00:00:00"/>
        <d v="2024-12-10T00:00:00"/>
        <d v="2023-11-27T00:00:00"/>
        <d v="2024-10-30T00:00:00"/>
        <d v="2023-04-05T00:00:00"/>
        <d v="2021-09-30T00:00:00"/>
        <d v="2021-09-12T00:00:00"/>
        <d v="2024-10-22T00:00:00"/>
        <d v="2022-11-14T00:00:00"/>
        <d v="2024-04-19T00:00:00"/>
        <d v="2022-11-05T00:00:00"/>
        <d v="2022-07-06T00:00:00"/>
        <d v="2024-05-26T00:00:00"/>
        <d v="2021-12-02T00:00:00"/>
        <d v="2022-11-17T00:00:00"/>
        <d v="2022-12-30T00:00:00"/>
        <d v="2025-02-07T00:00:00"/>
        <d v="2024-01-03T00:00:00"/>
        <d v="2023-02-20T00:00:00"/>
        <d v="2025-03-22T00:00:00"/>
        <d v="2025-05-06T00:00:00"/>
        <d v="2025-03-11T00:00:00"/>
        <d v="2024-08-29T00:00:00"/>
        <d v="2021-08-17T00:00:00"/>
        <d v="2023-10-27T00:00:00"/>
        <d v="2025-06-18T00:00:00"/>
        <d v="2025-04-20T00:00:00"/>
        <d v="2022-06-28T00:00:00"/>
        <d v="2022-06-26T00:00:00"/>
        <d v="2022-03-01T00:00:00"/>
        <d v="2024-12-05T00:00:00"/>
        <d v="2023-02-10T00:00:00"/>
        <d v="2022-03-27T00:00:00"/>
        <d v="2022-02-27T00:00:00"/>
        <d v="2024-06-21T00:00:00"/>
        <d v="2024-10-28T00:00:00"/>
        <d v="2024-08-13T00:00:00"/>
        <d v="2021-12-15T00:00:00"/>
        <d v="2022-06-20T00:00:00"/>
        <d v="2024-04-20T00:00:00"/>
        <d v="2023-10-31T00:00:00"/>
        <d v="2024-05-05T00:00:00"/>
        <d v="2024-09-12T00:00:00"/>
        <d v="2022-03-30T00:00:00"/>
        <d v="2023-08-09T00:00:00"/>
        <d v="2024-08-22T00:00:00"/>
        <d v="2024-04-30T00:00:00"/>
        <d v="2022-05-23T00:00:00"/>
        <d v="2023-05-20T00:00:00"/>
        <d v="2022-05-06T00:00:00"/>
        <d v="2022-07-08T00:00:00"/>
        <d v="2021-12-19T00:00:00"/>
        <d v="2024-11-24T00:00:00"/>
        <d v="2024-06-27T00:00:00"/>
        <d v="2024-02-16T00:00:00"/>
        <d v="2022-02-15T00:00:00"/>
        <d v="2023-03-20T00:00:00"/>
        <d v="2025-05-01T00:00:00"/>
        <d v="2025-01-23T00:00:00"/>
        <d v="2024-04-16T00:00:00"/>
        <d v="2023-12-31T00:00:00"/>
        <d v="2024-11-12T00:00:00"/>
        <d v="2023-05-19T00:00:00"/>
        <d v="2022-08-29T00:00:00"/>
        <d v="2024-03-28T00:00:00"/>
        <d v="2024-09-03T00:00:00"/>
        <d v="2025-03-06T00:00:00"/>
        <d v="2024-08-17T00:00:00"/>
        <d v="2021-07-31T00:00:00"/>
        <d v="2024-04-06T00:00:00"/>
        <d v="2023-07-24T00:00:00"/>
        <d v="2023-03-19T00:00:00"/>
        <d v="2023-04-10T00:00:00"/>
        <d v="2023-07-17T00:00:00"/>
        <d v="2024-10-29T00:00:00"/>
        <d v="2025-05-30T00:00:00"/>
        <d v="2022-07-02T00:00:00"/>
        <d v="2025-05-08T00:00:00"/>
        <d v="2021-12-24T00:00:00"/>
        <d v="2024-01-02T00:00:00"/>
        <d v="2022-04-13T00:00:00"/>
        <d v="2021-10-22T00:00:00"/>
        <d v="2022-06-12T00:00:00"/>
        <d v="2021-11-26T00:00:00"/>
        <d v="2023-05-29T00:00:00"/>
        <d v="2023-08-07T00:00:00"/>
        <d v="2024-03-11T00:00:00"/>
        <d v="2025-02-04T00:00:00"/>
        <d v="2022-04-24T00:00:00"/>
        <d v="2024-06-29T00:00:00"/>
        <d v="2025-04-12T00:00:00"/>
        <d v="2022-07-22T00:00:00"/>
        <d v="2024-09-22T00:00:00"/>
        <d v="2022-12-13T00:00:00"/>
        <d v="2023-06-02T00:00:00"/>
        <d v="2024-10-08T00:00:00"/>
        <d v="2024-02-14T00:00:00"/>
        <d v="2024-01-22T00:00:00"/>
        <d v="2024-12-13T00:00:00"/>
        <d v="2024-06-01T00:00:00"/>
        <d v="2025-01-05T00:00:00"/>
        <d v="2024-04-04T00:00:00"/>
        <d v="2022-07-15T00:00:00"/>
        <d v="2025-01-02T00:00:00"/>
        <d v="2024-07-21T00:00:00"/>
        <d v="2021-11-27T00:00:00"/>
        <d v="2022-07-11T00:00:00"/>
        <d v="2024-08-31T00:00:00"/>
        <d v="2024-02-20T00:00:00"/>
        <d v="2022-06-22T00:00:00"/>
        <d v="2022-02-02T00:00:00"/>
        <d v="2023-07-28T00:00:00"/>
        <d v="2025-04-13T00:00:00"/>
        <d v="2025-06-29T00:00:00"/>
        <d v="2024-06-09T00:00:00"/>
        <d v="2024-12-21T00:00:00"/>
        <d v="2023-03-03T00:00:00"/>
        <d v="2024-09-09T00:00:00"/>
        <d v="2024-04-03T00:00:00"/>
        <d v="2023-06-06T00:00:00"/>
        <d v="2023-08-17T00:00:00"/>
        <d v="2023-07-07T00:00:00"/>
        <d v="2023-08-14T00:00:00"/>
        <d v="2022-02-26T00:00:00"/>
        <d v="2022-05-27T00:00:00"/>
        <d v="2023-05-01T00:00:00"/>
        <d v="2025-07-13T00:00:00"/>
        <d v="2021-12-05T00:00:00"/>
        <d v="2022-04-19T00:00:00"/>
        <d v="2025-01-07T00:00:00"/>
        <d v="2025-02-05T00:00:00"/>
        <d v="2022-10-06T00:00:00"/>
        <d v="2023-10-21T00:00:00"/>
        <d v="2022-10-13T00:00:00"/>
        <d v="2024-09-17T00:00:00"/>
        <d v="2022-05-18T00:00:00"/>
        <d v="2023-08-11T00:00:00"/>
        <d v="2021-09-26T00:00:00"/>
        <d v="2022-11-06T00:00:00"/>
        <d v="2021-09-19T00:00:00"/>
        <d v="2022-12-07T00:00:00"/>
        <d v="2022-12-15T00:00:00"/>
        <d v="2023-06-22T00:00:00"/>
        <d v="2024-08-15T00:00:00"/>
        <d v="2021-11-06T00:00:00"/>
        <d v="2023-09-23T00:00:00"/>
        <d v="2021-08-09T00:00:00"/>
        <d v="2022-08-16T00:00:00"/>
        <d v="2022-10-04T00:00:00"/>
        <d v="2025-01-30T00:00:00"/>
        <d v="2022-05-11T00:00:00"/>
        <d v="2024-07-06T00:00:00"/>
        <d v="2022-04-09T00:00:00"/>
        <d v="2025-06-19T00:00:00"/>
        <d v="2025-01-28T00:00:00"/>
        <d v="2024-01-06T00:00:00"/>
        <d v="2024-06-28T00:00:00"/>
        <d v="2025-01-17T00:00:00"/>
        <d v="2024-11-30T00:00:00"/>
        <d v="2021-10-04T00:00:00"/>
        <d v="2023-01-08T00:00:00"/>
        <d v="2024-02-10T00:00:00"/>
        <d v="2023-09-10T00:00:00"/>
        <d v="2023-12-07T00:00:00"/>
        <d v="2021-12-06T00:00:00"/>
        <d v="2024-11-28T00:00:00"/>
        <d v="2024-05-14T00:00:00"/>
        <d v="2021-10-09T00:00:00"/>
        <d v="2022-09-28T00:00:00"/>
        <d v="2022-06-27T00:00:00"/>
        <d v="2022-12-28T00:00:00"/>
        <d v="2021-08-07T00:00:00"/>
        <d v="2022-10-08T00:00:00"/>
        <d v="2022-08-21T00:00:00"/>
        <d v="2022-10-07T00:00:00"/>
        <d v="2023-06-27T00:00:00"/>
        <d v="2022-01-29T00:00:00"/>
        <d v="2023-05-04T00:00:00"/>
        <d v="2022-05-29T00:00:00"/>
        <d v="2024-07-04T00:00:00"/>
        <d v="2024-09-27T00:00:00"/>
        <d v="2022-02-04T00:00:00"/>
        <d v="2023-09-20T00:00:00"/>
        <d v="2022-12-27T00:00:00"/>
        <d v="2024-03-01T00:00:00"/>
        <d v="2025-05-20T00:00:00"/>
        <d v="2022-03-03T00:00:00"/>
        <d v="2022-03-12T00:00:00"/>
        <d v="2024-08-09T00:00:00"/>
        <d v="2023-05-10T00:00:00"/>
        <d v="2024-11-19T00:00:00"/>
        <d v="2025-03-20T00:00:00"/>
        <d v="2021-08-19T00:00:00"/>
        <d v="2022-09-01T00:00:00"/>
        <d v="2025-06-26T00:00:00"/>
        <d v="2022-01-13T00:00:00"/>
        <d v="2023-01-04T00:00:00"/>
        <d v="2023-04-06T00:00:00"/>
        <d v="2025-02-11T00:00:00"/>
        <d v="2025-07-12T00:00:00"/>
        <d v="2025-01-14T00:00:00"/>
        <d v="2024-03-09T00:00:00"/>
        <d v="2024-09-07T00:00:00"/>
        <d v="2023-12-10T00:00:00"/>
        <d v="2022-07-01T00:00:00"/>
        <d v="2024-11-10T00:00:00"/>
        <d v="2023-12-01T00:00:00"/>
        <d v="2024-06-10T00:00:00"/>
        <d v="2021-11-28T00:00:00"/>
        <d v="2023-11-15T00:00:00"/>
        <d v="2023-10-24T00:00:00"/>
        <d v="2025-04-21T00:00:00"/>
        <d v="2025-06-09T00:00:00"/>
        <d v="2023-08-30T00:00:00"/>
        <d v="2025-04-02T00:00:00"/>
        <d v="2021-10-07T00:00:00"/>
        <d v="2023-07-01T00:00:00"/>
        <d v="2023-12-25T00:00:00"/>
        <d v="2025-05-10T00:00:00"/>
        <d v="2023-10-29T00:00:00"/>
        <d v="2022-10-10T00:00:00"/>
        <d v="2023-02-09T00:00:00"/>
        <d v="2022-08-25T00:00:00"/>
        <d v="2024-04-18T00:00:00"/>
        <d v="2024-07-11T00:00:00"/>
        <d v="2023-03-07T00:00:00"/>
        <d v="2023-10-01T00:00:00"/>
        <d v="2024-11-07T00:00:00"/>
        <d v="2023-01-28T00:00:00"/>
        <d v="2021-11-29T00:00:00"/>
        <d v="2023-05-25T00:00:00"/>
        <d v="2021-09-20T00:00:00"/>
        <d v="2023-10-04T00:00:00"/>
        <d v="2023-10-11T00:00:00"/>
        <d v="2023-12-30T00:00:00"/>
        <d v="2023-03-26T00:00:00"/>
        <d v="2023-06-08T00:00:00"/>
        <d v="2024-10-16T00:00:00"/>
        <d v="2023-01-19T00:00:00"/>
        <d v="2022-11-02T00:00:00"/>
        <d v="2024-05-27T00:00:00"/>
        <d v="2022-03-23T00:00:00"/>
        <d v="2022-06-19T00:00:00"/>
        <d v="2023-04-08T00:00:00"/>
        <d v="2023-11-21T00:00:00"/>
        <d v="2022-11-24T00:00:00"/>
        <d v="2021-09-23T00:00:00"/>
        <d v="2024-10-18T00:00:00"/>
        <d v="2023-09-11T00:00:00"/>
        <d v="2025-04-03T00:00:00"/>
        <d v="2023-11-10T00:00:00"/>
        <d v="2021-07-27T00:00:00"/>
        <d v="2021-11-13T00:00:00"/>
        <d v="2024-02-18T00:00:00"/>
        <d v="2022-10-18T00:00:00"/>
        <d v="2024-10-27T00:00:00"/>
        <d v="2022-11-25T00:00:00"/>
        <d v="2021-08-03T00:00:00"/>
        <d v="2024-02-02T00:00:00"/>
        <d v="2022-09-20T00:00:00"/>
        <d v="2024-07-27T00:00:00"/>
        <d v="2023-01-14T00:00:00"/>
        <d v="2025-07-01T00:00:00"/>
        <d v="2024-01-10T00:00:00"/>
        <d v="2023-08-04T00:00:00"/>
        <d v="2022-11-16T00:00:00"/>
        <d v="2022-02-09T00:00:00"/>
        <d v="2023-09-21T00:00:00"/>
        <d v="2021-12-18T00:00:00"/>
        <d v="2023-01-11T00:00:00"/>
        <d v="2023-01-12T00:00:00"/>
        <d v="2022-09-10T00:00:00"/>
        <d v="2024-04-25T00:00:00"/>
        <d v="2025-04-11T00:00:00"/>
        <d v="2022-05-26T00:00:00"/>
        <d v="2023-02-23T00:00:00"/>
        <d v="2022-01-28T00:00:00"/>
        <d v="2024-09-02T00:00:00"/>
        <d v="2025-06-08T00:00:00"/>
        <d v="2023-10-02T00:00:00"/>
        <d v="2021-10-30T00:00:00"/>
        <d v="2022-03-08T00:00:00"/>
        <d v="2024-08-06T00:00:00"/>
        <d v="2024-03-07T00:00:00"/>
        <d v="2024-12-11T00:00:00"/>
        <d v="2023-10-05T00:00:00"/>
        <d v="2023-04-18T00:00:00"/>
        <d v="2023-02-21T00:00:00"/>
        <d v="2021-10-05T00:00:00"/>
        <d v="2022-05-17T00:00:00"/>
        <d v="2022-05-07T00:00:00"/>
        <d v="2023-10-14T00:00:00"/>
        <d v="2023-07-20T00:00:00"/>
        <d v="2025-02-28T00:00:00"/>
        <d v="2022-06-05T00:00:00"/>
        <d v="2025-07-06T00:00:00"/>
        <d v="2023-08-12T00:00:00"/>
        <d v="2024-09-20T00:00:00"/>
        <d v="2022-09-18T00:00:00"/>
        <d v="2022-07-19T00:00:00"/>
        <d v="2022-09-03T00:00:00"/>
        <d v="2024-09-24T00:00:00"/>
        <d v="2024-05-11T00:00:00"/>
        <d v="2023-01-06T00:00:00"/>
        <d v="2022-10-29T00:00:00"/>
        <d v="2025-02-22T00:00:00"/>
        <d v="2023-11-04T00:00:00"/>
        <d v="2022-05-20T00:00:00"/>
        <d v="2021-12-01T00:00:00"/>
        <d v="2025-06-05T00:00:00"/>
        <d v="2023-11-01T00:00:00"/>
        <d v="2025-05-21T00:00:00"/>
        <d v="2021-08-13T00:00:00"/>
        <d v="2022-08-27T00:00:00"/>
        <d v="2022-09-27T00:00:00"/>
        <d v="2022-04-16T00:00:00"/>
        <d v="2023-11-08T00:00:00"/>
        <d v="2024-04-17T00:00:00"/>
        <d v="2023-10-03T00:00:00"/>
        <d v="2023-04-16T00:00:00"/>
        <d v="2022-01-11T00:00:00"/>
        <d v="2023-01-16T00:00:00"/>
        <d v="2024-07-20T00:00:00"/>
        <d v="2024-12-09T00:00:00"/>
        <d v="2025-07-08T00:00:00"/>
        <d v="2023-10-16T00:00:00"/>
        <d v="2024-07-14T00:00:00"/>
        <d v="2024-08-21T00:00:00"/>
        <d v="2024-01-20T00:00:00"/>
        <d v="2024-03-04T00:00:00"/>
        <d v="2021-12-13T00:00:00"/>
        <d v="2023-07-23T00:00:00"/>
        <d v="2025-01-24T00:00:00"/>
        <d v="2025-01-27T00:00:00"/>
        <d v="2024-10-31T00:00:00"/>
        <d v="2024-05-28T00:00:00"/>
        <d v="2023-02-22T00:00:00"/>
        <d v="2022-06-18T00:00:00"/>
        <d v="2022-01-06T00:00:00"/>
        <d v="2022-01-03T00:00:00"/>
        <d v="2023-12-15T00:00:00"/>
        <d v="2023-08-05T00:00:00"/>
        <d v="2025-06-25T00:00:00"/>
        <d v="2024-08-14T00:00:00"/>
        <d v="2024-03-25T00:00:00"/>
        <d v="2022-11-28T00:00:00"/>
        <d v="2022-09-05T00:00:00"/>
        <d v="2023-02-16T00:00:00"/>
        <d v="2022-09-19T00:00:00"/>
        <d v="2024-08-12T00:00:00"/>
        <d v="2021-11-09T00:00:00"/>
        <d v="2024-02-13T00:00:00"/>
        <d v="2024-02-19T00:00:00"/>
        <d v="2024-10-20T00:00:00"/>
        <d v="2021-07-26T00:00:00"/>
        <d v="2024-03-18T00:00:00"/>
        <d v="2023-05-23T00:00:00"/>
        <d v="2022-05-28T00:00:00"/>
        <d v="2024-12-31T00:00:00"/>
        <d v="2022-07-14T00:00:00"/>
        <d v="2024-08-02T00:00:00"/>
        <d v="2021-09-11T00:00:00"/>
        <d v="2023-08-06T00:00:00"/>
        <d v="2025-01-20T00:00:00"/>
        <d v="2023-01-01T00:00:00"/>
        <d v="2021-08-30T00:00:00"/>
        <d v="2022-01-08T00:00:00"/>
        <d v="2024-11-01T00:00:00"/>
        <d v="2024-11-18T00:00:00"/>
        <d v="2022-03-28T00:00:00"/>
        <d v="2025-03-23T00:00:00"/>
        <d v="2024-03-12T00:00:00"/>
        <d v="2023-07-22T00:00:00"/>
        <d v="2021-09-27T00:00:00"/>
        <d v="2022-05-13T00:00:00"/>
        <d v="2022-01-09T00:00:00"/>
        <d v="2024-10-05T00:00:00"/>
        <d v="2023-08-20T00:00:00"/>
        <d v="2022-11-03T00:00:00"/>
        <d v="2023-02-25T00:00:00"/>
        <d v="2023-11-25T00:00:00"/>
        <d v="2023-09-18T00:00:00"/>
        <d v="2021-08-22T00:00:00"/>
        <d v="2023-06-26T00:00:00"/>
        <d v="2024-07-23T00:00:00"/>
        <d v="2024-11-02T00:00:00"/>
        <d v="2021-12-03T00:00:00"/>
        <d v="2023-02-14T00:00:00"/>
        <d v="2022-08-02T00:00:00"/>
        <d v="2022-08-30T00:00:00"/>
        <d v="2024-07-22T00:00:00"/>
        <d v="2022-09-17T00:00:00"/>
        <d v="2025-04-24T00:00:00"/>
        <d v="2021-11-01T00:00:00"/>
        <d v="2021-09-01T00:00:00"/>
        <d v="2022-09-24T00:00:00"/>
        <d v="2025-03-24T00:00:00"/>
        <d v="2022-11-21T00:00:00"/>
        <d v="2022-08-24T00:00:00"/>
        <d v="2022-02-17T00:00:00"/>
        <d v="2022-07-10T00:00:00"/>
        <d v="2024-04-24T00:00:00"/>
        <d v="2023-04-21T00:00:00"/>
        <d v="2022-10-12T00:00:00"/>
        <d v="2023-04-07T00:00:00"/>
        <d v="2022-06-02T00:00:00"/>
        <d v="2023-07-31T00:00:00"/>
        <d v="2021-10-27T00:00:00"/>
        <d v="2024-12-07T00:00:00"/>
        <d v="2025-01-06T00:00:00"/>
        <d v="2021-10-14T00:00:00"/>
        <d v="2023-03-15T00:00:00"/>
        <d v="2022-04-05T00:00:00"/>
        <d v="2023-05-28T00:00:00"/>
        <d v="2023-09-24T00:00:00"/>
        <d v="2022-07-29T00:00:00"/>
        <d v="2022-04-07T00:00:00"/>
        <d v="2024-02-15T00:00:00"/>
        <d v="2022-01-23T00:00:00"/>
        <d v="2024-11-11T00:00:00"/>
        <d v="2023-12-14T00:00:00"/>
        <d v="2022-09-04T00:00:00"/>
        <d v="2021-12-27T00:00:00"/>
        <d v="2022-04-22T00:00:00"/>
        <d v="2025-06-10T00:00:00"/>
        <d v="2024-03-26T00:00:00"/>
        <d v="2022-06-17T00:00:00"/>
        <d v="2025-06-11T00:00:00"/>
        <d v="2022-12-10T00:00:00"/>
        <d v="2021-11-21T00:00:00"/>
        <d v="2022-01-26T00:00:00"/>
        <d v="2025-05-09T00:00:00"/>
        <d v="2022-03-06T00:00:00"/>
        <d v="2022-02-20T00:00:00"/>
        <d v="2023-01-26T00:00:00"/>
        <d v="2022-04-06T00:00:00"/>
        <d v="2022-06-30T00:00:00"/>
        <d v="2023-06-13T00:00:00"/>
        <d v="2024-03-31T00:00:00"/>
        <d v="2024-04-09T00:00:00"/>
        <d v="2024-08-23T00:00:00"/>
        <d v="2022-01-30T00:00:00"/>
        <d v="2024-04-11T00:00:00"/>
        <d v="2022-12-11T00:00:00"/>
        <d v="2024-11-27T00:00:00"/>
        <d v="2022-04-11T00:00:00"/>
        <d v="2024-05-21T00:00:00"/>
        <d v="2024-12-25T00:00:00"/>
        <d v="2023-03-09T00:00:00"/>
        <d v="2021-11-20T00:00:00"/>
        <d v="2023-07-13T00:00:00"/>
        <d v="2022-04-02T00:00:00"/>
        <d v="2025-04-06T00:00:00"/>
        <d v="2024-02-26T00:00:00"/>
        <d v="2022-11-13T00:00:00"/>
        <d v="2025-03-05T00:00:00"/>
        <d v="2024-01-04T00:00:00"/>
        <d v="2022-08-28T00:00:00"/>
        <d v="2022-06-25T00:00:00"/>
        <d v="2021-12-25T00:00:00"/>
        <d v="2021-11-18T00:00:00"/>
        <d v="2024-12-26T00:00:00"/>
        <d v="2022-09-26T00:00:00"/>
        <d v="2024-06-16T00:00:00"/>
        <d v="2025-07-22T00:00:00"/>
        <d v="2021-09-05T00:00:00"/>
        <d v="2025-05-13T00:00:00"/>
        <d v="2024-07-02T00:00:00"/>
        <d v="2023-05-14T00:00:00"/>
        <d v="2023-10-15T00:00:00"/>
        <d v="2023-04-02T00:00:00"/>
        <d v="2022-12-31T00:00:00"/>
        <d v="2022-08-13T00:00:00"/>
        <d v="2022-11-20T00:00:00"/>
        <d v="2025-05-15T00:00:00"/>
        <d v="2023-01-20T00:00:00"/>
        <d v="2023-03-04T00:00:00"/>
        <d v="2022-08-11T00:00:00"/>
        <d v="2023-09-22T00:00:00"/>
        <d v="2024-02-17T00:00:00"/>
        <d v="2024-06-02T00:00:00"/>
        <d v="2023-09-05T00:00:00"/>
        <d v="2025-01-13T00:00:00"/>
        <d v="2023-12-11T00:00:00"/>
        <d v="2023-04-19T00:00:00"/>
        <d v="2024-08-07T00:00:00"/>
        <d v="2023-09-27T00:00:00"/>
        <d v="2023-11-30T00:00:00"/>
        <d v="2021-09-14T00:00:00"/>
        <d v="2022-10-21T00:00:00"/>
        <d v="2022-05-21T00:00:00"/>
        <d v="2023-05-26T00:00:00"/>
        <d v="2025-01-04T00:00:00"/>
        <d v="2025-06-03T00:00:00"/>
        <d v="2022-02-16T00:00:00"/>
        <d v="2021-11-23T00:00:00"/>
        <d v="2023-12-19T00:00:00"/>
        <d v="2022-07-20T00:00:00"/>
        <d v="2022-02-01T00:00:00"/>
        <d v="2022-07-18T00:00:00"/>
        <d v="2025-01-09T00:00:00"/>
        <d v="2021-08-11T00:00:00"/>
        <d v="2023-03-31T00:00:00"/>
        <d v="2022-08-09T00:00:00"/>
        <d v="2022-10-30T00:00:00"/>
        <d v="2022-06-29T00:00:00"/>
        <d v="2023-05-21T00:00:00"/>
        <d v="2023-05-13T00:00:00"/>
        <d v="2024-03-10T00:00:00"/>
        <d v="2024-05-04T00:00:00"/>
        <d v="2025-01-16T00:00:00"/>
        <d v="2024-04-05T00:00:00"/>
        <d v="2021-12-12T00:00:00"/>
        <d v="2025-01-12T00:00:00"/>
        <d v="2022-06-23T00:00:00"/>
        <d v="2022-03-29T00:00:00"/>
        <d v="2022-05-25T00:00:00"/>
        <d v="2023-10-13T00:00:00"/>
        <d v="2024-09-05T00:00:00"/>
        <d v="2022-01-22T00:00:00"/>
        <d v="2024-08-18T00:00:00"/>
        <d v="2022-07-05T00:00:00"/>
        <d v="2024-04-28T00:00:00"/>
        <d v="2022-12-16T00:00:00"/>
        <d v="2024-03-17T00:00:00"/>
        <d v="2021-09-16T00:00:00"/>
        <d v="2023-08-13T00:00:00"/>
        <d v="2024-11-22T00:00:00"/>
        <d v="2024-08-16T00:00:00"/>
        <d v="2024-04-08T00:00:00"/>
        <d v="2023-07-03T00:00:00"/>
        <d v="2023-07-18T00:00:00"/>
        <d v="2022-09-22T00:00:00"/>
        <d v="2024-04-13T00:00:00"/>
        <d v="2023-04-20T00:00:00"/>
        <d v="2022-04-26T00:00:00"/>
        <d v="2023-05-02T00:00:00"/>
        <d v="2023-05-11T00:00:00"/>
        <d v="2023-11-07T00:00:00"/>
        <d v="2023-11-12T00:00:00"/>
        <d v="2022-12-24T00:00:00"/>
        <d v="2022-03-10T00:00:00"/>
        <d v="2022-09-11T00:00:00"/>
        <d v="2024-10-26T00:00:00"/>
        <d v="2025-02-02T00:00:00"/>
        <d v="2024-01-31T00:00:00"/>
        <d v="2022-02-12T00:00:00"/>
        <d v="2021-11-05T00:00:00"/>
        <d v="2022-02-21T00:00:00"/>
        <d v="2024-05-01T00:00:00"/>
        <d v="2023-12-08T00:00:00"/>
        <d v="2023-10-23T00:00:00"/>
        <d v="2023-12-20T00:00:00"/>
        <d v="2025-07-15T00:00:00"/>
        <d v="2022-10-09T00:00:00"/>
        <d v="2025-07-21T00:00:00"/>
        <d v="2021-11-02T00:00:00"/>
        <d v="2022-03-21T00:00:00"/>
        <d v="2021-08-28T00:00:00"/>
        <d v="2025-06-23T00:00:00"/>
        <d v="2025-05-07T00:00:00"/>
        <d v="2023-11-19T00:00:00"/>
        <d v="2024-06-11T00:00:00"/>
        <d v="2022-05-04T00:00:00"/>
        <d v="2025-04-19T00:00:00"/>
        <d v="2022-10-22T00:00:00"/>
        <d v="2023-12-28T00:00:00"/>
        <d v="2021-07-25T00:00:00"/>
        <d v="2022-08-04T00:00:00"/>
        <d v="2024-10-25T00:00:00"/>
        <d v="2022-04-17T00:00:00"/>
        <d v="2022-11-26T00:00:00"/>
        <d v="2025-04-07T00:00:00"/>
        <d v="2021-07-24T00:00:00"/>
        <d v="2023-01-05T00:00:00"/>
        <d v="2022-12-14T00:00:00"/>
        <d v="2024-07-01T00:00:00"/>
        <d v="2023-02-11T00:00:00"/>
        <d v="2025-01-25T00:00:00"/>
        <d v="2023-06-01T00:00:00"/>
        <d v="2022-06-16T00:00:00"/>
        <d v="2025-04-10T00:00:00"/>
        <d v="2022-11-01T00:00:00"/>
        <d v="2025-05-04T00:00:00"/>
        <d v="2023-10-12T00:00:00"/>
        <d v="2023-02-01T00:00:00"/>
        <d v="2024-10-19T00:00:00"/>
        <d v="2021-10-11T00:00:00"/>
        <d v="2023-05-08T00:00:00"/>
        <d v="2024-04-21T00:00:00"/>
        <d v="2023-06-15T00:00:00"/>
        <d v="2022-12-18T00:00:00"/>
        <d v="2022-07-21T00:00:00"/>
        <d v="2022-11-22T00:00:00"/>
        <d v="2025-03-14T00:00:00"/>
        <d v="2024-01-26T00:00:00"/>
        <d v="2025-05-27T00:00:00"/>
        <d v="2024-06-26T00:00:00"/>
        <d v="2023-08-10T00:00:00"/>
        <d v="2025-07-17T00:00:00"/>
        <d v="2023-04-03T00:00:00"/>
        <d v="2023-08-19T00:00:00"/>
        <d v="2024-04-01T00:00:00"/>
        <d v="2024-06-15T00:00:00"/>
        <d v="2022-10-20T00:00:00"/>
        <d v="2023-09-08T00:00:00"/>
        <d v="2023-12-09T00:00:00"/>
        <d v="2023-12-17T00:00:00"/>
        <d v="2025-01-01T00:00:00"/>
        <d v="2023-08-28T00:00:00"/>
        <d v="2024-10-15T00:00:00"/>
        <d v="2024-03-06T00:00:00"/>
        <d v="2022-04-03T00:00:00"/>
        <d v="2022-05-31T00:00:00"/>
        <d v="2025-04-04T00:00:00"/>
        <d v="2023-03-10T00:00:00"/>
        <d v="2023-03-02T00:00:00"/>
        <d v="2023-10-30T00:00:00"/>
        <d v="2023-07-30T00:00:00"/>
        <d v="2022-02-10T00:00:00"/>
        <d v="2021-09-17T00:00:00"/>
        <d v="2023-03-30T00:00:00"/>
        <d v="2023-03-18T00:00:00"/>
        <d v="2021-12-23T00:00:00"/>
        <d v="2024-02-23T00:00:00"/>
        <d v="2022-01-20T00:00:00"/>
        <d v="2024-04-14T00:00:00"/>
        <d v="2023-01-25T00:00:00"/>
        <d v="2021-10-29T00:00:00"/>
        <d v="2023-02-28T00:00:00"/>
        <d v="2023-07-10T00:00:00"/>
        <d v="2021-10-10T00:00:00"/>
        <d v="2021-08-24T00:00:00"/>
        <d v="2023-10-20T00:00:00"/>
        <d v="2024-03-22T00:00:00"/>
        <d v="2024-02-24T00:00:00"/>
        <d v="2024-12-16T00:00:00"/>
        <d v="2022-04-29T00:00:00"/>
        <d v="2021-09-18T00:00:00"/>
        <d v="2023-06-18T00:00:00"/>
        <d v="2025-03-12T00:00:00"/>
        <d v="2024-08-26T00:00:00"/>
        <d v="2022-06-04T00:00:00"/>
        <d v="2022-03-25T00:00:00"/>
        <d v="2024-12-27T00:00:00"/>
        <d v="2021-12-20T00:00:00"/>
        <d v="2022-03-02T00:00:00"/>
        <d v="2022-05-08T00:00:00"/>
        <d v="2023-03-21T00:00:00"/>
        <d v="2022-04-20T00:00:00"/>
        <d v="2024-03-30T00:00:00"/>
        <d v="2021-08-05T00:00:00"/>
        <d v="2024-01-18T00:00:00"/>
        <d v="2025-02-09T00:00:00"/>
        <d v="2024-12-08T00:00:00"/>
        <d v="2022-05-16T00:00:00"/>
        <d v="2022-08-23T00:00:00"/>
        <d v="2022-10-28T00:00:00"/>
        <d v="2023-04-09T00:00:00"/>
        <d v="2021-11-19T00:00:00"/>
        <d v="2022-04-08T00:00:00"/>
        <d v="2023-12-27T00:00:00"/>
        <d v="2024-07-10T00:00:00"/>
        <d v="2023-06-14T00:00:00"/>
        <d v="2021-10-02T00:00:00"/>
        <d v="2022-05-02T00:00:00"/>
        <d v="2024-05-15T00:00:00"/>
        <d v="2023-06-20T00:00:00"/>
        <d v="2023-08-15T00:00:00"/>
        <d v="2022-11-07T00:00:00"/>
        <d v="2025-07-14T00:00:00"/>
        <d v="2023-02-26T00:00:00"/>
        <d v="2022-06-06T00:00:00"/>
        <d v="2025-05-02T00:00:00"/>
        <d v="2025-02-14T00:00:00"/>
        <d v="2022-08-31T00:00:00"/>
        <d v="2022-12-22T00:00:00"/>
        <d v="2024-12-03T00:00:00"/>
        <d v="2025-04-25T00:00:00"/>
        <d v="2024-06-22T00:00:00"/>
        <d v="2024-07-26T00:00:00"/>
        <d v="2022-02-03T00:00:00"/>
        <d v="2023-12-22T00:00:00"/>
        <d v="2025-03-26T00:00:00"/>
        <d v="2023-02-08T00:00:00"/>
        <d v="2021-08-27T00:00:00"/>
        <d v="2021-10-21T00:00:00"/>
        <d v="2025-03-10T00:00:00"/>
        <d v="2021-08-04T00:00:00"/>
        <d v="2023-03-13T00:00:00"/>
        <d v="2021-08-12T00:00:00"/>
        <d v="2024-09-01T00:00:00"/>
        <d v="2022-08-01T00:00:00"/>
        <d v="2025-05-24T00:00:00"/>
        <d v="2025-01-21T00:00:00"/>
        <d v="2024-01-08T00:00:00"/>
        <d v="2024-02-22T00:00:00"/>
        <d v="2023-05-06T00:00:00"/>
        <d v="2025-03-31T00:00:00"/>
        <d v="2025-02-23T00:00:00"/>
        <d v="2022-01-05T00:00:00"/>
        <d v="2023-08-23T00:00:00"/>
        <d v="2021-11-04T00:00:00"/>
        <d v="2025-05-28T00:00:00"/>
        <d v="2022-10-24T00:00:00"/>
        <d v="2025-03-02T00:00:00"/>
        <d v="2023-08-26T00:00:00"/>
        <d v="2022-03-07T00:00:00"/>
        <d v="2022-12-19T00:00:00"/>
        <d v="2023-05-16T00:00:00"/>
        <d v="2023-10-09T00:00:00"/>
        <d v="2021-09-25T00:00:00"/>
        <d v="2023-04-14T00:00:00"/>
        <d v="2025-03-09T00:00:00"/>
        <d v="2025-05-18T00:00:00"/>
        <d v="2024-11-08T00:00:00"/>
        <d v="2024-06-17T00:00:00"/>
        <d v="2022-06-13T00:00:00"/>
        <d v="2021-12-16T00:00:00"/>
        <d v="2022-08-12T00:00:00"/>
        <d v="2021-09-24T00:00:00"/>
        <d v="2025-06-20T00:00:00"/>
        <d v="2022-12-01T00:00:00"/>
        <d v="2023-01-10T00:00:00"/>
        <d v="2021-12-14T00:00:00"/>
        <d v="2024-12-04T00:00:00"/>
        <d v="2021-10-18T00:00:00"/>
        <d v="2023-11-22T00:00:00"/>
        <d v="2023-12-16T00:00:00"/>
        <d v="2023-09-29T00:00:00"/>
        <d v="2022-12-20T00:00:00"/>
        <d v="2023-03-23T00:00:00"/>
        <d v="2023-09-15T00:00:00"/>
        <d v="2024-09-14T00:00:00"/>
        <d v="2023-09-07T00:00:00"/>
        <d v="2023-04-27T00:00:00"/>
        <d v="2022-03-13T00:00:00"/>
        <d v="2022-07-13T00:00:00"/>
        <d v="2022-08-19T00:00:00"/>
        <d v="2022-02-24T00:00:00"/>
        <d v="2022-11-10T00:00:00"/>
        <d v="2022-09-23T00:00:00"/>
        <d v="2023-11-06T00:00:00"/>
        <d v="2024-10-17T00:00:00"/>
        <d v="2022-08-05T00:00:00"/>
        <d v="2022-09-14T00:00:00"/>
        <d v="2022-08-14T00:00:00"/>
        <d v="2024-11-26T00:00:00"/>
        <d v="2024-04-23T00:00:00"/>
        <d v="2025-04-30T00:00:00"/>
        <d v="2025-02-10T00:00:00"/>
        <d v="2022-11-04T00:00:00"/>
        <d v="2023-11-05T00:00:00"/>
        <d v="2023-02-17T00:00:00"/>
        <d v="2022-01-27T00:00:00"/>
        <d v="2022-11-08T00:00:00"/>
        <d v="2021-08-08T00:00:00"/>
        <d v="2024-05-03T00:00:00"/>
        <d v="2024-05-02T00:00:00"/>
        <d v="2025-07-16T00:00:00"/>
        <d v="2024-10-06T00:00:00"/>
        <d v="2024-08-11T00:00:00"/>
        <d v="2023-03-28T00:00:00"/>
        <d v="2025-05-19T00:00:00"/>
        <d v="2024-08-04T00:00:00"/>
        <d v="2023-01-18T00:00:00"/>
        <d v="2021-08-29T00:00:00"/>
        <d v="2023-07-19T00:00:00"/>
        <d v="2021-08-18T00:00:00"/>
        <d v="2024-06-07T00:00:00"/>
        <d v="2022-09-02T00:00:00"/>
        <d v="2021-11-30T00:00:00"/>
        <d v="2023-07-21T00:00:00"/>
        <d v="2025-03-19T00:00:00"/>
        <d v="2022-03-16T00:00:00"/>
        <d v="2022-10-31T00:00:00"/>
        <d v="2025-05-26T00:00:00"/>
        <d v="2024-10-04T00:00:00"/>
        <d v="2025-02-15T00:00:00"/>
        <d v="2024-05-29T00:00:00"/>
        <d v="2025-02-19T00:00:00"/>
        <d v="2021-08-21T00:00:00"/>
        <d v="2024-03-08T00:00:00"/>
        <d v="2025-01-08T00:00:00"/>
        <d v="2024-08-05T00:00:00"/>
        <d v="2024-02-25T00:00:00"/>
        <d v="2021-11-17T00:00:00"/>
        <d v="2024-06-19T00:00:00"/>
        <d v="2024-09-11T00:00:00"/>
        <d v="2024-12-20T00:00:00"/>
        <d v="2023-01-27T00:00:00"/>
        <d v="2022-09-12T00:00:00"/>
        <d v="2024-10-13T00:00:00"/>
        <d v="2025-07-04T00:00:00"/>
        <d v="2024-03-13T00:00:00"/>
        <d v="2024-07-28T00:00:00"/>
        <d v="2024-06-03T00:00:00"/>
        <d v="2024-09-08T00:00:00"/>
        <d v="2024-02-03T00:00:00"/>
        <d v="2022-02-18T00:00:00"/>
        <d v="2025-06-28T00:00:00"/>
        <d v="2023-12-02T00:00:00"/>
        <d v="2024-07-25T00:00:00"/>
        <d v="2024-12-02T00:00:00"/>
        <d v="2021-11-14T00:00:00"/>
        <d v="2023-03-05T00:00:00"/>
        <d v="2021-08-31T00:00:00"/>
        <d v="2022-11-15T00:00:00"/>
        <d v="2024-01-09T00:00:00"/>
        <d v="2025-02-13T00:00:00"/>
        <d v="2023-11-26T00:00:00"/>
        <d v="2021-08-15T00:00:00"/>
        <d v="2024-10-14T00:00:00"/>
        <d v="2024-12-24T00:00:00"/>
        <d v="2024-07-29T00:00:00"/>
        <d v="2023-01-30T00:00:00"/>
        <d v="2024-10-23T00:00:00"/>
        <d v="2025-05-25T00:00:00"/>
        <d v="2023-05-27T00:00:00"/>
        <d v="2024-02-04T00:00:00"/>
        <d v="2025-06-30T00:00:00"/>
        <d v="2023-06-29T00:00:00"/>
        <d v="2025-06-04T00:00:00"/>
        <d v="2023-02-03T00:00:00"/>
        <d v="2023-07-02T00:00:00"/>
        <d v="2022-12-26T00:00:00"/>
        <d v="2025-03-21T00:00:00"/>
        <d v="2021-09-08T00:00:00"/>
        <d v="2021-10-08T00:00:00"/>
        <d v="2024-04-22T00:00:00"/>
        <d v="2024-04-07T00:00:00"/>
        <d v="2024-08-27T00:00:00"/>
        <d v="2022-01-04T00:00:00"/>
        <d v="2023-05-07T00:00:00"/>
        <d v="2022-03-05T00:00:00"/>
        <d v="2023-02-18T00:00:00"/>
        <d v="2023-03-29T00:00:00"/>
        <d v="2023-01-03T00:00:00"/>
        <d v="2021-10-06T00:00:00"/>
        <d v="2025-05-14T00:00:00"/>
        <d v="2022-08-20T00:00:00"/>
        <d v="2022-11-11T00:00:00"/>
        <d v="2022-08-08T00:00:00"/>
        <d v="2023-03-27T00:00:00"/>
        <d v="2023-06-03T00:00:00"/>
        <d v="2024-11-29T00:00:00"/>
        <d v="2023-04-01T00:00:00"/>
        <d v="2023-01-21T00:00:00"/>
        <d v="2024-10-01T00:00:00"/>
        <d v="2024-05-19T00:00:00"/>
        <d v="2025-06-17T00:00:00"/>
        <d v="2021-09-22T00:00:00"/>
        <d v="2024-06-05T00:00:00"/>
        <d v="2022-02-25T00:00:00"/>
        <d v="2025-07-18T00:00:00"/>
        <d v="2022-01-12T00:00:00"/>
        <d v="2021-08-26T00:00:00"/>
        <d v="2023-07-25T00:00:00"/>
        <d v="2025-01-18T00:00:00"/>
        <d v="2022-02-19T00:00:00"/>
        <d v="2024-12-14T00:00:00"/>
        <d v="2024-02-05T00:00:00"/>
        <d v="2023-11-02T00:00:00"/>
        <d v="2024-01-29T00:00:00"/>
        <d v="2025-02-06T00:00:00"/>
        <d v="2023-08-01T00:00:00"/>
        <d v="2022-05-22T00:00:00"/>
        <d v="2022-10-05T00:00:00"/>
        <d v="2021-09-13T00:00:00"/>
        <d v="2023-07-15T00:00:00"/>
        <d v="2022-03-09T00:00:00"/>
        <d v="2022-06-15T00:00:00"/>
        <d v="2023-06-21T00:00:00"/>
        <d v="2022-07-03T00:00:00"/>
        <d v="2023-02-06T00:00:00"/>
        <d v="2021-11-10T00:00:00"/>
        <d v="2021-08-20T00:00:00"/>
        <d v="2022-04-21T00:00:00"/>
        <d v="2022-12-06T00:00:00"/>
        <d v="2023-03-06T00:00:00"/>
        <d v="2024-03-14T00:00:00"/>
        <d v="2024-11-23T00:00:00"/>
        <d v="2024-09-21T00:00:00"/>
        <d v="2023-11-16T00:00:00"/>
        <d v="2024-11-09T00:00:00"/>
        <d v="2022-11-18T00:00:00"/>
        <d v="2024-03-23T00:00:00"/>
        <d v="2024-11-05T00:00:00"/>
        <d v="2024-05-30T00:00:00"/>
        <d v="2022-11-30T00:00:00"/>
        <d v="2023-08-22T00:00:00"/>
        <d v="2022-11-09T00:00:00"/>
        <d v="2024-07-05T00:00:00"/>
        <d v="2024-01-21T00:00:00"/>
        <d v="2022-01-07T00:00:00"/>
        <d v="2022-02-22T00:00:00"/>
        <d v="2023-06-17T00:00:00"/>
        <d v="2023-06-04T00:00:00"/>
        <d v="2023-09-14T00:00:00"/>
        <d v="2023-12-03T00:00:00"/>
        <d v="2022-05-01T00:00:00"/>
        <d v="2023-09-25T00:00:00"/>
        <d v="2025-02-24T00:00:00"/>
        <d v="2023-06-23T00:00:00"/>
        <d v="2023-01-24T00:00:00"/>
        <d v="2024-09-25T00:00:00"/>
        <d v="2022-01-01T00:00:00"/>
        <d v="2024-10-11T00:00:00"/>
        <d v="2023-02-27T00:00:00"/>
        <d v="2024-09-15T00:00:00"/>
        <d v="2025-03-25T00:00:00"/>
        <d v="2022-09-30T00:00:00"/>
        <d v="2022-09-25T00:00:00"/>
        <d v="2023-03-01T00:00:00"/>
        <d v="2022-04-14T00:00:00"/>
        <d v="2025-04-17T00:00:00"/>
        <d v="2025-03-08T00:00:00"/>
        <d v="2024-11-03T00:00:00"/>
        <d v="2022-06-03T00:00:00"/>
        <d v="2021-11-12T00:00:00"/>
        <d v="2022-11-27T00:00:00"/>
        <d v="2022-10-16T00:00:00"/>
        <d v="2022-08-15T00:00:00"/>
        <d v="2022-07-26T00:00:00"/>
        <d v="2024-01-17T00:00:00"/>
        <d v="2023-05-22T00:00:00"/>
        <d v="2023-08-03T00:00:00"/>
        <d v="2022-07-24T00:00:00"/>
        <d v="2025-05-11T00:00:00"/>
        <d v="2022-08-06T00:00:00"/>
        <d v="2023-10-28T00:00:00"/>
        <d v="2024-09-30T00:00:00"/>
        <d v="2025-04-01T00:00:00"/>
        <d v="2023-05-18T00:00:00"/>
        <d v="2025-01-26T00:00:00"/>
        <d v="2023-12-06T00:00:00"/>
        <d v="2025-04-28T00:00:00"/>
        <d v="2025-03-28T00:00:00"/>
        <d v="2025-03-13T00:00:00"/>
        <d v="2021-10-26T00:00:00"/>
        <d v="2023-06-19T00:00:00"/>
        <d v="2022-11-19T00:00:00"/>
        <d v="2022-03-11T00:00:00"/>
        <d v="2023-08-25T00:00:00"/>
        <d v="2022-04-10T00:00:00"/>
        <d v="2022-04-01T00:00:00"/>
        <d v="2023-08-16T00:00:00"/>
        <d v="2023-06-30T00:00:00"/>
        <d v="2023-06-16T00:00:00"/>
        <d v="2021-07-23T00:00:00"/>
        <d v="2023-07-06T00:00:00"/>
        <d v="2022-01-10T00:00:00"/>
        <d v="2024-09-16T00:00:00"/>
        <d v="2024-09-29T00:00:00"/>
        <d v="2023-01-02T00:00:00"/>
        <d v="2021-10-31T00:00:00"/>
        <d v="2021-12-31T00:00:00"/>
        <d v="2023-11-24T00:00:00"/>
        <d v="2023-06-09T00:00:00"/>
        <d v="2025-06-16T00:00:00"/>
        <d v="2025-02-20T00:00:00"/>
        <d v="2022-03-22T00:00:00"/>
        <d v="2024-11-17T00:00:00"/>
        <d v="2022-05-24T00:00:00"/>
        <d v="2024-06-08T00:00:00"/>
        <d v="2023-07-26T00:00:00"/>
        <d v="2024-07-17T00:00:00"/>
        <d v="2022-12-02T00:00:00"/>
        <d v="2022-06-11T00:00:00"/>
        <d v="2022-11-29T00:00:00"/>
        <d v="2024-09-04T00:00:00"/>
        <d v="2022-05-10T00:00:00"/>
        <d v="2023-03-22T00:00:00"/>
        <d v="2023-12-23T00:00:00"/>
        <d v="2023-02-15T00:00:00"/>
        <d v="2024-09-10T00:00:00"/>
        <d v="2023-04-11T00:00:00"/>
        <d v="2021-09-07T00:00:00"/>
        <d v="2024-08-19T00:00:00"/>
        <d v="2024-05-17T00:00:00"/>
        <d v="2023-04-28T00:00:00"/>
        <d v="2022-02-11T00:00:00"/>
        <d v="2025-02-01T00:00:00"/>
        <d v="2024-04-02T00:00:00"/>
        <d v="2025-02-27T00:00:00"/>
        <d v="2024-12-30T00:00:00"/>
        <d v="2025-07-07T00:00:00"/>
        <d v="2025-06-13T00:00:00"/>
        <d v="2022-04-30T00:00:00"/>
        <d v="2024-01-25T00:00:00"/>
        <d v="2022-01-31T00:00:00"/>
        <d v="2021-12-17T00:00:00"/>
        <d v="2023-11-17T00:00:00"/>
        <d v="2024-07-16T00:00:00"/>
        <d v="2021-12-07T00:00:00"/>
        <d v="2023-11-29T00:00:00"/>
        <d v="2023-06-12T00:00:00"/>
        <d v="2023-01-07T00:00:00"/>
        <d v="2022-01-24T00:00:00"/>
        <d v="2024-09-18T00:00:00"/>
        <d v="2024-08-24T00:00:00"/>
        <d v="2021-10-20T00:00:00"/>
        <d v="2023-12-12T00:00:00"/>
        <d v="2024-01-05T00:00:00"/>
        <d v="2022-05-19T00:00:00"/>
        <d v="2024-06-20T00:00:00"/>
        <d v="2023-08-21T00:00:00"/>
        <d v="2023-08-18T00:00:00"/>
        <d v="2024-12-28T00:00:00"/>
        <d v="2025-07-02T00:00:00"/>
        <d v="2021-07-30T00:00:00"/>
        <d v="2025-06-27T00:00:00"/>
        <d v="2025-06-07T00:00:00"/>
        <d v="2025-03-03T00:00:00"/>
        <d v="2021-11-22T00:00:00"/>
        <d v="2023-05-24T00:00:00"/>
        <d v="2024-12-01T00:00:00"/>
        <d v="2021-10-25T00:00:00"/>
        <d v="2022-03-19T00:00:00"/>
        <d v="2023-06-07T00:00:00"/>
        <d v="2023-07-12T00:00:00"/>
        <d v="2022-03-17T00:00:00"/>
        <d v="2022-06-01T00:00:00"/>
        <d v="2025-05-23T00:00:00"/>
        <d v="2024-03-21T00:00:00"/>
        <d v="2021-12-30T00:00:00"/>
        <d v="2023-09-28T00:00:00"/>
        <d v="2023-07-16T00:00:00"/>
        <d v="2022-04-12T00:00:00"/>
        <d v="2023-06-11T00:00:00"/>
        <d v="2024-09-06T00:00:00"/>
        <d v="2023-08-27T00:00:00"/>
        <d v="2021-07-28T00:00:00"/>
        <d v="2021-11-07T00:00:00"/>
        <d v="2023-04-23T00:00:00"/>
        <d v="2022-06-24T00:00:00"/>
        <d v="2025-03-07T00:00:00"/>
        <d v="2022-12-25T00:00:00"/>
        <d v="2021-11-16T00:00:00"/>
        <d v="2023-02-19T00:00:00"/>
        <d v="2022-08-07T00:00:00"/>
        <d v="2025-03-27T00:00:00"/>
        <d v="2023-05-03T00:00:00"/>
        <d v="2023-11-18T00:00:00"/>
        <d v="2025-02-08T00:00:00"/>
        <d v="2024-11-13T00:00:00"/>
        <d v="2023-04-13T00:00:00"/>
        <d v="2022-06-07T00:00:00"/>
        <d v="2024-05-07T00:00:00"/>
        <d v="2024-11-25T00:00:00"/>
        <d v="2022-04-28T00:00:00"/>
        <d v="2024-12-06T00:00:00"/>
        <d v="2023-05-17T00:00:00"/>
        <d v="2024-09-19T00:00:00"/>
        <d v="2024-05-12T00:00:00"/>
        <d v="2023-11-13T00:00:00"/>
        <d v="2024-03-20T00:00:00"/>
        <d v="2024-01-13T00:00:00"/>
        <d v="2022-06-09T00:00:00"/>
        <d v="2025-04-15T00:00:00"/>
        <d v="2025-06-06T00:00:00"/>
        <d v="2022-01-14T00:00:00"/>
        <d v="2023-05-30T00:00:00"/>
        <d v="2022-09-08T00:00:00"/>
        <d v="2022-09-16T00:00:00"/>
        <d v="2023-07-27T00:00:00"/>
        <d v="2022-10-26T00:00:00"/>
        <d v="2022-10-14T00:00:00"/>
        <d v="2022-01-16T00:00:00"/>
        <d v="2024-09-23T00:00:00"/>
        <d v="2024-08-30T00:00:00"/>
        <d v="2024-04-15T00:00:00"/>
        <d v="2022-02-13T00:00:00"/>
        <d v="2023-06-10T00:00:00"/>
        <d v="2021-10-17T00:00:00"/>
        <d v="2024-03-27T00:00:00"/>
        <d v="2023-02-12T00:00:00"/>
        <d v="2023-01-23T00:00:00"/>
        <d v="2021-08-16T00:00:00"/>
        <d v="2022-10-01T00:00:00"/>
        <d v="2025-02-12T00:00:00"/>
        <d v="2022-03-26T00:00:00"/>
        <d v="2022-12-03T00:00:00"/>
        <d v="2023-12-21T00:00:00"/>
        <d v="2024-01-27T00:00:00"/>
        <d v="2023-04-30T00:00:00"/>
        <d v="2022-01-17T00:00:00"/>
        <d v="2024-11-20T00:00:00"/>
        <d v="2024-10-10T00:00:00"/>
        <d v="2024-08-03T00:00:00"/>
        <d v="2021-10-13T00:00:00"/>
        <d v="2023-11-23T00:00:00"/>
        <d v="2024-02-28T00:00:00"/>
        <d v="2021-10-23T00:00:00"/>
        <d v="2024-10-03T00:00:00"/>
        <d v="2022-01-18T00:00:00"/>
        <d v="2024-12-15T00:00:00"/>
        <d v="2022-07-25T00:00:00"/>
        <d v="2023-09-30T00:00:00"/>
        <d v="2024-02-21T00:00:00"/>
        <d v="2022-05-12T00:00:00"/>
        <d v="2022-08-17T00:00:00"/>
        <d v="2024-11-14T00:00:00"/>
        <d v="2022-07-30T00:00:00"/>
        <d v="2023-11-03T00:00:00"/>
        <d v="2024-05-16T00:00:00"/>
        <d v="2021-12-29T00:00:00"/>
        <d v="2022-02-07T00:00:00"/>
        <d v="2023-06-05T00:00:00"/>
        <d v="2022-04-15T00:00:00"/>
        <d v="2023-09-02T00:00:00"/>
        <d v="2024-01-01T00:00:00"/>
        <d v="2022-07-07T00:00:00"/>
        <d v="2023-10-22T00:00:00"/>
        <d v="2022-09-29T00:00:00"/>
        <d v="2021-08-10T00:00:00"/>
        <d v="2022-06-21T00:00:00"/>
        <d v="2024-02-27T00:00:00"/>
        <d v="2024-05-18T00:00:00"/>
      </sharedItems>
    </cacheField>
    <cacheField name="high_risk" numFmtId="0">
      <sharedItems containsSemiMixedTypes="0" containsString="0" containsNumber="1" containsInteger="1" minValue="0" maxValue="1"/>
    </cacheField>
    <cacheField name="High Risk Count" numFmtId="0" formula="IF(debt_to_income_ratio&gt; 0.4, 1, 0)" databaseField="0"/>
  </cacheFields>
  <extLst>
    <ext xmlns:x14="http://schemas.microsoft.com/office/spreadsheetml/2009/9/main" uri="{725AE2AE-9491-48be-B2B4-4EB974FC3084}">
      <x14:pivotCacheDefinition pivotCacheId="8756883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4">
  <r>
    <s v="U00021"/>
    <x v="0"/>
    <x v="0"/>
    <x v="0"/>
    <x v="0"/>
    <s v="Engineer"/>
    <n v="8237.77"/>
    <n v="7316.78"/>
    <n v="83622.720000000001"/>
    <s v="Yes"/>
    <s v="Business"/>
    <n v="425717.2"/>
    <n v="36"/>
    <n v="13258.1"/>
    <n v="7.58"/>
    <n v="1.61"/>
    <n v="622"/>
    <n v="0.85"/>
    <x v="0"/>
    <x v="0"/>
    <n v="1"/>
  </r>
  <r>
    <s v="U00025"/>
    <x v="1"/>
    <x v="1"/>
    <x v="1"/>
    <x v="1"/>
    <s v="Driver"/>
    <n v="2676.43"/>
    <n v="1507.85"/>
    <n v="28157.7"/>
    <s v="Yes"/>
    <s v="Education"/>
    <n v="41355.61"/>
    <n v="360"/>
    <n v="745.27"/>
    <n v="21.59"/>
    <n v="0.28000000000000003"/>
    <n v="357"/>
    <n v="0.88"/>
    <x v="0"/>
    <x v="1"/>
    <n v="0"/>
  </r>
  <r>
    <s v="U00035"/>
    <x v="2"/>
    <x v="1"/>
    <x v="2"/>
    <x v="0"/>
    <s v="Accountant"/>
    <n v="5227.68"/>
    <n v="1885.49"/>
    <n v="58507.61"/>
    <s v="No"/>
    <s v="None"/>
    <n v="0"/>
    <n v="0"/>
    <n v="0"/>
    <n v="0"/>
    <n v="0"/>
    <n v="469"/>
    <n v="0.93"/>
    <x v="1"/>
    <x v="2"/>
    <n v="0"/>
  </r>
  <r>
    <s v="U00041"/>
    <x v="3"/>
    <x v="1"/>
    <x v="3"/>
    <x v="1"/>
    <s v="Doctor"/>
    <n v="970.85"/>
    <n v="368.84"/>
    <n v="9953.74"/>
    <s v="No"/>
    <s v="None"/>
    <n v="0"/>
    <n v="0"/>
    <n v="0"/>
    <n v="0"/>
    <n v="0"/>
    <n v="555"/>
    <n v="0.85"/>
    <x v="2"/>
    <x v="3"/>
    <n v="0"/>
  </r>
  <r>
    <s v="U00074"/>
    <x v="4"/>
    <x v="0"/>
    <x v="3"/>
    <x v="1"/>
    <s v="Teacher"/>
    <n v="3250.36"/>
    <n v="1000.46"/>
    <n v="36918.93"/>
    <s v="Yes"/>
    <s v="Car"/>
    <n v="62265.67"/>
    <n v="36"/>
    <n v="2274.23"/>
    <n v="18.739999999999998"/>
    <n v="0.7"/>
    <n v="381"/>
    <n v="0.95"/>
    <x v="0"/>
    <x v="4"/>
    <n v="1"/>
  </r>
  <r>
    <s v="U00078"/>
    <x v="2"/>
    <x v="1"/>
    <x v="2"/>
    <x v="1"/>
    <s v="Doctor"/>
    <n v="3163.71"/>
    <n v="1894.6"/>
    <n v="29044.240000000002"/>
    <s v="No"/>
    <s v="None"/>
    <n v="0"/>
    <n v="0"/>
    <n v="0"/>
    <n v="0"/>
    <n v="0"/>
    <n v="677"/>
    <n v="0.77"/>
    <x v="3"/>
    <x v="5"/>
    <n v="0"/>
  </r>
  <r>
    <s v="U00080"/>
    <x v="5"/>
    <x v="0"/>
    <x v="3"/>
    <x v="1"/>
    <s v="Unemployed"/>
    <n v="5688.88"/>
    <n v="4225.8100000000004"/>
    <n v="62785.22"/>
    <s v="No"/>
    <s v="None"/>
    <n v="0"/>
    <n v="0"/>
    <n v="0"/>
    <n v="0"/>
    <n v="0"/>
    <n v="328"/>
    <n v="0.92"/>
    <x v="2"/>
    <x v="6"/>
    <n v="0"/>
  </r>
  <r>
    <s v="U00094"/>
    <x v="6"/>
    <x v="0"/>
    <x v="3"/>
    <x v="2"/>
    <s v="Salesperson"/>
    <n v="3624.84"/>
    <n v="3243.82"/>
    <n v="30840.95"/>
    <s v="No"/>
    <s v="None"/>
    <n v="0"/>
    <n v="0"/>
    <n v="0"/>
    <n v="0"/>
    <n v="0"/>
    <n v="617"/>
    <n v="0.71"/>
    <x v="2"/>
    <x v="7"/>
    <n v="0"/>
  </r>
  <r>
    <s v="U00097"/>
    <x v="7"/>
    <x v="1"/>
    <x v="3"/>
    <x v="0"/>
    <s v="Teacher"/>
    <n v="4836.51"/>
    <n v="2923.58"/>
    <n v="9472.99"/>
    <s v="Yes"/>
    <s v="Home"/>
    <n v="163890.35"/>
    <n v="360"/>
    <n v="2746.73"/>
    <n v="20.059999999999999"/>
    <n v="0.56999999999999995"/>
    <n v="522"/>
    <n v="0.16"/>
    <x v="0"/>
    <x v="8"/>
    <n v="1"/>
  </r>
  <r>
    <s v="U00099"/>
    <x v="8"/>
    <x v="1"/>
    <x v="4"/>
    <x v="1"/>
    <s v="Unemployed"/>
    <n v="3532.02"/>
    <n v="1182.3499999999999"/>
    <n v="35580.5"/>
    <s v="No"/>
    <s v="None"/>
    <n v="0"/>
    <n v="0"/>
    <n v="0"/>
    <n v="0"/>
    <n v="0"/>
    <n v="569"/>
    <n v="0.84"/>
    <x v="2"/>
    <x v="9"/>
    <n v="0"/>
  </r>
  <r>
    <s v="U00106"/>
    <x v="9"/>
    <x v="1"/>
    <x v="2"/>
    <x v="1"/>
    <s v="Accountant"/>
    <n v="500"/>
    <n v="321.27"/>
    <n v="1691.04"/>
    <s v="No"/>
    <s v="None"/>
    <n v="0"/>
    <n v="0"/>
    <n v="0"/>
    <n v="0"/>
    <n v="0"/>
    <n v="391"/>
    <n v="0.28000000000000003"/>
    <x v="3"/>
    <x v="10"/>
    <n v="0"/>
  </r>
  <r>
    <s v="U00111"/>
    <x v="9"/>
    <x v="1"/>
    <x v="3"/>
    <x v="1"/>
    <s v="Teacher"/>
    <n v="5011.9799999999996"/>
    <n v="2986.97"/>
    <n v="54557.14"/>
    <s v="No"/>
    <s v="None"/>
    <n v="0"/>
    <n v="0"/>
    <n v="0"/>
    <n v="0"/>
    <n v="0"/>
    <n v="744"/>
    <n v="0.91"/>
    <x v="2"/>
    <x v="11"/>
    <n v="0"/>
  </r>
  <r>
    <s v="U00122"/>
    <x v="10"/>
    <x v="1"/>
    <x v="3"/>
    <x v="2"/>
    <s v="Teacher"/>
    <n v="5014.03"/>
    <n v="4510.8599999999997"/>
    <n v="34735.15"/>
    <s v="No"/>
    <s v="None"/>
    <n v="0"/>
    <n v="0"/>
    <n v="0"/>
    <n v="0"/>
    <n v="0"/>
    <n v="388"/>
    <n v="0.57999999999999996"/>
    <x v="2"/>
    <x v="12"/>
    <n v="0"/>
  </r>
  <r>
    <s v="U00133"/>
    <x v="11"/>
    <x v="2"/>
    <x v="0"/>
    <x v="2"/>
    <s v="Driver"/>
    <n v="500"/>
    <n v="367.36"/>
    <n v="1539.77"/>
    <s v="Yes"/>
    <s v="Home"/>
    <n v="52950.720000000001"/>
    <n v="180"/>
    <n v="876.45"/>
    <n v="18.62"/>
    <n v="1.75"/>
    <n v="466"/>
    <n v="0.26"/>
    <x v="2"/>
    <x v="13"/>
    <n v="1"/>
  </r>
  <r>
    <s v="U00147"/>
    <x v="3"/>
    <x v="0"/>
    <x v="2"/>
    <x v="1"/>
    <s v="Student"/>
    <n v="4217.6899999999996"/>
    <n v="1809.9"/>
    <n v="11134.48"/>
    <s v="Yes"/>
    <s v="Education"/>
    <n v="100229.28"/>
    <n v="120"/>
    <n v="2561.89"/>
    <n v="28.91"/>
    <n v="0.61"/>
    <n v="463"/>
    <n v="0.22"/>
    <x v="1"/>
    <x v="14"/>
    <n v="1"/>
  </r>
  <r>
    <s v="U00151"/>
    <x v="12"/>
    <x v="1"/>
    <x v="3"/>
    <x v="2"/>
    <s v="Manager"/>
    <n v="4473.92"/>
    <n v="1535.68"/>
    <n v="43241.78"/>
    <s v="Yes"/>
    <s v="Education"/>
    <n v="254781.07"/>
    <n v="300"/>
    <n v="2785.62"/>
    <n v="12.54"/>
    <n v="0.62"/>
    <n v="665"/>
    <n v="0.81"/>
    <x v="3"/>
    <x v="15"/>
    <n v="1"/>
  </r>
  <r>
    <s v="U00162"/>
    <x v="13"/>
    <x v="1"/>
    <x v="2"/>
    <x v="1"/>
    <s v="Salesperson"/>
    <n v="5568.07"/>
    <n v="3885.54"/>
    <n v="7925.2"/>
    <s v="Yes"/>
    <s v="Home"/>
    <n v="310175.08"/>
    <n v="60"/>
    <n v="6274.4"/>
    <n v="7.9"/>
    <n v="1.1299999999999999"/>
    <n v="319"/>
    <n v="0.12"/>
    <x v="1"/>
    <x v="16"/>
    <n v="1"/>
  </r>
  <r>
    <s v="U00179"/>
    <x v="5"/>
    <x v="1"/>
    <x v="3"/>
    <x v="0"/>
    <s v="Student"/>
    <n v="4779.7700000000004"/>
    <n v="1700.73"/>
    <n v="22409.77"/>
    <s v="No"/>
    <s v="None"/>
    <n v="0"/>
    <n v="0"/>
    <n v="0"/>
    <n v="0"/>
    <n v="0"/>
    <n v="681"/>
    <n v="0.39"/>
    <x v="2"/>
    <x v="17"/>
    <n v="0"/>
  </r>
  <r>
    <s v="U00187"/>
    <x v="13"/>
    <x v="0"/>
    <x v="2"/>
    <x v="3"/>
    <s v="Unemployed"/>
    <n v="3791.1"/>
    <n v="2944.73"/>
    <n v="20164.21"/>
    <s v="No"/>
    <s v="None"/>
    <n v="0"/>
    <n v="0"/>
    <n v="0"/>
    <n v="0"/>
    <n v="0"/>
    <n v="793"/>
    <n v="0.44"/>
    <x v="0"/>
    <x v="18"/>
    <n v="0"/>
  </r>
  <r>
    <s v="U00193"/>
    <x v="9"/>
    <x v="0"/>
    <x v="0"/>
    <x v="1"/>
    <s v="Salesperson"/>
    <n v="1098.58"/>
    <n v="591.12"/>
    <n v="7111.4"/>
    <s v="Yes"/>
    <s v="Business"/>
    <n v="44459.29"/>
    <n v="360"/>
    <n v="930.11"/>
    <n v="25.09"/>
    <n v="0.85"/>
    <n v="482"/>
    <n v="0.54"/>
    <x v="1"/>
    <x v="19"/>
    <n v="1"/>
  </r>
  <r>
    <s v="U00225"/>
    <x v="14"/>
    <x v="1"/>
    <x v="3"/>
    <x v="2"/>
    <s v="Engineer"/>
    <n v="4876.95"/>
    <n v="1830.47"/>
    <n v="15671.51"/>
    <s v="No"/>
    <s v="None"/>
    <n v="0"/>
    <n v="0"/>
    <n v="0"/>
    <n v="0"/>
    <n v="0"/>
    <n v="720"/>
    <n v="0.27"/>
    <x v="2"/>
    <x v="20"/>
    <n v="0"/>
  </r>
  <r>
    <s v="U00245"/>
    <x v="9"/>
    <x v="1"/>
    <x v="0"/>
    <x v="1"/>
    <s v="Teacher"/>
    <n v="4836.8"/>
    <n v="4214.46"/>
    <n v="30180.51"/>
    <s v="Yes"/>
    <s v="Business"/>
    <n v="474655.1"/>
    <n v="360"/>
    <n v="3003.27"/>
    <n v="6.51"/>
    <n v="0.62"/>
    <n v="401"/>
    <n v="0.52"/>
    <x v="1"/>
    <x v="21"/>
    <n v="1"/>
  </r>
  <r>
    <s v="U00248"/>
    <x v="15"/>
    <x v="1"/>
    <x v="3"/>
    <x v="1"/>
    <s v="Doctor"/>
    <n v="5557.87"/>
    <n v="2949.08"/>
    <n v="23304.02"/>
    <s v="No"/>
    <s v="None"/>
    <n v="0"/>
    <n v="0"/>
    <n v="0"/>
    <n v="0"/>
    <n v="0"/>
    <n v="787"/>
    <n v="0.35"/>
    <x v="0"/>
    <x v="22"/>
    <n v="0"/>
  </r>
  <r>
    <s v="U00263"/>
    <x v="16"/>
    <x v="1"/>
    <x v="3"/>
    <x v="2"/>
    <s v="Manager"/>
    <n v="7985.03"/>
    <n v="6881.25"/>
    <n v="70299.839999999997"/>
    <s v="No"/>
    <s v="None"/>
    <n v="0"/>
    <n v="0"/>
    <n v="0"/>
    <n v="0"/>
    <n v="0"/>
    <n v="811"/>
    <n v="0.73"/>
    <x v="4"/>
    <x v="23"/>
    <n v="0"/>
  </r>
  <r>
    <s v="U00316"/>
    <x v="12"/>
    <x v="0"/>
    <x v="0"/>
    <x v="1"/>
    <s v="Unemployed"/>
    <n v="4439.57"/>
    <n v="1903.77"/>
    <n v="40788.199999999997"/>
    <s v="No"/>
    <s v="None"/>
    <n v="0"/>
    <n v="0"/>
    <n v="0"/>
    <n v="0"/>
    <n v="0"/>
    <n v="748"/>
    <n v="0.77"/>
    <x v="3"/>
    <x v="24"/>
    <n v="0"/>
  </r>
  <r>
    <s v="U00328"/>
    <x v="17"/>
    <x v="1"/>
    <x v="2"/>
    <x v="1"/>
    <s v="Accountant"/>
    <n v="5159.71"/>
    <n v="2161.1799999999998"/>
    <n v="46459.18"/>
    <s v="No"/>
    <s v="None"/>
    <n v="0"/>
    <n v="0"/>
    <n v="0"/>
    <n v="0"/>
    <n v="0"/>
    <n v="368"/>
    <n v="0.75"/>
    <x v="3"/>
    <x v="25"/>
    <n v="0"/>
  </r>
  <r>
    <s v="U00356"/>
    <x v="18"/>
    <x v="0"/>
    <x v="0"/>
    <x v="1"/>
    <s v="Accountant"/>
    <n v="1650.32"/>
    <n v="869.23"/>
    <n v="14143.19"/>
    <s v="Yes"/>
    <s v="Business"/>
    <n v="83860.210000000006"/>
    <n v="36"/>
    <n v="3149.54"/>
    <n v="20.77"/>
    <n v="1.91"/>
    <n v="572"/>
    <n v="0.71"/>
    <x v="4"/>
    <x v="26"/>
    <n v="1"/>
  </r>
  <r>
    <s v="U00363"/>
    <x v="5"/>
    <x v="0"/>
    <x v="3"/>
    <x v="1"/>
    <s v="Salesperson"/>
    <n v="7983.11"/>
    <n v="4219.6400000000003"/>
    <n v="61329.21"/>
    <s v="No"/>
    <s v="None"/>
    <n v="0"/>
    <n v="0"/>
    <n v="0"/>
    <n v="0"/>
    <n v="0"/>
    <n v="721"/>
    <n v="0.64"/>
    <x v="2"/>
    <x v="27"/>
    <n v="0"/>
  </r>
  <r>
    <s v="U00365"/>
    <x v="5"/>
    <x v="0"/>
    <x v="1"/>
    <x v="1"/>
    <s v="Driver"/>
    <n v="6205.86"/>
    <n v="2550.0100000000002"/>
    <n v="51377.99"/>
    <s v="No"/>
    <s v="None"/>
    <n v="0"/>
    <n v="0"/>
    <n v="0"/>
    <n v="0"/>
    <n v="0"/>
    <n v="352"/>
    <n v="0.69"/>
    <x v="4"/>
    <x v="28"/>
    <n v="0"/>
  </r>
  <r>
    <s v="U00368"/>
    <x v="18"/>
    <x v="1"/>
    <x v="3"/>
    <x v="1"/>
    <s v="Manager"/>
    <n v="7794.58"/>
    <n v="3725.56"/>
    <n v="80828.850000000006"/>
    <s v="Yes"/>
    <s v="Education"/>
    <n v="398445.71"/>
    <n v="360"/>
    <n v="2780.54"/>
    <n v="7.48"/>
    <n v="0.36"/>
    <n v="470"/>
    <n v="0.86"/>
    <x v="2"/>
    <x v="29"/>
    <n v="0"/>
  </r>
  <r>
    <s v="U00373"/>
    <x v="6"/>
    <x v="1"/>
    <x v="3"/>
    <x v="2"/>
    <s v="Engineer"/>
    <n v="4869.54"/>
    <n v="3992.31"/>
    <n v="40332.15"/>
    <s v="No"/>
    <s v="None"/>
    <n v="0"/>
    <n v="0"/>
    <n v="0"/>
    <n v="0"/>
    <n v="0"/>
    <n v="426"/>
    <n v="0.69"/>
    <x v="4"/>
    <x v="6"/>
    <n v="0"/>
  </r>
  <r>
    <s v="U00382"/>
    <x v="19"/>
    <x v="1"/>
    <x v="2"/>
    <x v="3"/>
    <s v="Teacher"/>
    <n v="2163.75"/>
    <n v="1708.6"/>
    <n v="7466.48"/>
    <s v="No"/>
    <s v="None"/>
    <n v="0"/>
    <n v="0"/>
    <n v="0"/>
    <n v="0"/>
    <n v="0"/>
    <n v="488"/>
    <n v="0.28999999999999998"/>
    <x v="1"/>
    <x v="30"/>
    <n v="0"/>
  </r>
  <r>
    <s v="U00383"/>
    <x v="9"/>
    <x v="1"/>
    <x v="3"/>
    <x v="1"/>
    <s v="Salesperson"/>
    <n v="500"/>
    <n v="423.52"/>
    <n v="2993.16"/>
    <s v="No"/>
    <s v="None"/>
    <n v="0"/>
    <n v="0"/>
    <n v="0"/>
    <n v="0"/>
    <n v="0"/>
    <n v="786"/>
    <n v="0.5"/>
    <x v="2"/>
    <x v="31"/>
    <n v="0"/>
  </r>
  <r>
    <s v="U00411"/>
    <x v="20"/>
    <x v="1"/>
    <x v="2"/>
    <x v="1"/>
    <s v="Teacher"/>
    <n v="4417.01"/>
    <n v="1629.63"/>
    <n v="7313.92"/>
    <s v="No"/>
    <s v="None"/>
    <n v="0"/>
    <n v="0"/>
    <n v="0"/>
    <n v="0"/>
    <n v="0"/>
    <n v="675"/>
    <n v="0.14000000000000001"/>
    <x v="4"/>
    <x v="32"/>
    <n v="0"/>
  </r>
  <r>
    <s v="U00412"/>
    <x v="21"/>
    <x v="0"/>
    <x v="3"/>
    <x v="1"/>
    <s v="Salesperson"/>
    <n v="3680.77"/>
    <n v="3031.39"/>
    <n v="42507.68"/>
    <s v="No"/>
    <s v="None"/>
    <n v="0"/>
    <n v="0"/>
    <n v="0"/>
    <n v="0"/>
    <n v="0"/>
    <n v="453"/>
    <n v="0.96"/>
    <x v="0"/>
    <x v="33"/>
    <n v="0"/>
  </r>
  <r>
    <s v="U00414"/>
    <x v="22"/>
    <x v="0"/>
    <x v="3"/>
    <x v="1"/>
    <s v="Unemployed"/>
    <n v="5649.33"/>
    <n v="3033.87"/>
    <n v="41184.17"/>
    <s v="No"/>
    <s v="None"/>
    <n v="0"/>
    <n v="0"/>
    <n v="0"/>
    <n v="0"/>
    <n v="0"/>
    <n v="763"/>
    <n v="0.61"/>
    <x v="0"/>
    <x v="34"/>
    <n v="0"/>
  </r>
  <r>
    <s v="U00426"/>
    <x v="23"/>
    <x v="0"/>
    <x v="2"/>
    <x v="1"/>
    <s v="Accountant"/>
    <n v="4338"/>
    <n v="3302.3"/>
    <n v="37130.01"/>
    <s v="No"/>
    <s v="None"/>
    <n v="0"/>
    <n v="0"/>
    <n v="0"/>
    <n v="0"/>
    <n v="0"/>
    <n v="356"/>
    <n v="0.71"/>
    <x v="3"/>
    <x v="35"/>
    <n v="0"/>
  </r>
  <r>
    <s v="U00430"/>
    <x v="16"/>
    <x v="0"/>
    <x v="1"/>
    <x v="1"/>
    <s v="Unemployed"/>
    <n v="3602.63"/>
    <n v="2582.91"/>
    <n v="8838.9599999999991"/>
    <s v="Yes"/>
    <s v="Home"/>
    <n v="288256.96000000002"/>
    <n v="240"/>
    <n v="4606.82"/>
    <n v="18.71"/>
    <n v="1.28"/>
    <n v="487"/>
    <n v="0.2"/>
    <x v="1"/>
    <x v="36"/>
    <n v="1"/>
  </r>
  <r>
    <s v="U00433"/>
    <x v="5"/>
    <x v="0"/>
    <x v="0"/>
    <x v="0"/>
    <s v="Manager"/>
    <n v="4796.8900000000003"/>
    <n v="2354.04"/>
    <n v="10758.14"/>
    <s v="Yes"/>
    <s v="Business"/>
    <n v="442734.2"/>
    <n v="360"/>
    <n v="6506.34"/>
    <n v="17.54"/>
    <n v="1.36"/>
    <n v="583"/>
    <n v="0.19"/>
    <x v="4"/>
    <x v="37"/>
    <n v="1"/>
  </r>
  <r>
    <s v="U00446"/>
    <x v="5"/>
    <x v="0"/>
    <x v="3"/>
    <x v="2"/>
    <s v="Unemployed"/>
    <n v="5209.18"/>
    <n v="1762.48"/>
    <n v="52253.03"/>
    <s v="Yes"/>
    <s v="Home"/>
    <n v="152306.67000000001"/>
    <n v="240"/>
    <n v="2858.79"/>
    <n v="22.25"/>
    <n v="0.55000000000000004"/>
    <n v="497"/>
    <n v="0.84"/>
    <x v="4"/>
    <x v="38"/>
    <n v="1"/>
  </r>
  <r>
    <s v="U00474"/>
    <x v="18"/>
    <x v="0"/>
    <x v="0"/>
    <x v="2"/>
    <s v="Salesperson"/>
    <n v="2999.9"/>
    <n v="2015.48"/>
    <n v="31188.44"/>
    <s v="No"/>
    <s v="None"/>
    <n v="0"/>
    <n v="0"/>
    <n v="0"/>
    <n v="0"/>
    <n v="0"/>
    <n v="424"/>
    <n v="0.87"/>
    <x v="4"/>
    <x v="39"/>
    <n v="0"/>
  </r>
  <r>
    <s v="U00487"/>
    <x v="2"/>
    <x v="0"/>
    <x v="0"/>
    <x v="1"/>
    <s v="Teacher"/>
    <n v="2395.15"/>
    <n v="1412.85"/>
    <n v="20852.54"/>
    <s v="No"/>
    <s v="None"/>
    <n v="0"/>
    <n v="0"/>
    <n v="0"/>
    <n v="0"/>
    <n v="0"/>
    <n v="682"/>
    <n v="0.73"/>
    <x v="1"/>
    <x v="40"/>
    <n v="0"/>
  </r>
  <r>
    <s v="U00488"/>
    <x v="24"/>
    <x v="1"/>
    <x v="0"/>
    <x v="1"/>
    <s v="Student"/>
    <n v="1880.99"/>
    <n v="902.73"/>
    <n v="9944.98"/>
    <s v="No"/>
    <s v="None"/>
    <n v="0"/>
    <n v="0"/>
    <n v="0"/>
    <n v="0"/>
    <n v="0"/>
    <n v="707"/>
    <n v="0.44"/>
    <x v="2"/>
    <x v="41"/>
    <n v="0"/>
  </r>
  <r>
    <s v="U00495"/>
    <x v="25"/>
    <x v="1"/>
    <x v="2"/>
    <x v="3"/>
    <s v="Student"/>
    <n v="1359.62"/>
    <n v="654.57000000000005"/>
    <n v="9837.32"/>
    <s v="No"/>
    <s v="None"/>
    <n v="0"/>
    <n v="0"/>
    <n v="0"/>
    <n v="0"/>
    <n v="0"/>
    <n v="525"/>
    <n v="0.6"/>
    <x v="4"/>
    <x v="42"/>
    <n v="0"/>
  </r>
  <r>
    <s v="U00531"/>
    <x v="13"/>
    <x v="1"/>
    <x v="2"/>
    <x v="1"/>
    <s v="Doctor"/>
    <n v="6096.97"/>
    <n v="3357.14"/>
    <n v="60253.36"/>
    <s v="Yes"/>
    <s v="Car"/>
    <n v="349234.33"/>
    <n v="240"/>
    <n v="5119.92"/>
    <n v="16.989999999999998"/>
    <n v="0.84"/>
    <n v="530"/>
    <n v="0.82"/>
    <x v="0"/>
    <x v="43"/>
    <n v="1"/>
  </r>
  <r>
    <s v="U00536"/>
    <x v="26"/>
    <x v="0"/>
    <x v="3"/>
    <x v="2"/>
    <s v="Teacher"/>
    <n v="6757.34"/>
    <n v="5568.16"/>
    <n v="56084.29"/>
    <s v="No"/>
    <s v="None"/>
    <n v="0"/>
    <n v="0"/>
    <n v="0"/>
    <n v="0"/>
    <n v="0"/>
    <n v="803"/>
    <n v="0.69"/>
    <x v="2"/>
    <x v="44"/>
    <n v="0"/>
  </r>
  <r>
    <s v="U00570"/>
    <x v="12"/>
    <x v="0"/>
    <x v="0"/>
    <x v="2"/>
    <s v="Accountant"/>
    <n v="4359.16"/>
    <n v="2638.21"/>
    <n v="33565.72"/>
    <s v="No"/>
    <s v="None"/>
    <n v="0"/>
    <n v="0"/>
    <n v="0"/>
    <n v="0"/>
    <n v="0"/>
    <n v="686"/>
    <n v="0.64"/>
    <x v="1"/>
    <x v="45"/>
    <n v="0"/>
  </r>
  <r>
    <s v="U00584"/>
    <x v="27"/>
    <x v="1"/>
    <x v="2"/>
    <x v="3"/>
    <s v="Student"/>
    <n v="6017.96"/>
    <n v="4973.51"/>
    <n v="36020.01"/>
    <s v="No"/>
    <s v="None"/>
    <n v="0"/>
    <n v="0"/>
    <n v="0"/>
    <n v="0"/>
    <n v="0"/>
    <n v="545"/>
    <n v="0.5"/>
    <x v="2"/>
    <x v="46"/>
    <n v="0"/>
  </r>
  <r>
    <s v="U00586"/>
    <x v="28"/>
    <x v="0"/>
    <x v="2"/>
    <x v="1"/>
    <s v="Doctor"/>
    <n v="5457.04"/>
    <n v="2451.4899999999998"/>
    <n v="16595.900000000001"/>
    <s v="Yes"/>
    <s v="Home"/>
    <n v="96569.14"/>
    <n v="240"/>
    <n v="563.54"/>
    <n v="3.57"/>
    <n v="0.1"/>
    <n v="699"/>
    <n v="0.25"/>
    <x v="1"/>
    <x v="47"/>
    <n v="0"/>
  </r>
  <r>
    <s v="U00589"/>
    <x v="29"/>
    <x v="1"/>
    <x v="2"/>
    <x v="2"/>
    <s v="Accountant"/>
    <n v="3235.15"/>
    <n v="2781.14"/>
    <n v="33986.07"/>
    <s v="No"/>
    <s v="None"/>
    <n v="0"/>
    <n v="0"/>
    <n v="0"/>
    <n v="0"/>
    <n v="0"/>
    <n v="651"/>
    <n v="0.88"/>
    <x v="1"/>
    <x v="48"/>
    <n v="0"/>
  </r>
  <r>
    <s v="U00596"/>
    <x v="2"/>
    <x v="1"/>
    <x v="0"/>
    <x v="1"/>
    <s v="Manager"/>
    <n v="5378.87"/>
    <n v="3498.18"/>
    <n v="59130.31"/>
    <s v="No"/>
    <s v="None"/>
    <n v="0"/>
    <n v="0"/>
    <n v="0"/>
    <n v="0"/>
    <n v="0"/>
    <n v="577"/>
    <n v="0.92"/>
    <x v="1"/>
    <x v="49"/>
    <n v="0"/>
  </r>
  <r>
    <s v="U00598"/>
    <x v="24"/>
    <x v="1"/>
    <x v="2"/>
    <x v="2"/>
    <s v="Unemployed"/>
    <n v="4325.72"/>
    <n v="2610.11"/>
    <n v="44835.01"/>
    <s v="Yes"/>
    <s v="Car"/>
    <n v="52875.73"/>
    <n v="120"/>
    <n v="1279.74"/>
    <n v="27.04"/>
    <n v="0.3"/>
    <n v="491"/>
    <n v="0.86"/>
    <x v="4"/>
    <x v="50"/>
    <n v="0"/>
  </r>
  <r>
    <s v="U00605"/>
    <x v="20"/>
    <x v="2"/>
    <x v="3"/>
    <x v="3"/>
    <s v="Doctor"/>
    <n v="500"/>
    <n v="318.48"/>
    <n v="4944.67"/>
    <s v="No"/>
    <s v="None"/>
    <n v="0"/>
    <n v="0"/>
    <n v="0"/>
    <n v="0"/>
    <n v="0"/>
    <n v="309"/>
    <n v="0.82"/>
    <x v="1"/>
    <x v="51"/>
    <n v="0"/>
  </r>
  <r>
    <s v="U00614"/>
    <x v="10"/>
    <x v="0"/>
    <x v="3"/>
    <x v="1"/>
    <s v="Accountant"/>
    <n v="3840.18"/>
    <n v="1586.11"/>
    <n v="30268.71"/>
    <s v="Yes"/>
    <s v="Education"/>
    <n v="117794.83"/>
    <n v="240"/>
    <n v="2748.82"/>
    <n v="27.89"/>
    <n v="0.72"/>
    <n v="772"/>
    <n v="0.66"/>
    <x v="4"/>
    <x v="52"/>
    <n v="1"/>
  </r>
  <r>
    <s v="U00622"/>
    <x v="23"/>
    <x v="0"/>
    <x v="3"/>
    <x v="1"/>
    <s v="Engineer"/>
    <n v="5503.04"/>
    <n v="4075.2"/>
    <n v="42632.19"/>
    <s v="No"/>
    <s v="None"/>
    <n v="0"/>
    <n v="0"/>
    <n v="0"/>
    <n v="0"/>
    <n v="0"/>
    <n v="322"/>
    <n v="0.65"/>
    <x v="0"/>
    <x v="53"/>
    <n v="0"/>
  </r>
  <r>
    <s v="U00632"/>
    <x v="25"/>
    <x v="0"/>
    <x v="2"/>
    <x v="3"/>
    <s v="Accountant"/>
    <n v="5893.53"/>
    <n v="2446.5500000000002"/>
    <n v="49933.16"/>
    <s v="No"/>
    <s v="None"/>
    <n v="0"/>
    <n v="0"/>
    <n v="0"/>
    <n v="0"/>
    <n v="0"/>
    <n v="789"/>
    <n v="0.71"/>
    <x v="1"/>
    <x v="54"/>
    <n v="0"/>
  </r>
  <r>
    <s v="U00640"/>
    <x v="30"/>
    <x v="0"/>
    <x v="3"/>
    <x v="3"/>
    <s v="Salesperson"/>
    <n v="1982.29"/>
    <n v="1388.42"/>
    <n v="12704.51"/>
    <s v="Yes"/>
    <s v="Education"/>
    <n v="65244.85"/>
    <n v="180"/>
    <n v="1502.44"/>
    <n v="27.14"/>
    <n v="0.76"/>
    <n v="528"/>
    <n v="0.53"/>
    <x v="2"/>
    <x v="55"/>
    <n v="1"/>
  </r>
  <r>
    <s v="U00642"/>
    <x v="31"/>
    <x v="0"/>
    <x v="0"/>
    <x v="2"/>
    <s v="Accountant"/>
    <n v="5401.13"/>
    <n v="3701.76"/>
    <n v="31096.21"/>
    <s v="No"/>
    <s v="None"/>
    <n v="0"/>
    <n v="0"/>
    <n v="0"/>
    <n v="0"/>
    <n v="0"/>
    <n v="368"/>
    <n v="0.48"/>
    <x v="1"/>
    <x v="56"/>
    <n v="0"/>
  </r>
  <r>
    <s v="U00646"/>
    <x v="32"/>
    <x v="2"/>
    <x v="2"/>
    <x v="2"/>
    <s v="Manager"/>
    <n v="4447.1499999999996"/>
    <n v="1465.32"/>
    <n v="21744.59"/>
    <s v="No"/>
    <s v="None"/>
    <n v="0"/>
    <n v="0"/>
    <n v="0"/>
    <n v="0"/>
    <n v="0"/>
    <n v="777"/>
    <n v="0.41"/>
    <x v="4"/>
    <x v="57"/>
    <n v="0"/>
  </r>
  <r>
    <s v="U00663"/>
    <x v="33"/>
    <x v="0"/>
    <x v="2"/>
    <x v="1"/>
    <s v="Manager"/>
    <n v="6039.55"/>
    <n v="1990.51"/>
    <n v="8931.77"/>
    <s v="Yes"/>
    <s v="Education"/>
    <n v="223938.15"/>
    <n v="60"/>
    <n v="4321.03"/>
    <n v="5.92"/>
    <n v="0.72"/>
    <n v="695"/>
    <n v="0.12"/>
    <x v="3"/>
    <x v="58"/>
    <n v="1"/>
  </r>
  <r>
    <s v="U00667"/>
    <x v="22"/>
    <x v="1"/>
    <x v="3"/>
    <x v="0"/>
    <s v="Salesperson"/>
    <n v="5288.15"/>
    <n v="2328.92"/>
    <n v="59361.01"/>
    <s v="Yes"/>
    <s v="Car"/>
    <n v="453018.85"/>
    <n v="240"/>
    <n v="3553.15"/>
    <n v="7.15"/>
    <n v="0.67"/>
    <n v="800"/>
    <n v="0.94"/>
    <x v="1"/>
    <x v="59"/>
    <n v="1"/>
  </r>
  <r>
    <s v="U00693"/>
    <x v="17"/>
    <x v="0"/>
    <x v="2"/>
    <x v="1"/>
    <s v="Student"/>
    <n v="3073.71"/>
    <n v="2426.38"/>
    <n v="26591.88"/>
    <s v="No"/>
    <s v="None"/>
    <n v="0"/>
    <n v="0"/>
    <n v="0"/>
    <n v="0"/>
    <n v="0"/>
    <n v="328"/>
    <n v="0.72"/>
    <x v="0"/>
    <x v="60"/>
    <n v="0"/>
  </r>
  <r>
    <s v="U00694"/>
    <x v="28"/>
    <x v="1"/>
    <x v="2"/>
    <x v="1"/>
    <s v="Engineer"/>
    <n v="8884.67"/>
    <n v="4787.5200000000004"/>
    <n v="38576.28"/>
    <s v="Yes"/>
    <s v="Education"/>
    <n v="13544.72"/>
    <n v="36"/>
    <n v="449.17"/>
    <n v="11.89"/>
    <n v="0.05"/>
    <n v="798"/>
    <n v="0.36"/>
    <x v="4"/>
    <x v="61"/>
    <n v="0"/>
  </r>
  <r>
    <s v="U00697"/>
    <x v="3"/>
    <x v="0"/>
    <x v="0"/>
    <x v="1"/>
    <s v="Accountant"/>
    <n v="2040.32"/>
    <n v="1152.25"/>
    <n v="18203.93"/>
    <s v="No"/>
    <s v="None"/>
    <n v="0"/>
    <n v="0"/>
    <n v="0"/>
    <n v="0"/>
    <n v="0"/>
    <n v="635"/>
    <n v="0.74"/>
    <x v="3"/>
    <x v="62"/>
    <n v="0"/>
  </r>
  <r>
    <s v="U00706"/>
    <x v="12"/>
    <x v="0"/>
    <x v="2"/>
    <x v="1"/>
    <s v="Unemployed"/>
    <n v="3072.76"/>
    <n v="2005.35"/>
    <n v="27066.01"/>
    <s v="No"/>
    <s v="None"/>
    <n v="0"/>
    <n v="0"/>
    <n v="0"/>
    <n v="0"/>
    <n v="0"/>
    <n v="839"/>
    <n v="0.73"/>
    <x v="2"/>
    <x v="63"/>
    <n v="0"/>
  </r>
  <r>
    <s v="U00719"/>
    <x v="34"/>
    <x v="0"/>
    <x v="2"/>
    <x v="2"/>
    <s v="Salesperson"/>
    <n v="3633.95"/>
    <n v="1968.25"/>
    <n v="4945.9399999999996"/>
    <s v="No"/>
    <s v="None"/>
    <n v="0"/>
    <n v="0"/>
    <n v="0"/>
    <n v="0"/>
    <n v="0"/>
    <n v="329"/>
    <n v="0.11"/>
    <x v="0"/>
    <x v="64"/>
    <n v="0"/>
  </r>
  <r>
    <s v="U00727"/>
    <x v="13"/>
    <x v="1"/>
    <x v="3"/>
    <x v="2"/>
    <s v="Engineer"/>
    <n v="7742.15"/>
    <n v="3548.1"/>
    <n v="20392.11"/>
    <s v="No"/>
    <s v="None"/>
    <n v="0"/>
    <n v="0"/>
    <n v="0"/>
    <n v="0"/>
    <n v="0"/>
    <n v="764"/>
    <n v="0.22"/>
    <x v="0"/>
    <x v="59"/>
    <n v="0"/>
  </r>
  <r>
    <s v="U00739"/>
    <x v="0"/>
    <x v="1"/>
    <x v="3"/>
    <x v="1"/>
    <s v="Manager"/>
    <n v="4189.0600000000004"/>
    <n v="3628.31"/>
    <n v="25869.08"/>
    <s v="No"/>
    <s v="None"/>
    <n v="0"/>
    <n v="0"/>
    <n v="0"/>
    <n v="0"/>
    <n v="0"/>
    <n v="672"/>
    <n v="0.51"/>
    <x v="2"/>
    <x v="65"/>
    <n v="0"/>
  </r>
  <r>
    <s v="U00745"/>
    <x v="9"/>
    <x v="0"/>
    <x v="0"/>
    <x v="1"/>
    <s v="Student"/>
    <n v="4875.6499999999996"/>
    <n v="2093.5300000000002"/>
    <n v="54392.43"/>
    <s v="No"/>
    <s v="None"/>
    <n v="0"/>
    <n v="0"/>
    <n v="0"/>
    <n v="0"/>
    <n v="0"/>
    <n v="779"/>
    <n v="0.93"/>
    <x v="3"/>
    <x v="66"/>
    <n v="0"/>
  </r>
  <r>
    <s v="U00772"/>
    <x v="15"/>
    <x v="0"/>
    <x v="4"/>
    <x v="1"/>
    <s v="Manager"/>
    <n v="6583.36"/>
    <n v="3425.35"/>
    <n v="22666.83"/>
    <s v="Yes"/>
    <s v="Business"/>
    <n v="64113.65"/>
    <n v="24"/>
    <n v="3319.14"/>
    <n v="21.78"/>
    <n v="0.5"/>
    <n v="334"/>
    <n v="0.28999999999999998"/>
    <x v="3"/>
    <x v="67"/>
    <n v="1"/>
  </r>
  <r>
    <s v="U00776"/>
    <x v="35"/>
    <x v="2"/>
    <x v="2"/>
    <x v="1"/>
    <s v="Salesperson"/>
    <n v="5452.32"/>
    <n v="3996.04"/>
    <n v="63625.5"/>
    <s v="No"/>
    <s v="None"/>
    <n v="0"/>
    <n v="0"/>
    <n v="0"/>
    <n v="0"/>
    <n v="0"/>
    <n v="335"/>
    <n v="0.97"/>
    <x v="2"/>
    <x v="68"/>
    <n v="0"/>
  </r>
  <r>
    <s v="U00785"/>
    <x v="35"/>
    <x v="0"/>
    <x v="2"/>
    <x v="1"/>
    <s v="Driver"/>
    <n v="5967.85"/>
    <n v="2857.33"/>
    <n v="15577.97"/>
    <s v="Yes"/>
    <s v="Car"/>
    <n v="357823.11"/>
    <n v="240"/>
    <n v="5368.61"/>
    <n v="17.440000000000001"/>
    <n v="0.9"/>
    <n v="818"/>
    <n v="0.22"/>
    <x v="4"/>
    <x v="69"/>
    <n v="1"/>
  </r>
  <r>
    <s v="U00788"/>
    <x v="11"/>
    <x v="1"/>
    <x v="0"/>
    <x v="1"/>
    <s v="Student"/>
    <n v="6058.36"/>
    <n v="3517.98"/>
    <n v="58278.75"/>
    <s v="No"/>
    <s v="None"/>
    <n v="0"/>
    <n v="0"/>
    <n v="0"/>
    <n v="0"/>
    <n v="0"/>
    <n v="315"/>
    <n v="0.8"/>
    <x v="2"/>
    <x v="70"/>
    <n v="0"/>
  </r>
  <r>
    <s v="U00801"/>
    <x v="36"/>
    <x v="0"/>
    <x v="0"/>
    <x v="1"/>
    <s v="Unemployed"/>
    <n v="6500.57"/>
    <n v="4847.43"/>
    <n v="47073.56"/>
    <s v="Yes"/>
    <s v="Education"/>
    <n v="203296.58"/>
    <n v="36"/>
    <n v="6267.92"/>
    <n v="6.9"/>
    <n v="0.96"/>
    <n v="512"/>
    <n v="0.6"/>
    <x v="2"/>
    <x v="71"/>
    <n v="1"/>
  </r>
  <r>
    <s v="U00803"/>
    <x v="31"/>
    <x v="1"/>
    <x v="0"/>
    <x v="0"/>
    <s v="Salesperson"/>
    <n v="1573.26"/>
    <n v="848.15"/>
    <n v="5471.39"/>
    <s v="No"/>
    <s v="None"/>
    <n v="0"/>
    <n v="0"/>
    <n v="0"/>
    <n v="0"/>
    <n v="0"/>
    <n v="589"/>
    <n v="0.28999999999999998"/>
    <x v="2"/>
    <x v="72"/>
    <n v="0"/>
  </r>
  <r>
    <s v="U00825"/>
    <x v="26"/>
    <x v="1"/>
    <x v="0"/>
    <x v="1"/>
    <s v="Engineer"/>
    <n v="4430.46"/>
    <n v="1347.18"/>
    <n v="28189.25"/>
    <s v="No"/>
    <s v="None"/>
    <n v="0"/>
    <n v="0"/>
    <n v="0"/>
    <n v="0"/>
    <n v="0"/>
    <n v="370"/>
    <n v="0.53"/>
    <x v="2"/>
    <x v="73"/>
    <n v="0"/>
  </r>
  <r>
    <s v="U00828"/>
    <x v="33"/>
    <x v="1"/>
    <x v="3"/>
    <x v="1"/>
    <s v="Unemployed"/>
    <n v="5281.9"/>
    <n v="4551.3500000000004"/>
    <n v="40790.53"/>
    <s v="No"/>
    <s v="None"/>
    <n v="0"/>
    <n v="0"/>
    <n v="0"/>
    <n v="0"/>
    <n v="0"/>
    <n v="773"/>
    <n v="0.64"/>
    <x v="3"/>
    <x v="74"/>
    <n v="0"/>
  </r>
  <r>
    <s v="U00860"/>
    <x v="37"/>
    <x v="0"/>
    <x v="4"/>
    <x v="2"/>
    <s v="Teacher"/>
    <n v="4470.2700000000004"/>
    <n v="3849.49"/>
    <n v="11612.39"/>
    <s v="No"/>
    <s v="None"/>
    <n v="0"/>
    <n v="0"/>
    <n v="0"/>
    <n v="0"/>
    <n v="0"/>
    <n v="577"/>
    <n v="0.22"/>
    <x v="4"/>
    <x v="75"/>
    <n v="0"/>
  </r>
  <r>
    <s v="U00885"/>
    <x v="38"/>
    <x v="0"/>
    <x v="3"/>
    <x v="1"/>
    <s v="Student"/>
    <n v="3621.73"/>
    <n v="2629.44"/>
    <n v="12961.43"/>
    <s v="No"/>
    <s v="None"/>
    <n v="0"/>
    <n v="0"/>
    <n v="0"/>
    <n v="0"/>
    <n v="0"/>
    <n v="447"/>
    <n v="0.3"/>
    <x v="4"/>
    <x v="7"/>
    <n v="0"/>
  </r>
  <r>
    <s v="U00899"/>
    <x v="39"/>
    <x v="1"/>
    <x v="2"/>
    <x v="1"/>
    <s v="Manager"/>
    <n v="4775.09"/>
    <n v="3016.42"/>
    <n v="19920.72"/>
    <s v="No"/>
    <s v="None"/>
    <n v="0"/>
    <n v="0"/>
    <n v="0"/>
    <n v="0"/>
    <n v="0"/>
    <n v="706"/>
    <n v="0.35"/>
    <x v="4"/>
    <x v="76"/>
    <n v="0"/>
  </r>
  <r>
    <s v="U00905"/>
    <x v="26"/>
    <x v="0"/>
    <x v="3"/>
    <x v="1"/>
    <s v="Salesperson"/>
    <n v="3460.52"/>
    <n v="2776.53"/>
    <n v="31613.56"/>
    <s v="No"/>
    <s v="None"/>
    <n v="0"/>
    <n v="0"/>
    <n v="0"/>
    <n v="0"/>
    <n v="0"/>
    <n v="546"/>
    <n v="0.76"/>
    <x v="0"/>
    <x v="77"/>
    <n v="0"/>
  </r>
  <r>
    <s v="U00920"/>
    <x v="40"/>
    <x v="0"/>
    <x v="4"/>
    <x v="1"/>
    <s v="Manager"/>
    <n v="5687.94"/>
    <n v="4855.28"/>
    <n v="8628.48"/>
    <s v="No"/>
    <s v="None"/>
    <n v="0"/>
    <n v="0"/>
    <n v="0"/>
    <n v="0"/>
    <n v="0"/>
    <n v="607"/>
    <n v="0.13"/>
    <x v="3"/>
    <x v="78"/>
    <n v="0"/>
  </r>
  <r>
    <s v="U00924"/>
    <x v="41"/>
    <x v="0"/>
    <x v="2"/>
    <x v="1"/>
    <s v="Student"/>
    <n v="5554.16"/>
    <n v="4008.27"/>
    <n v="34381.83"/>
    <s v="No"/>
    <s v="None"/>
    <n v="0"/>
    <n v="0"/>
    <n v="0"/>
    <n v="0"/>
    <n v="0"/>
    <n v="551"/>
    <n v="0.52"/>
    <x v="4"/>
    <x v="79"/>
    <n v="0"/>
  </r>
  <r>
    <s v="U00941"/>
    <x v="20"/>
    <x v="1"/>
    <x v="0"/>
    <x v="2"/>
    <s v="Engineer"/>
    <n v="5986.51"/>
    <n v="3801.64"/>
    <n v="29298.23"/>
    <s v="No"/>
    <s v="None"/>
    <n v="0"/>
    <n v="0"/>
    <n v="0"/>
    <n v="0"/>
    <n v="0"/>
    <n v="566"/>
    <n v="0.41"/>
    <x v="0"/>
    <x v="80"/>
    <n v="0"/>
  </r>
  <r>
    <s v="U00943"/>
    <x v="31"/>
    <x v="1"/>
    <x v="3"/>
    <x v="0"/>
    <s v="Engineer"/>
    <n v="6164.37"/>
    <n v="3328.14"/>
    <n v="32328.959999999999"/>
    <s v="No"/>
    <s v="None"/>
    <n v="0"/>
    <n v="0"/>
    <n v="0"/>
    <n v="0"/>
    <n v="0"/>
    <n v="574"/>
    <n v="0.44"/>
    <x v="3"/>
    <x v="81"/>
    <n v="0"/>
  </r>
  <r>
    <s v="U00946"/>
    <x v="40"/>
    <x v="0"/>
    <x v="4"/>
    <x v="1"/>
    <s v="Salesperson"/>
    <n v="5745.52"/>
    <n v="4242.63"/>
    <n v="35791.089999999997"/>
    <s v="Yes"/>
    <s v="Education"/>
    <n v="417304.67"/>
    <n v="240"/>
    <n v="7398.38"/>
    <n v="20.94"/>
    <n v="1.29"/>
    <n v="364"/>
    <n v="0.52"/>
    <x v="0"/>
    <x v="82"/>
    <n v="1"/>
  </r>
  <r>
    <s v="U00952"/>
    <x v="42"/>
    <x v="2"/>
    <x v="3"/>
    <x v="0"/>
    <s v="Teacher"/>
    <n v="3171.39"/>
    <n v="2050.8000000000002"/>
    <n v="28345.82"/>
    <s v="No"/>
    <s v="None"/>
    <n v="0"/>
    <n v="0"/>
    <n v="0"/>
    <n v="0"/>
    <n v="0"/>
    <n v="767"/>
    <n v="0.74"/>
    <x v="1"/>
    <x v="83"/>
    <n v="0"/>
  </r>
  <r>
    <s v="U00956"/>
    <x v="7"/>
    <x v="0"/>
    <x v="3"/>
    <x v="1"/>
    <s v="Accountant"/>
    <n v="3456.88"/>
    <n v="2438.0500000000002"/>
    <n v="40232.97"/>
    <s v="No"/>
    <s v="None"/>
    <n v="0"/>
    <n v="0"/>
    <n v="0"/>
    <n v="0"/>
    <n v="0"/>
    <n v="628"/>
    <n v="0.97"/>
    <x v="4"/>
    <x v="23"/>
    <n v="0"/>
  </r>
  <r>
    <s v="U00977"/>
    <x v="28"/>
    <x v="1"/>
    <x v="1"/>
    <x v="1"/>
    <s v="Salesperson"/>
    <n v="6186.72"/>
    <n v="5386.57"/>
    <n v="64041.22"/>
    <s v="Yes"/>
    <s v="Education"/>
    <n v="73093.37"/>
    <n v="12"/>
    <n v="7118.11"/>
    <n v="29.79"/>
    <n v="1.1499999999999999"/>
    <n v="313"/>
    <n v="0.86"/>
    <x v="4"/>
    <x v="84"/>
    <n v="1"/>
  </r>
  <r>
    <s v="U00987"/>
    <x v="43"/>
    <x v="1"/>
    <x v="0"/>
    <x v="0"/>
    <s v="Student"/>
    <n v="1470.82"/>
    <n v="1111.0999999999999"/>
    <n v="13633.89"/>
    <s v="No"/>
    <s v="None"/>
    <n v="0"/>
    <n v="0"/>
    <n v="0"/>
    <n v="0"/>
    <n v="0"/>
    <n v="495"/>
    <n v="0.77"/>
    <x v="1"/>
    <x v="85"/>
    <n v="0"/>
  </r>
  <r>
    <s v="U00995"/>
    <x v="36"/>
    <x v="1"/>
    <x v="3"/>
    <x v="1"/>
    <s v="Doctor"/>
    <n v="988.34"/>
    <n v="397.15"/>
    <n v="1204.53"/>
    <s v="No"/>
    <s v="None"/>
    <n v="0"/>
    <n v="0"/>
    <n v="0"/>
    <n v="0"/>
    <n v="0"/>
    <n v="770"/>
    <n v="0.1"/>
    <x v="1"/>
    <x v="66"/>
    <n v="0"/>
  </r>
  <r>
    <s v="U01001"/>
    <x v="1"/>
    <x v="1"/>
    <x v="1"/>
    <x v="1"/>
    <s v="Driver"/>
    <n v="4452.33"/>
    <n v="2215.2399999999998"/>
    <n v="51864.38"/>
    <s v="No"/>
    <s v="None"/>
    <n v="0"/>
    <n v="0"/>
    <n v="0"/>
    <n v="0"/>
    <n v="0"/>
    <n v="365"/>
    <n v="0.97"/>
    <x v="3"/>
    <x v="86"/>
    <n v="0"/>
  </r>
  <r>
    <s v="U01006"/>
    <x v="40"/>
    <x v="1"/>
    <x v="3"/>
    <x v="3"/>
    <s v="Engineer"/>
    <n v="5486.26"/>
    <n v="3700.89"/>
    <n v="53955.5"/>
    <s v="No"/>
    <s v="None"/>
    <n v="0"/>
    <n v="0"/>
    <n v="0"/>
    <n v="0"/>
    <n v="0"/>
    <n v="805"/>
    <n v="0.82"/>
    <x v="0"/>
    <x v="87"/>
    <n v="0"/>
  </r>
  <r>
    <s v="U01018"/>
    <x v="6"/>
    <x v="1"/>
    <x v="3"/>
    <x v="1"/>
    <s v="Accountant"/>
    <n v="2584.34"/>
    <n v="819.13"/>
    <n v="7678.95"/>
    <s v="Yes"/>
    <s v="Business"/>
    <n v="345413.13"/>
    <n v="300"/>
    <n v="4737.2"/>
    <n v="16.16"/>
    <n v="1.83"/>
    <n v="410"/>
    <n v="0.25"/>
    <x v="4"/>
    <x v="15"/>
    <n v="1"/>
  </r>
  <r>
    <s v="U01025"/>
    <x v="44"/>
    <x v="0"/>
    <x v="2"/>
    <x v="1"/>
    <s v="Accountant"/>
    <n v="2944.19"/>
    <n v="1002.59"/>
    <n v="15043.08"/>
    <s v="No"/>
    <s v="None"/>
    <n v="0"/>
    <n v="0"/>
    <n v="0"/>
    <n v="0"/>
    <n v="0"/>
    <n v="601"/>
    <n v="0.43"/>
    <x v="2"/>
    <x v="88"/>
    <n v="0"/>
  </r>
  <r>
    <s v="U01036"/>
    <x v="18"/>
    <x v="0"/>
    <x v="2"/>
    <x v="1"/>
    <s v="Doctor"/>
    <n v="1669.6"/>
    <n v="1135.0999999999999"/>
    <n v="11963.22"/>
    <s v="No"/>
    <s v="None"/>
    <n v="0"/>
    <n v="0"/>
    <n v="0"/>
    <n v="0"/>
    <n v="0"/>
    <n v="314"/>
    <n v="0.6"/>
    <x v="0"/>
    <x v="89"/>
    <n v="0"/>
  </r>
  <r>
    <s v="U01041"/>
    <x v="25"/>
    <x v="2"/>
    <x v="2"/>
    <x v="3"/>
    <s v="Doctor"/>
    <n v="994.19"/>
    <n v="404.77"/>
    <n v="1348.3"/>
    <s v="No"/>
    <s v="None"/>
    <n v="0"/>
    <n v="0"/>
    <n v="0"/>
    <n v="0"/>
    <n v="0"/>
    <n v="348"/>
    <n v="0.11"/>
    <x v="0"/>
    <x v="90"/>
    <n v="0"/>
  </r>
  <r>
    <s v="U01046"/>
    <x v="10"/>
    <x v="0"/>
    <x v="2"/>
    <x v="1"/>
    <s v="Accountant"/>
    <n v="5230.8900000000003"/>
    <n v="2921.4"/>
    <n v="41969.01"/>
    <s v="No"/>
    <s v="None"/>
    <n v="0"/>
    <n v="0"/>
    <n v="0"/>
    <n v="0"/>
    <n v="0"/>
    <n v="530"/>
    <n v="0.67"/>
    <x v="0"/>
    <x v="91"/>
    <n v="0"/>
  </r>
  <r>
    <s v="U01049"/>
    <x v="25"/>
    <x v="0"/>
    <x v="2"/>
    <x v="2"/>
    <s v="Student"/>
    <n v="3647.27"/>
    <n v="1642.4"/>
    <n v="39080.31"/>
    <s v="No"/>
    <s v="None"/>
    <n v="0"/>
    <n v="0"/>
    <n v="0"/>
    <n v="0"/>
    <n v="0"/>
    <n v="670"/>
    <n v="0.89"/>
    <x v="2"/>
    <x v="92"/>
    <n v="0"/>
  </r>
  <r>
    <s v="U01061"/>
    <x v="8"/>
    <x v="0"/>
    <x v="0"/>
    <x v="1"/>
    <s v="Doctor"/>
    <n v="2038.11"/>
    <n v="1511.44"/>
    <n v="4345.2"/>
    <s v="No"/>
    <s v="None"/>
    <n v="0"/>
    <n v="0"/>
    <n v="0"/>
    <n v="0"/>
    <n v="0"/>
    <n v="607"/>
    <n v="0.18"/>
    <x v="0"/>
    <x v="93"/>
    <n v="0"/>
  </r>
  <r>
    <s v="U01075"/>
    <x v="33"/>
    <x v="1"/>
    <x v="0"/>
    <x v="1"/>
    <s v="Salesperson"/>
    <n v="5398.42"/>
    <n v="2584.0700000000002"/>
    <n v="42066.1"/>
    <s v="Yes"/>
    <s v="Business"/>
    <n v="90125.35"/>
    <n v="60"/>
    <n v="2121.91"/>
    <n v="14.53"/>
    <n v="0.39"/>
    <n v="678"/>
    <n v="0.65"/>
    <x v="0"/>
    <x v="94"/>
    <n v="0"/>
  </r>
  <r>
    <s v="U01084"/>
    <x v="12"/>
    <x v="0"/>
    <x v="4"/>
    <x v="1"/>
    <s v="Doctor"/>
    <n v="5938.41"/>
    <n v="3208.14"/>
    <n v="15489.8"/>
    <s v="Yes"/>
    <s v="Business"/>
    <n v="400545.71"/>
    <n v="360"/>
    <n v="8948.67"/>
    <n v="26.8"/>
    <n v="1.51"/>
    <n v="418"/>
    <n v="0.22"/>
    <x v="3"/>
    <x v="95"/>
    <n v="1"/>
  </r>
  <r>
    <s v="U01085"/>
    <x v="37"/>
    <x v="0"/>
    <x v="3"/>
    <x v="1"/>
    <s v="Salesperson"/>
    <n v="2002.7"/>
    <n v="1410.01"/>
    <n v="6768.77"/>
    <s v="No"/>
    <s v="None"/>
    <n v="0"/>
    <n v="0"/>
    <n v="0"/>
    <n v="0"/>
    <n v="0"/>
    <n v="314"/>
    <n v="0.28000000000000003"/>
    <x v="3"/>
    <x v="96"/>
    <n v="0"/>
  </r>
  <r>
    <s v="U01087"/>
    <x v="21"/>
    <x v="0"/>
    <x v="0"/>
    <x v="1"/>
    <s v="Engineer"/>
    <n v="3393.77"/>
    <n v="3050.72"/>
    <n v="5485.53"/>
    <s v="Yes"/>
    <s v="Business"/>
    <n v="91132.96"/>
    <n v="60"/>
    <n v="1704.8"/>
    <n v="4.6399999999999997"/>
    <n v="0.5"/>
    <n v="418"/>
    <n v="0.13"/>
    <x v="4"/>
    <x v="97"/>
    <n v="1"/>
  </r>
  <r>
    <s v="U01101"/>
    <x v="25"/>
    <x v="0"/>
    <x v="2"/>
    <x v="1"/>
    <s v="Student"/>
    <n v="3262.87"/>
    <n v="2102.4299999999998"/>
    <n v="14448.89"/>
    <s v="Yes"/>
    <s v="Education"/>
    <n v="497531.32"/>
    <n v="180"/>
    <n v="6145.14"/>
    <n v="12.54"/>
    <n v="1.88"/>
    <n v="683"/>
    <n v="0.37"/>
    <x v="4"/>
    <x v="98"/>
    <n v="1"/>
  </r>
  <r>
    <s v="U01168"/>
    <x v="4"/>
    <x v="0"/>
    <x v="0"/>
    <x v="1"/>
    <s v="Salesperson"/>
    <n v="4865.7"/>
    <n v="3628.41"/>
    <n v="19077.32"/>
    <s v="No"/>
    <s v="None"/>
    <n v="0"/>
    <n v="0"/>
    <n v="0"/>
    <n v="0"/>
    <n v="0"/>
    <n v="671"/>
    <n v="0.33"/>
    <x v="1"/>
    <x v="99"/>
    <n v="0"/>
  </r>
  <r>
    <s v="U01171"/>
    <x v="45"/>
    <x v="1"/>
    <x v="2"/>
    <x v="3"/>
    <s v="Accountant"/>
    <n v="1707.95"/>
    <n v="1135.8399999999999"/>
    <n v="10206.030000000001"/>
    <s v="No"/>
    <s v="None"/>
    <n v="0"/>
    <n v="0"/>
    <n v="0"/>
    <n v="0"/>
    <n v="0"/>
    <n v="394"/>
    <n v="0.5"/>
    <x v="0"/>
    <x v="100"/>
    <n v="0"/>
  </r>
  <r>
    <s v="U01177"/>
    <x v="34"/>
    <x v="1"/>
    <x v="3"/>
    <x v="1"/>
    <s v="Unemployed"/>
    <n v="6074.33"/>
    <n v="2402.39"/>
    <n v="18177.18"/>
    <s v="No"/>
    <s v="None"/>
    <n v="0"/>
    <n v="0"/>
    <n v="0"/>
    <n v="0"/>
    <n v="0"/>
    <n v="328"/>
    <n v="0.25"/>
    <x v="0"/>
    <x v="101"/>
    <n v="0"/>
  </r>
  <r>
    <s v="U01191"/>
    <x v="17"/>
    <x v="1"/>
    <x v="2"/>
    <x v="3"/>
    <s v="Teacher"/>
    <n v="6208.96"/>
    <n v="5312.41"/>
    <n v="25010.67"/>
    <s v="Yes"/>
    <s v="Car"/>
    <n v="24093.66"/>
    <n v="360"/>
    <n v="533.88"/>
    <n v="26.58"/>
    <n v="0.09"/>
    <n v="410"/>
    <n v="0.34"/>
    <x v="4"/>
    <x v="102"/>
    <n v="0"/>
  </r>
  <r>
    <s v="U01197"/>
    <x v="19"/>
    <x v="0"/>
    <x v="0"/>
    <x v="1"/>
    <s v="Manager"/>
    <n v="2392.37"/>
    <n v="2081.25"/>
    <n v="10740.69"/>
    <s v="Yes"/>
    <s v="Business"/>
    <n v="225280.14"/>
    <n v="300"/>
    <n v="3332.17"/>
    <n v="17.52"/>
    <n v="1.39"/>
    <n v="634"/>
    <n v="0.37"/>
    <x v="1"/>
    <x v="103"/>
    <n v="1"/>
  </r>
  <r>
    <s v="U01230"/>
    <x v="8"/>
    <x v="1"/>
    <x v="0"/>
    <x v="1"/>
    <s v="Manager"/>
    <n v="3421.07"/>
    <n v="2510.67"/>
    <n v="15932.79"/>
    <s v="Yes"/>
    <s v="Car"/>
    <n v="109360.51"/>
    <n v="300"/>
    <n v="1397.33"/>
    <n v="14.96"/>
    <n v="0.41"/>
    <n v="620"/>
    <n v="0.39"/>
    <x v="4"/>
    <x v="104"/>
    <n v="1"/>
  </r>
  <r>
    <s v="U01239"/>
    <x v="41"/>
    <x v="0"/>
    <x v="0"/>
    <x v="3"/>
    <s v="Accountant"/>
    <n v="500"/>
    <n v="353.28"/>
    <n v="2882.93"/>
    <s v="No"/>
    <s v="None"/>
    <n v="0"/>
    <n v="0"/>
    <n v="0"/>
    <n v="0"/>
    <n v="0"/>
    <n v="577"/>
    <n v="0.48"/>
    <x v="2"/>
    <x v="105"/>
    <n v="0"/>
  </r>
  <r>
    <s v="U01270"/>
    <x v="5"/>
    <x v="1"/>
    <x v="3"/>
    <x v="1"/>
    <s v="Salesperson"/>
    <n v="3020.02"/>
    <n v="2119.15"/>
    <n v="13200.95"/>
    <s v="No"/>
    <s v="None"/>
    <n v="0"/>
    <n v="0"/>
    <n v="0"/>
    <n v="0"/>
    <n v="0"/>
    <n v="530"/>
    <n v="0.36"/>
    <x v="2"/>
    <x v="106"/>
    <n v="0"/>
  </r>
  <r>
    <s v="U01277"/>
    <x v="29"/>
    <x v="1"/>
    <x v="3"/>
    <x v="1"/>
    <s v="Accountant"/>
    <n v="5043.3500000000004"/>
    <n v="3067.94"/>
    <n v="12383.31"/>
    <s v="No"/>
    <s v="None"/>
    <n v="0"/>
    <n v="0"/>
    <n v="0"/>
    <n v="0"/>
    <n v="0"/>
    <n v="722"/>
    <n v="0.2"/>
    <x v="2"/>
    <x v="107"/>
    <n v="0"/>
  </r>
  <r>
    <s v="U01279"/>
    <x v="37"/>
    <x v="0"/>
    <x v="0"/>
    <x v="1"/>
    <s v="Accountant"/>
    <n v="5285.43"/>
    <n v="2010.57"/>
    <n v="61924.43"/>
    <s v="No"/>
    <s v="None"/>
    <n v="0"/>
    <n v="0"/>
    <n v="0"/>
    <n v="0"/>
    <n v="0"/>
    <n v="540"/>
    <n v="0.98"/>
    <x v="2"/>
    <x v="108"/>
    <n v="0"/>
  </r>
  <r>
    <s v="U01303"/>
    <x v="19"/>
    <x v="0"/>
    <x v="3"/>
    <x v="3"/>
    <s v="Salesperson"/>
    <n v="5894.14"/>
    <n v="2598.75"/>
    <n v="58240.18"/>
    <s v="No"/>
    <s v="None"/>
    <n v="0"/>
    <n v="0"/>
    <n v="0"/>
    <n v="0"/>
    <n v="0"/>
    <n v="668"/>
    <n v="0.82"/>
    <x v="2"/>
    <x v="109"/>
    <n v="0"/>
  </r>
  <r>
    <s v="U01332"/>
    <x v="39"/>
    <x v="0"/>
    <x v="3"/>
    <x v="2"/>
    <s v="Student"/>
    <n v="4647.9399999999996"/>
    <n v="2226.52"/>
    <n v="28428.86"/>
    <s v="Yes"/>
    <s v="Education"/>
    <n v="75758.33"/>
    <n v="12"/>
    <n v="7049.78"/>
    <n v="20.88"/>
    <n v="1.52"/>
    <n v="402"/>
    <n v="0.51"/>
    <x v="1"/>
    <x v="110"/>
    <n v="1"/>
  </r>
  <r>
    <s v="U01335"/>
    <x v="36"/>
    <x v="0"/>
    <x v="2"/>
    <x v="1"/>
    <s v="Teacher"/>
    <n v="4342.2"/>
    <n v="3735.68"/>
    <n v="24478.61"/>
    <s v="No"/>
    <s v="None"/>
    <n v="0"/>
    <n v="0"/>
    <n v="0"/>
    <n v="0"/>
    <n v="0"/>
    <n v="538"/>
    <n v="0.47"/>
    <x v="2"/>
    <x v="111"/>
    <n v="0"/>
  </r>
  <r>
    <s v="U01341"/>
    <x v="32"/>
    <x v="1"/>
    <x v="4"/>
    <x v="1"/>
    <s v="Salesperson"/>
    <n v="2219.37"/>
    <n v="1925.33"/>
    <n v="24855.72"/>
    <s v="Yes"/>
    <s v="Business"/>
    <n v="269347.62"/>
    <n v="360"/>
    <n v="4059.3"/>
    <n v="18"/>
    <n v="1.83"/>
    <n v="685"/>
    <n v="0.93"/>
    <x v="0"/>
    <x v="22"/>
    <n v="1"/>
  </r>
  <r>
    <s v="U01343"/>
    <x v="46"/>
    <x v="0"/>
    <x v="4"/>
    <x v="1"/>
    <s v="Student"/>
    <n v="3543.29"/>
    <n v="1749.32"/>
    <n v="32009.29"/>
    <s v="No"/>
    <s v="None"/>
    <n v="0"/>
    <n v="0"/>
    <n v="0"/>
    <n v="0"/>
    <n v="0"/>
    <n v="592"/>
    <n v="0.75"/>
    <x v="1"/>
    <x v="104"/>
    <n v="0"/>
  </r>
  <r>
    <s v="U01378"/>
    <x v="11"/>
    <x v="0"/>
    <x v="0"/>
    <x v="1"/>
    <s v="Doctor"/>
    <n v="3701.42"/>
    <n v="1566.9"/>
    <n v="22370.880000000001"/>
    <s v="No"/>
    <s v="None"/>
    <n v="0"/>
    <n v="0"/>
    <n v="0"/>
    <n v="0"/>
    <n v="0"/>
    <n v="628"/>
    <n v="0.5"/>
    <x v="0"/>
    <x v="112"/>
    <n v="0"/>
  </r>
  <r>
    <s v="U01387"/>
    <x v="47"/>
    <x v="1"/>
    <x v="3"/>
    <x v="1"/>
    <s v="Teacher"/>
    <n v="4032.77"/>
    <n v="1723.58"/>
    <n v="40591.22"/>
    <s v="No"/>
    <s v="None"/>
    <n v="0"/>
    <n v="0"/>
    <n v="0"/>
    <n v="0"/>
    <n v="0"/>
    <n v="324"/>
    <n v="0.84"/>
    <x v="1"/>
    <x v="113"/>
    <n v="0"/>
  </r>
  <r>
    <s v="U01391"/>
    <x v="29"/>
    <x v="2"/>
    <x v="2"/>
    <x v="2"/>
    <s v="Manager"/>
    <n v="4898.9399999999996"/>
    <n v="3168.36"/>
    <n v="16061.03"/>
    <s v="No"/>
    <s v="None"/>
    <n v="0"/>
    <n v="0"/>
    <n v="0"/>
    <n v="0"/>
    <n v="0"/>
    <n v="829"/>
    <n v="0.27"/>
    <x v="4"/>
    <x v="114"/>
    <n v="0"/>
  </r>
  <r>
    <s v="U01404"/>
    <x v="46"/>
    <x v="0"/>
    <x v="3"/>
    <x v="0"/>
    <s v="Doctor"/>
    <n v="5383.87"/>
    <n v="3937.18"/>
    <n v="60437.279999999999"/>
    <s v="Yes"/>
    <s v="Education"/>
    <n v="149248.39000000001"/>
    <n v="60"/>
    <n v="4180.84"/>
    <n v="22.69"/>
    <n v="0.78"/>
    <n v="729"/>
    <n v="0.94"/>
    <x v="1"/>
    <x v="115"/>
    <n v="1"/>
  </r>
  <r>
    <s v="U01406"/>
    <x v="42"/>
    <x v="0"/>
    <x v="3"/>
    <x v="1"/>
    <s v="Engineer"/>
    <n v="6257.91"/>
    <n v="4653.68"/>
    <n v="64197.93"/>
    <s v="No"/>
    <s v="None"/>
    <n v="0"/>
    <n v="0"/>
    <n v="0"/>
    <n v="0"/>
    <n v="0"/>
    <n v="759"/>
    <n v="0.85"/>
    <x v="0"/>
    <x v="116"/>
    <n v="0"/>
  </r>
  <r>
    <s v="U01413"/>
    <x v="38"/>
    <x v="1"/>
    <x v="3"/>
    <x v="2"/>
    <s v="Driver"/>
    <n v="4091.62"/>
    <n v="2905.45"/>
    <n v="41486.839999999997"/>
    <s v="No"/>
    <s v="None"/>
    <n v="0"/>
    <n v="0"/>
    <n v="0"/>
    <n v="0"/>
    <n v="0"/>
    <n v="841"/>
    <n v="0.84"/>
    <x v="2"/>
    <x v="24"/>
    <n v="0"/>
  </r>
  <r>
    <s v="U01416"/>
    <x v="46"/>
    <x v="1"/>
    <x v="3"/>
    <x v="1"/>
    <s v="Manager"/>
    <n v="7248.42"/>
    <n v="4039.03"/>
    <n v="76041.960000000006"/>
    <s v="Yes"/>
    <s v="Home"/>
    <n v="54250.77"/>
    <n v="60"/>
    <n v="1673.14"/>
    <n v="27.51"/>
    <n v="0.23"/>
    <n v="506"/>
    <n v="0.87"/>
    <x v="3"/>
    <x v="117"/>
    <n v="0"/>
  </r>
  <r>
    <s v="U01423"/>
    <x v="35"/>
    <x v="0"/>
    <x v="1"/>
    <x v="1"/>
    <s v="Driver"/>
    <n v="4910.42"/>
    <n v="2061.37"/>
    <n v="29635.05"/>
    <s v="No"/>
    <s v="None"/>
    <n v="0"/>
    <n v="0"/>
    <n v="0"/>
    <n v="0"/>
    <n v="0"/>
    <n v="658"/>
    <n v="0.5"/>
    <x v="2"/>
    <x v="118"/>
    <n v="0"/>
  </r>
  <r>
    <s v="U01448"/>
    <x v="38"/>
    <x v="0"/>
    <x v="2"/>
    <x v="1"/>
    <s v="Driver"/>
    <n v="4898.16"/>
    <n v="2170.15"/>
    <n v="7045.69"/>
    <s v="No"/>
    <s v="None"/>
    <n v="0"/>
    <n v="0"/>
    <n v="0"/>
    <n v="0"/>
    <n v="0"/>
    <n v="617"/>
    <n v="0.12"/>
    <x v="0"/>
    <x v="119"/>
    <n v="0"/>
  </r>
  <r>
    <s v="U01467"/>
    <x v="6"/>
    <x v="0"/>
    <x v="3"/>
    <x v="1"/>
    <s v="Doctor"/>
    <n v="500"/>
    <n v="171.78"/>
    <n v="986.17"/>
    <s v="No"/>
    <s v="None"/>
    <n v="0"/>
    <n v="0"/>
    <n v="0"/>
    <n v="0"/>
    <n v="0"/>
    <n v="485"/>
    <n v="0.16"/>
    <x v="0"/>
    <x v="120"/>
    <n v="0"/>
  </r>
  <r>
    <s v="U01480"/>
    <x v="45"/>
    <x v="1"/>
    <x v="0"/>
    <x v="1"/>
    <s v="Accountant"/>
    <n v="4632.1499999999996"/>
    <n v="2478.02"/>
    <n v="46744.54"/>
    <s v="No"/>
    <s v="None"/>
    <n v="0"/>
    <n v="0"/>
    <n v="0"/>
    <n v="0"/>
    <n v="0"/>
    <n v="311"/>
    <n v="0.84"/>
    <x v="4"/>
    <x v="121"/>
    <n v="0"/>
  </r>
  <r>
    <s v="U01494"/>
    <x v="20"/>
    <x v="1"/>
    <x v="3"/>
    <x v="1"/>
    <s v="Manager"/>
    <n v="500"/>
    <n v="243.41"/>
    <n v="1804.05"/>
    <s v="No"/>
    <s v="None"/>
    <n v="0"/>
    <n v="0"/>
    <n v="0"/>
    <n v="0"/>
    <n v="0"/>
    <n v="394"/>
    <n v="0.3"/>
    <x v="4"/>
    <x v="122"/>
    <n v="0"/>
  </r>
  <r>
    <s v="U01518"/>
    <x v="1"/>
    <x v="0"/>
    <x v="3"/>
    <x v="1"/>
    <s v="Student"/>
    <n v="5816.45"/>
    <n v="3290.45"/>
    <n v="63829.14"/>
    <s v="No"/>
    <s v="None"/>
    <n v="0"/>
    <n v="0"/>
    <n v="0"/>
    <n v="0"/>
    <n v="0"/>
    <n v="462"/>
    <n v="0.91"/>
    <x v="0"/>
    <x v="123"/>
    <n v="0"/>
  </r>
  <r>
    <s v="U01525"/>
    <x v="6"/>
    <x v="1"/>
    <x v="2"/>
    <x v="2"/>
    <s v="Engineer"/>
    <n v="1717.95"/>
    <n v="558.61"/>
    <n v="14933.44"/>
    <s v="No"/>
    <s v="None"/>
    <n v="0"/>
    <n v="0"/>
    <n v="0"/>
    <n v="0"/>
    <n v="0"/>
    <n v="713"/>
    <n v="0.72"/>
    <x v="4"/>
    <x v="124"/>
    <n v="0"/>
  </r>
  <r>
    <s v="U01548"/>
    <x v="8"/>
    <x v="1"/>
    <x v="2"/>
    <x v="1"/>
    <s v="Doctor"/>
    <n v="6712.09"/>
    <n v="4399.53"/>
    <n v="74738.899999999994"/>
    <s v="No"/>
    <s v="None"/>
    <n v="0"/>
    <n v="0"/>
    <n v="0"/>
    <n v="0"/>
    <n v="0"/>
    <n v="844"/>
    <n v="0.93"/>
    <x v="2"/>
    <x v="125"/>
    <n v="0"/>
  </r>
  <r>
    <s v="U01567"/>
    <x v="47"/>
    <x v="1"/>
    <x v="2"/>
    <x v="1"/>
    <s v="Manager"/>
    <n v="6799.79"/>
    <n v="5765.78"/>
    <n v="32158.560000000001"/>
    <s v="Yes"/>
    <s v="Home"/>
    <n v="71783.06"/>
    <n v="12"/>
    <n v="6851.86"/>
    <n v="25.84"/>
    <n v="1.01"/>
    <n v="545"/>
    <n v="0.39"/>
    <x v="2"/>
    <x v="126"/>
    <n v="1"/>
  </r>
  <r>
    <s v="U01573"/>
    <x v="27"/>
    <x v="0"/>
    <x v="0"/>
    <x v="1"/>
    <s v="Salesperson"/>
    <n v="4422.25"/>
    <n v="2747.54"/>
    <n v="13941.6"/>
    <s v="Yes"/>
    <s v="Car"/>
    <n v="380036.85"/>
    <n v="300"/>
    <n v="7799.09"/>
    <n v="24.57"/>
    <n v="1.76"/>
    <n v="402"/>
    <n v="0.26"/>
    <x v="2"/>
    <x v="127"/>
    <n v="1"/>
  </r>
  <r>
    <s v="U01578"/>
    <x v="27"/>
    <x v="1"/>
    <x v="2"/>
    <x v="2"/>
    <s v="Doctor"/>
    <n v="941.14"/>
    <n v="800.03"/>
    <n v="10243.31"/>
    <s v="No"/>
    <s v="None"/>
    <n v="0"/>
    <n v="0"/>
    <n v="0"/>
    <n v="0"/>
    <n v="0"/>
    <n v="454"/>
    <n v="0.91"/>
    <x v="2"/>
    <x v="128"/>
    <n v="0"/>
  </r>
  <r>
    <s v="U01580"/>
    <x v="6"/>
    <x v="1"/>
    <x v="2"/>
    <x v="0"/>
    <s v="Manager"/>
    <n v="3555.51"/>
    <n v="2443.21"/>
    <n v="27490.66"/>
    <s v="Yes"/>
    <s v="Home"/>
    <n v="127420.83"/>
    <n v="60"/>
    <n v="4092.8"/>
    <n v="29.62"/>
    <n v="1.1499999999999999"/>
    <n v="451"/>
    <n v="0.64"/>
    <x v="4"/>
    <x v="129"/>
    <n v="1"/>
  </r>
  <r>
    <s v="U01594"/>
    <x v="42"/>
    <x v="0"/>
    <x v="3"/>
    <x v="1"/>
    <s v="Driver"/>
    <n v="6401.42"/>
    <n v="4845.04"/>
    <n v="68912.460000000006"/>
    <s v="No"/>
    <s v="None"/>
    <n v="0"/>
    <n v="0"/>
    <n v="0"/>
    <n v="0"/>
    <n v="0"/>
    <n v="395"/>
    <n v="0.9"/>
    <x v="4"/>
    <x v="130"/>
    <n v="0"/>
  </r>
  <r>
    <s v="U01638"/>
    <x v="19"/>
    <x v="0"/>
    <x v="3"/>
    <x v="1"/>
    <s v="Unemployed"/>
    <n v="4267.3599999999997"/>
    <n v="3444.4"/>
    <n v="10024.450000000001"/>
    <s v="Yes"/>
    <s v="Education"/>
    <n v="205375.88"/>
    <n v="360"/>
    <n v="3685.82"/>
    <n v="21.5"/>
    <n v="0.86"/>
    <n v="479"/>
    <n v="0.2"/>
    <x v="4"/>
    <x v="131"/>
    <n v="1"/>
  </r>
  <r>
    <s v="U01711"/>
    <x v="30"/>
    <x v="0"/>
    <x v="0"/>
    <x v="1"/>
    <s v="Student"/>
    <n v="4278.8999999999996"/>
    <n v="3645.66"/>
    <n v="28723.56"/>
    <s v="Yes"/>
    <s v="Home"/>
    <n v="199845.36"/>
    <n v="60"/>
    <n v="4166.91"/>
    <n v="9.19"/>
    <n v="0.97"/>
    <n v="775"/>
    <n v="0.56000000000000005"/>
    <x v="3"/>
    <x v="132"/>
    <n v="1"/>
  </r>
  <r>
    <s v="U01717"/>
    <x v="7"/>
    <x v="1"/>
    <x v="3"/>
    <x v="1"/>
    <s v="Unemployed"/>
    <n v="1832.67"/>
    <n v="945.09"/>
    <n v="16013.52"/>
    <s v="No"/>
    <s v="None"/>
    <n v="0"/>
    <n v="0"/>
    <n v="0"/>
    <n v="0"/>
    <n v="0"/>
    <n v="656"/>
    <n v="0.73"/>
    <x v="1"/>
    <x v="30"/>
    <n v="0"/>
  </r>
  <r>
    <s v="U01724"/>
    <x v="48"/>
    <x v="0"/>
    <x v="0"/>
    <x v="2"/>
    <s v="Engineer"/>
    <n v="2596.4499999999998"/>
    <n v="1529.96"/>
    <n v="16955.48"/>
    <s v="No"/>
    <s v="None"/>
    <n v="0"/>
    <n v="0"/>
    <n v="0"/>
    <n v="0"/>
    <n v="0"/>
    <n v="648"/>
    <n v="0.54"/>
    <x v="2"/>
    <x v="118"/>
    <n v="0"/>
  </r>
  <r>
    <s v="U01726"/>
    <x v="27"/>
    <x v="0"/>
    <x v="2"/>
    <x v="1"/>
    <s v="Student"/>
    <n v="6814.17"/>
    <n v="4841.46"/>
    <n v="44165.67"/>
    <s v="No"/>
    <s v="None"/>
    <n v="0"/>
    <n v="0"/>
    <n v="0"/>
    <n v="0"/>
    <n v="0"/>
    <n v="449"/>
    <n v="0.54"/>
    <x v="1"/>
    <x v="133"/>
    <n v="0"/>
  </r>
  <r>
    <s v="U01793"/>
    <x v="49"/>
    <x v="2"/>
    <x v="0"/>
    <x v="1"/>
    <s v="Accountant"/>
    <n v="6462.61"/>
    <n v="2203.2600000000002"/>
    <n v="67868.490000000005"/>
    <s v="No"/>
    <s v="None"/>
    <n v="0"/>
    <n v="0"/>
    <n v="0"/>
    <n v="0"/>
    <n v="0"/>
    <n v="432"/>
    <n v="0.88"/>
    <x v="1"/>
    <x v="134"/>
    <n v="0"/>
  </r>
  <r>
    <s v="U01814"/>
    <x v="18"/>
    <x v="1"/>
    <x v="2"/>
    <x v="1"/>
    <s v="Accountant"/>
    <n v="4833.1099999999997"/>
    <n v="3405.17"/>
    <n v="9715.56"/>
    <s v="No"/>
    <s v="None"/>
    <n v="0"/>
    <n v="0"/>
    <n v="0"/>
    <n v="0"/>
    <n v="0"/>
    <n v="373"/>
    <n v="0.17"/>
    <x v="4"/>
    <x v="135"/>
    <n v="0"/>
  </r>
  <r>
    <s v="U01831"/>
    <x v="19"/>
    <x v="0"/>
    <x v="3"/>
    <x v="1"/>
    <s v="Teacher"/>
    <n v="5218.38"/>
    <n v="3501.47"/>
    <n v="49675.11"/>
    <s v="No"/>
    <s v="None"/>
    <n v="0"/>
    <n v="0"/>
    <n v="0"/>
    <n v="0"/>
    <n v="0"/>
    <n v="810"/>
    <n v="0.79"/>
    <x v="3"/>
    <x v="136"/>
    <n v="0"/>
  </r>
  <r>
    <s v="U01836"/>
    <x v="28"/>
    <x v="1"/>
    <x v="3"/>
    <x v="1"/>
    <s v="Salesperson"/>
    <n v="1646.9"/>
    <n v="1434.33"/>
    <n v="13547.01"/>
    <s v="No"/>
    <s v="None"/>
    <n v="0"/>
    <n v="0"/>
    <n v="0"/>
    <n v="0"/>
    <n v="0"/>
    <n v="698"/>
    <n v="0.69"/>
    <x v="2"/>
    <x v="137"/>
    <n v="0"/>
  </r>
  <r>
    <s v="U01851"/>
    <x v="3"/>
    <x v="0"/>
    <x v="2"/>
    <x v="1"/>
    <s v="Driver"/>
    <n v="5562.86"/>
    <n v="2331.5300000000002"/>
    <n v="8967.6200000000008"/>
    <s v="No"/>
    <s v="None"/>
    <n v="0"/>
    <n v="0"/>
    <n v="0"/>
    <n v="0"/>
    <n v="0"/>
    <n v="503"/>
    <n v="0.13"/>
    <x v="4"/>
    <x v="138"/>
    <n v="0"/>
  </r>
  <r>
    <s v="U01866"/>
    <x v="6"/>
    <x v="1"/>
    <x v="2"/>
    <x v="1"/>
    <s v="Accountant"/>
    <n v="2018.6"/>
    <n v="1556.66"/>
    <n v="22813.93"/>
    <s v="No"/>
    <s v="None"/>
    <n v="0"/>
    <n v="0"/>
    <n v="0"/>
    <n v="0"/>
    <n v="0"/>
    <n v="568"/>
    <n v="0.94"/>
    <x v="1"/>
    <x v="139"/>
    <n v="0"/>
  </r>
  <r>
    <s v="U01886"/>
    <x v="47"/>
    <x v="0"/>
    <x v="3"/>
    <x v="1"/>
    <s v="Driver"/>
    <n v="1323.34"/>
    <n v="856.08"/>
    <n v="11254.63"/>
    <s v="No"/>
    <s v="None"/>
    <n v="0"/>
    <n v="0"/>
    <n v="0"/>
    <n v="0"/>
    <n v="0"/>
    <n v="544"/>
    <n v="0.71"/>
    <x v="0"/>
    <x v="140"/>
    <n v="0"/>
  </r>
  <r>
    <s v="U01893"/>
    <x v="14"/>
    <x v="1"/>
    <x v="3"/>
    <x v="1"/>
    <s v="Unemployed"/>
    <n v="5315.79"/>
    <n v="3913.3"/>
    <n v="13879.46"/>
    <s v="Yes"/>
    <s v="Home"/>
    <n v="377514.45"/>
    <n v="180"/>
    <n v="2741.63"/>
    <n v="3.73"/>
    <n v="0.52"/>
    <n v="743"/>
    <n v="0.22"/>
    <x v="3"/>
    <x v="141"/>
    <n v="1"/>
  </r>
  <r>
    <s v="U01897"/>
    <x v="12"/>
    <x v="0"/>
    <x v="1"/>
    <x v="1"/>
    <s v="Doctor"/>
    <n v="3731.91"/>
    <n v="1156.31"/>
    <n v="40993.620000000003"/>
    <s v="Yes"/>
    <s v="Business"/>
    <n v="355844.46"/>
    <n v="120"/>
    <n v="6482.98"/>
    <n v="18.309999999999999"/>
    <n v="1.74"/>
    <n v="615"/>
    <n v="0.92"/>
    <x v="4"/>
    <x v="142"/>
    <n v="1"/>
  </r>
  <r>
    <s v="U01899"/>
    <x v="17"/>
    <x v="1"/>
    <x v="0"/>
    <x v="3"/>
    <s v="Driver"/>
    <n v="3962.64"/>
    <n v="3084.51"/>
    <n v="33585.599999999999"/>
    <s v="No"/>
    <s v="None"/>
    <n v="0"/>
    <n v="0"/>
    <n v="0"/>
    <n v="0"/>
    <n v="0"/>
    <n v="678"/>
    <n v="0.71"/>
    <x v="2"/>
    <x v="143"/>
    <n v="0"/>
  </r>
  <r>
    <s v="U01908"/>
    <x v="40"/>
    <x v="0"/>
    <x v="2"/>
    <x v="1"/>
    <s v="Manager"/>
    <n v="3511.81"/>
    <n v="1410.67"/>
    <n v="4627.9799999999996"/>
    <s v="No"/>
    <s v="None"/>
    <n v="0"/>
    <n v="0"/>
    <n v="0"/>
    <n v="0"/>
    <n v="0"/>
    <n v="419"/>
    <n v="0.11"/>
    <x v="1"/>
    <x v="144"/>
    <n v="0"/>
  </r>
  <r>
    <s v="U01942"/>
    <x v="23"/>
    <x v="1"/>
    <x v="3"/>
    <x v="3"/>
    <s v="Teacher"/>
    <n v="5349.01"/>
    <n v="3868.27"/>
    <n v="48911.28"/>
    <s v="No"/>
    <s v="None"/>
    <n v="0"/>
    <n v="0"/>
    <n v="0"/>
    <n v="0"/>
    <n v="0"/>
    <n v="511"/>
    <n v="0.76"/>
    <x v="4"/>
    <x v="13"/>
    <n v="0"/>
  </r>
  <r>
    <s v="U01955"/>
    <x v="47"/>
    <x v="0"/>
    <x v="3"/>
    <x v="0"/>
    <s v="Driver"/>
    <n v="2183.1799999999998"/>
    <n v="1689.99"/>
    <n v="23243.53"/>
    <s v="Yes"/>
    <s v="Business"/>
    <n v="243425.86"/>
    <n v="300"/>
    <n v="2303.6"/>
    <n v="10.53"/>
    <n v="1.06"/>
    <n v="409"/>
    <n v="0.89"/>
    <x v="3"/>
    <x v="145"/>
    <n v="1"/>
  </r>
  <r>
    <s v="U01982"/>
    <x v="4"/>
    <x v="0"/>
    <x v="2"/>
    <x v="1"/>
    <s v="Unemployed"/>
    <n v="6866.43"/>
    <n v="3565.55"/>
    <n v="67002.53"/>
    <s v="Yes"/>
    <s v="Car"/>
    <n v="274965.93"/>
    <n v="360"/>
    <n v="6659.97"/>
    <n v="29.06"/>
    <n v="0.97"/>
    <n v="528"/>
    <n v="0.81"/>
    <x v="4"/>
    <x v="146"/>
    <n v="1"/>
  </r>
  <r>
    <s v="U01985"/>
    <x v="6"/>
    <x v="1"/>
    <x v="3"/>
    <x v="3"/>
    <s v="Manager"/>
    <n v="4395.34"/>
    <n v="2400.67"/>
    <n v="10962.12"/>
    <s v="No"/>
    <s v="None"/>
    <n v="0"/>
    <n v="0"/>
    <n v="0"/>
    <n v="0"/>
    <n v="0"/>
    <n v="546"/>
    <n v="0.21"/>
    <x v="1"/>
    <x v="147"/>
    <n v="0"/>
  </r>
  <r>
    <s v="U01991"/>
    <x v="19"/>
    <x v="0"/>
    <x v="3"/>
    <x v="1"/>
    <s v="Unemployed"/>
    <n v="3258.32"/>
    <n v="1579.23"/>
    <n v="5491.49"/>
    <s v="Yes"/>
    <s v="Education"/>
    <n v="199385.44"/>
    <n v="360"/>
    <n v="1506.33"/>
    <n v="8.31"/>
    <n v="0.46"/>
    <n v="346"/>
    <n v="0.14000000000000001"/>
    <x v="4"/>
    <x v="148"/>
    <n v="1"/>
  </r>
  <r>
    <s v="U01994"/>
    <x v="9"/>
    <x v="1"/>
    <x v="3"/>
    <x v="1"/>
    <s v="Teacher"/>
    <n v="5005.33"/>
    <n v="2430.4699999999998"/>
    <n v="41643.019999999997"/>
    <s v="Yes"/>
    <s v="Home"/>
    <n v="15653.78"/>
    <n v="180"/>
    <n v="162.13999999999999"/>
    <n v="9.36"/>
    <n v="0.03"/>
    <n v="837"/>
    <n v="0.69"/>
    <x v="0"/>
    <x v="149"/>
    <n v="0"/>
  </r>
  <r>
    <s v="U02006"/>
    <x v="35"/>
    <x v="1"/>
    <x v="0"/>
    <x v="1"/>
    <s v="Unemployed"/>
    <n v="3213.83"/>
    <n v="1334.45"/>
    <n v="16138.02"/>
    <s v="Yes"/>
    <s v="Home"/>
    <n v="114395.17"/>
    <n v="36"/>
    <n v="4058.6"/>
    <n v="16.649999999999999"/>
    <n v="1.26"/>
    <n v="849"/>
    <n v="0.42"/>
    <x v="1"/>
    <x v="150"/>
    <n v="1"/>
  </r>
  <r>
    <s v="U02010"/>
    <x v="4"/>
    <x v="1"/>
    <x v="3"/>
    <x v="1"/>
    <s v="Salesperson"/>
    <n v="500"/>
    <n v="217.49"/>
    <n v="3047.8"/>
    <s v="No"/>
    <s v="None"/>
    <n v="0"/>
    <n v="0"/>
    <n v="0"/>
    <n v="0"/>
    <n v="0"/>
    <n v="483"/>
    <n v="0.51"/>
    <x v="2"/>
    <x v="151"/>
    <n v="0"/>
  </r>
  <r>
    <s v="U02018"/>
    <x v="47"/>
    <x v="1"/>
    <x v="0"/>
    <x v="1"/>
    <s v="Engineer"/>
    <n v="3291.84"/>
    <n v="2059.75"/>
    <n v="28763.360000000001"/>
    <s v="No"/>
    <s v="None"/>
    <n v="0"/>
    <n v="0"/>
    <n v="0"/>
    <n v="0"/>
    <n v="0"/>
    <n v="310"/>
    <n v="0.73"/>
    <x v="1"/>
    <x v="56"/>
    <n v="0"/>
  </r>
  <r>
    <s v="U02024"/>
    <x v="34"/>
    <x v="0"/>
    <x v="3"/>
    <x v="0"/>
    <s v="Teacher"/>
    <n v="3524.02"/>
    <n v="1474.38"/>
    <n v="24395.18"/>
    <s v="No"/>
    <s v="None"/>
    <n v="0"/>
    <n v="0"/>
    <n v="0"/>
    <n v="0"/>
    <n v="0"/>
    <n v="342"/>
    <n v="0.57999999999999996"/>
    <x v="2"/>
    <x v="152"/>
    <n v="0"/>
  </r>
  <r>
    <s v="U02026"/>
    <x v="0"/>
    <x v="0"/>
    <x v="2"/>
    <x v="1"/>
    <s v="Salesperson"/>
    <n v="4668.07"/>
    <n v="3396.73"/>
    <n v="29194.880000000001"/>
    <s v="Yes"/>
    <s v="Home"/>
    <n v="263139.24"/>
    <n v="360"/>
    <n v="4258.71"/>
    <n v="19.36"/>
    <n v="0.91"/>
    <n v="448"/>
    <n v="0.52"/>
    <x v="2"/>
    <x v="153"/>
    <n v="1"/>
  </r>
  <r>
    <s v="U02044"/>
    <x v="26"/>
    <x v="1"/>
    <x v="0"/>
    <x v="1"/>
    <s v="Unemployed"/>
    <n v="3197.42"/>
    <n v="2328.09"/>
    <n v="13112.97"/>
    <s v="No"/>
    <s v="None"/>
    <n v="0"/>
    <n v="0"/>
    <n v="0"/>
    <n v="0"/>
    <n v="0"/>
    <n v="751"/>
    <n v="0.34"/>
    <x v="2"/>
    <x v="154"/>
    <n v="0"/>
  </r>
  <r>
    <s v="U02053"/>
    <x v="41"/>
    <x v="0"/>
    <x v="3"/>
    <x v="1"/>
    <s v="Driver"/>
    <n v="5991.14"/>
    <n v="3349.96"/>
    <n v="35688.65"/>
    <s v="Yes"/>
    <s v="Business"/>
    <n v="253051.1"/>
    <n v="360"/>
    <n v="3741.47"/>
    <n v="17.649999999999999"/>
    <n v="0.62"/>
    <n v="636"/>
    <n v="0.5"/>
    <x v="3"/>
    <x v="155"/>
    <n v="1"/>
  </r>
  <r>
    <s v="U02078"/>
    <x v="5"/>
    <x v="2"/>
    <x v="3"/>
    <x v="1"/>
    <s v="Engineer"/>
    <n v="3182.17"/>
    <n v="1242.44"/>
    <n v="20639.36"/>
    <s v="No"/>
    <s v="None"/>
    <n v="0"/>
    <n v="0"/>
    <n v="0"/>
    <n v="0"/>
    <n v="0"/>
    <n v="357"/>
    <n v="0.54"/>
    <x v="0"/>
    <x v="156"/>
    <n v="0"/>
  </r>
  <r>
    <s v="U02086"/>
    <x v="25"/>
    <x v="1"/>
    <x v="3"/>
    <x v="1"/>
    <s v="Unemployed"/>
    <n v="5233.99"/>
    <n v="2666.32"/>
    <n v="58840.61"/>
    <s v="No"/>
    <s v="None"/>
    <n v="0"/>
    <n v="0"/>
    <n v="0"/>
    <n v="0"/>
    <n v="0"/>
    <n v="643"/>
    <n v="0.94"/>
    <x v="2"/>
    <x v="157"/>
    <n v="0"/>
  </r>
  <r>
    <s v="U02101"/>
    <x v="10"/>
    <x v="1"/>
    <x v="3"/>
    <x v="1"/>
    <s v="Accountant"/>
    <n v="5221.6899999999996"/>
    <n v="1621.94"/>
    <n v="50991.73"/>
    <s v="Yes"/>
    <s v="Business"/>
    <n v="275304.40000000002"/>
    <n v="300"/>
    <n v="2919.94"/>
    <n v="12.1"/>
    <n v="0.56000000000000005"/>
    <n v="423"/>
    <n v="0.81"/>
    <x v="3"/>
    <x v="158"/>
    <n v="1"/>
  </r>
  <r>
    <s v="U02115"/>
    <x v="46"/>
    <x v="0"/>
    <x v="2"/>
    <x v="2"/>
    <s v="Accountant"/>
    <n v="5689.16"/>
    <n v="2671.51"/>
    <n v="22045.46"/>
    <s v="Yes"/>
    <s v="Education"/>
    <n v="238304.22"/>
    <n v="360"/>
    <n v="5528.11"/>
    <n v="27.83"/>
    <n v="0.97"/>
    <n v="702"/>
    <n v="0.32"/>
    <x v="2"/>
    <x v="40"/>
    <n v="1"/>
  </r>
  <r>
    <s v="U02129"/>
    <x v="23"/>
    <x v="1"/>
    <x v="3"/>
    <x v="1"/>
    <s v="Engineer"/>
    <n v="3194.79"/>
    <n v="2090.33"/>
    <n v="24961.43"/>
    <s v="No"/>
    <s v="None"/>
    <n v="0"/>
    <n v="0"/>
    <n v="0"/>
    <n v="0"/>
    <n v="0"/>
    <n v="590"/>
    <n v="0.65"/>
    <x v="3"/>
    <x v="159"/>
    <n v="0"/>
  </r>
  <r>
    <s v="U02132"/>
    <x v="0"/>
    <x v="1"/>
    <x v="2"/>
    <x v="1"/>
    <s v="Accountant"/>
    <n v="1907.3"/>
    <n v="1168.04"/>
    <n v="9936.32"/>
    <s v="Yes"/>
    <s v="Car"/>
    <n v="17631.07"/>
    <n v="24"/>
    <n v="941.62"/>
    <n v="25.07"/>
    <n v="0.49"/>
    <n v="574"/>
    <n v="0.43"/>
    <x v="2"/>
    <x v="160"/>
    <n v="1"/>
  </r>
  <r>
    <s v="U02140"/>
    <x v="39"/>
    <x v="1"/>
    <x v="3"/>
    <x v="2"/>
    <s v="Doctor"/>
    <n v="3746.43"/>
    <n v="2641.96"/>
    <n v="27946.51"/>
    <s v="No"/>
    <s v="None"/>
    <n v="0"/>
    <n v="0"/>
    <n v="0"/>
    <n v="0"/>
    <n v="0"/>
    <n v="667"/>
    <n v="0.62"/>
    <x v="0"/>
    <x v="61"/>
    <n v="0"/>
  </r>
  <r>
    <s v="U02155"/>
    <x v="48"/>
    <x v="1"/>
    <x v="3"/>
    <x v="2"/>
    <s v="Driver"/>
    <n v="6949.27"/>
    <n v="4463.8"/>
    <n v="44810.29"/>
    <s v="Yes"/>
    <s v="Business"/>
    <n v="75603.649999999994"/>
    <n v="120"/>
    <n v="1529.38"/>
    <n v="21.35"/>
    <n v="0.22"/>
    <n v="805"/>
    <n v="0.54"/>
    <x v="0"/>
    <x v="161"/>
    <n v="0"/>
  </r>
  <r>
    <s v="U02171"/>
    <x v="18"/>
    <x v="0"/>
    <x v="2"/>
    <x v="1"/>
    <s v="Salesperson"/>
    <n v="1719.61"/>
    <n v="1390.61"/>
    <n v="4351.8"/>
    <s v="No"/>
    <s v="None"/>
    <n v="0"/>
    <n v="0"/>
    <n v="0"/>
    <n v="0"/>
    <n v="0"/>
    <n v="570"/>
    <n v="0.21"/>
    <x v="2"/>
    <x v="162"/>
    <n v="0"/>
  </r>
  <r>
    <s v="U02190"/>
    <x v="4"/>
    <x v="1"/>
    <x v="2"/>
    <x v="1"/>
    <s v="Doctor"/>
    <n v="3219.67"/>
    <n v="1609.34"/>
    <n v="25841.7"/>
    <s v="Yes"/>
    <s v="Education"/>
    <n v="251057.94"/>
    <n v="240"/>
    <n v="4105.99"/>
    <n v="19.190000000000001"/>
    <n v="1.28"/>
    <n v="582"/>
    <n v="0.67"/>
    <x v="1"/>
    <x v="163"/>
    <n v="1"/>
  </r>
  <r>
    <s v="U02193"/>
    <x v="23"/>
    <x v="0"/>
    <x v="4"/>
    <x v="1"/>
    <s v="Salesperson"/>
    <n v="4317.43"/>
    <n v="3355.13"/>
    <n v="13596.12"/>
    <s v="No"/>
    <s v="None"/>
    <n v="0"/>
    <n v="0"/>
    <n v="0"/>
    <n v="0"/>
    <n v="0"/>
    <n v="453"/>
    <n v="0.26"/>
    <x v="4"/>
    <x v="164"/>
    <n v="0"/>
  </r>
  <r>
    <s v="U02226"/>
    <x v="1"/>
    <x v="1"/>
    <x v="3"/>
    <x v="1"/>
    <s v="Accountant"/>
    <n v="5190.47"/>
    <n v="3738.65"/>
    <n v="25435.56"/>
    <s v="No"/>
    <s v="None"/>
    <n v="0"/>
    <n v="0"/>
    <n v="0"/>
    <n v="0"/>
    <n v="0"/>
    <n v="321"/>
    <n v="0.41"/>
    <x v="3"/>
    <x v="165"/>
    <n v="0"/>
  </r>
  <r>
    <s v="U02229"/>
    <x v="40"/>
    <x v="1"/>
    <x v="3"/>
    <x v="2"/>
    <s v="Unemployed"/>
    <n v="2352.14"/>
    <n v="1694.06"/>
    <n v="23827.06"/>
    <s v="Yes"/>
    <s v="Home"/>
    <n v="265940.92"/>
    <n v="360"/>
    <n v="3035.66"/>
    <n v="13.45"/>
    <n v="1.29"/>
    <n v="337"/>
    <n v="0.84"/>
    <x v="4"/>
    <x v="166"/>
    <n v="1"/>
  </r>
  <r>
    <s v="U02240"/>
    <x v="10"/>
    <x v="0"/>
    <x v="0"/>
    <x v="1"/>
    <s v="Doctor"/>
    <n v="4836.3100000000004"/>
    <n v="4135.17"/>
    <n v="19235.330000000002"/>
    <s v="No"/>
    <s v="None"/>
    <n v="0"/>
    <n v="0"/>
    <n v="0"/>
    <n v="0"/>
    <n v="0"/>
    <n v="511"/>
    <n v="0.33"/>
    <x v="4"/>
    <x v="167"/>
    <n v="0"/>
  </r>
  <r>
    <s v="U02262"/>
    <x v="42"/>
    <x v="1"/>
    <x v="1"/>
    <x v="1"/>
    <s v="Salesperson"/>
    <n v="5422.13"/>
    <n v="3776.48"/>
    <n v="15821.5"/>
    <s v="Yes"/>
    <s v="Car"/>
    <n v="16231.58"/>
    <n v="120"/>
    <n v="344.16"/>
    <n v="22.78"/>
    <n v="0.06"/>
    <n v="630"/>
    <n v="0.24"/>
    <x v="2"/>
    <x v="168"/>
    <n v="0"/>
  </r>
  <r>
    <s v="U02286"/>
    <x v="26"/>
    <x v="2"/>
    <x v="3"/>
    <x v="3"/>
    <s v="Engineer"/>
    <n v="3664.33"/>
    <n v="3179.63"/>
    <n v="40413.19"/>
    <s v="No"/>
    <s v="None"/>
    <n v="0"/>
    <n v="0"/>
    <n v="0"/>
    <n v="0"/>
    <n v="0"/>
    <n v="716"/>
    <n v="0.92"/>
    <x v="1"/>
    <x v="169"/>
    <n v="0"/>
  </r>
  <r>
    <s v="U02293"/>
    <x v="3"/>
    <x v="1"/>
    <x v="3"/>
    <x v="1"/>
    <s v="Unemployed"/>
    <n v="3138.92"/>
    <n v="1349.66"/>
    <n v="31685.49"/>
    <s v="Yes"/>
    <s v="Home"/>
    <n v="211520.17"/>
    <n v="360"/>
    <n v="4488.34"/>
    <n v="25.45"/>
    <n v="1.43"/>
    <n v="801"/>
    <n v="0.84"/>
    <x v="1"/>
    <x v="162"/>
    <n v="1"/>
  </r>
  <r>
    <s v="U02294"/>
    <x v="33"/>
    <x v="0"/>
    <x v="4"/>
    <x v="1"/>
    <s v="Salesperson"/>
    <n v="3823.79"/>
    <n v="3340.09"/>
    <n v="36810.78"/>
    <s v="No"/>
    <s v="None"/>
    <n v="0"/>
    <n v="0"/>
    <n v="0"/>
    <n v="0"/>
    <n v="0"/>
    <n v="623"/>
    <n v="0.8"/>
    <x v="1"/>
    <x v="170"/>
    <n v="0"/>
  </r>
  <r>
    <s v="U02309"/>
    <x v="9"/>
    <x v="0"/>
    <x v="3"/>
    <x v="1"/>
    <s v="Manager"/>
    <n v="8392.84"/>
    <n v="5387.19"/>
    <n v="76849.38"/>
    <s v="Yes"/>
    <s v="Home"/>
    <n v="98533.54"/>
    <n v="360"/>
    <n v="1383.99"/>
    <n v="16.739999999999998"/>
    <n v="0.16"/>
    <n v="832"/>
    <n v="0.76"/>
    <x v="0"/>
    <x v="171"/>
    <n v="0"/>
  </r>
  <r>
    <s v="U02318"/>
    <x v="15"/>
    <x v="0"/>
    <x v="3"/>
    <x v="2"/>
    <s v="Salesperson"/>
    <n v="5654.93"/>
    <n v="3026.41"/>
    <n v="35910.85"/>
    <s v="No"/>
    <s v="None"/>
    <n v="0"/>
    <n v="0"/>
    <n v="0"/>
    <n v="0"/>
    <n v="0"/>
    <n v="796"/>
    <n v="0.53"/>
    <x v="0"/>
    <x v="172"/>
    <n v="0"/>
  </r>
  <r>
    <s v="U02330"/>
    <x v="45"/>
    <x v="1"/>
    <x v="0"/>
    <x v="0"/>
    <s v="Unemployed"/>
    <n v="3787.6"/>
    <n v="1813.19"/>
    <n v="38091.49"/>
    <s v="Yes"/>
    <s v="Car"/>
    <n v="264622.18"/>
    <n v="180"/>
    <n v="3778.21"/>
    <n v="15.41"/>
    <n v="1"/>
    <n v="677"/>
    <n v="0.84"/>
    <x v="4"/>
    <x v="173"/>
    <n v="1"/>
  </r>
  <r>
    <s v="U02333"/>
    <x v="12"/>
    <x v="1"/>
    <x v="3"/>
    <x v="1"/>
    <s v="Salesperson"/>
    <n v="4929.59"/>
    <n v="2776.86"/>
    <n v="21161.15"/>
    <s v="Yes"/>
    <s v="Business"/>
    <n v="73412.38"/>
    <n v="180"/>
    <n v="710.92"/>
    <n v="8.2200000000000006"/>
    <n v="0.14000000000000001"/>
    <n v="546"/>
    <n v="0.36"/>
    <x v="3"/>
    <x v="174"/>
    <n v="0"/>
  </r>
  <r>
    <s v="U02348"/>
    <x v="43"/>
    <x v="0"/>
    <x v="2"/>
    <x v="2"/>
    <s v="Accountant"/>
    <n v="7352.14"/>
    <n v="6371.6"/>
    <n v="29039.38"/>
    <s v="No"/>
    <s v="None"/>
    <n v="0"/>
    <n v="0"/>
    <n v="0"/>
    <n v="0"/>
    <n v="0"/>
    <n v="374"/>
    <n v="0.33"/>
    <x v="0"/>
    <x v="88"/>
    <n v="0"/>
  </r>
  <r>
    <s v="U02350"/>
    <x v="46"/>
    <x v="0"/>
    <x v="2"/>
    <x v="1"/>
    <s v="Driver"/>
    <n v="2475.79"/>
    <n v="1491.53"/>
    <n v="8747.01"/>
    <s v="No"/>
    <s v="None"/>
    <n v="0"/>
    <n v="0"/>
    <n v="0"/>
    <n v="0"/>
    <n v="0"/>
    <n v="798"/>
    <n v="0.28999999999999998"/>
    <x v="4"/>
    <x v="175"/>
    <n v="0"/>
  </r>
  <r>
    <s v="U02384"/>
    <x v="8"/>
    <x v="1"/>
    <x v="0"/>
    <x v="1"/>
    <s v="Unemployed"/>
    <n v="3869.65"/>
    <n v="2920.64"/>
    <n v="43366.61"/>
    <s v="No"/>
    <s v="None"/>
    <n v="0"/>
    <n v="0"/>
    <n v="0"/>
    <n v="0"/>
    <n v="0"/>
    <n v="493"/>
    <n v="0.93"/>
    <x v="2"/>
    <x v="176"/>
    <n v="0"/>
  </r>
  <r>
    <s v="U02392"/>
    <x v="15"/>
    <x v="0"/>
    <x v="3"/>
    <x v="1"/>
    <s v="Doctor"/>
    <n v="4024.82"/>
    <n v="2926.71"/>
    <n v="34937.79"/>
    <s v="No"/>
    <s v="None"/>
    <n v="0"/>
    <n v="0"/>
    <n v="0"/>
    <n v="0"/>
    <n v="0"/>
    <n v="795"/>
    <n v="0.72"/>
    <x v="2"/>
    <x v="177"/>
    <n v="0"/>
  </r>
  <r>
    <s v="U02395"/>
    <x v="16"/>
    <x v="0"/>
    <x v="2"/>
    <x v="2"/>
    <s v="Manager"/>
    <n v="3901.7"/>
    <n v="1579.34"/>
    <n v="40703.47"/>
    <s v="No"/>
    <s v="None"/>
    <n v="0"/>
    <n v="0"/>
    <n v="0"/>
    <n v="0"/>
    <n v="0"/>
    <n v="486"/>
    <n v="0.87"/>
    <x v="3"/>
    <x v="178"/>
    <n v="0"/>
  </r>
  <r>
    <s v="U02404"/>
    <x v="43"/>
    <x v="0"/>
    <x v="3"/>
    <x v="1"/>
    <s v="Driver"/>
    <n v="6424.9"/>
    <n v="4012.75"/>
    <n v="63239.53"/>
    <s v="No"/>
    <s v="None"/>
    <n v="0"/>
    <n v="0"/>
    <n v="0"/>
    <n v="0"/>
    <n v="0"/>
    <n v="702"/>
    <n v="0.82"/>
    <x v="3"/>
    <x v="179"/>
    <n v="0"/>
  </r>
  <r>
    <s v="U02408"/>
    <x v="34"/>
    <x v="1"/>
    <x v="1"/>
    <x v="2"/>
    <s v="Student"/>
    <n v="3740.72"/>
    <n v="2442.37"/>
    <n v="12098.97"/>
    <s v="No"/>
    <s v="None"/>
    <n v="0"/>
    <n v="0"/>
    <n v="0"/>
    <n v="0"/>
    <n v="0"/>
    <n v="550"/>
    <n v="0.27"/>
    <x v="2"/>
    <x v="180"/>
    <n v="0"/>
  </r>
  <r>
    <s v="U02417"/>
    <x v="28"/>
    <x v="0"/>
    <x v="2"/>
    <x v="1"/>
    <s v="Engineer"/>
    <n v="4977.33"/>
    <n v="2765.3"/>
    <n v="6893.6"/>
    <s v="No"/>
    <s v="None"/>
    <n v="0"/>
    <n v="0"/>
    <n v="0"/>
    <n v="0"/>
    <n v="0"/>
    <n v="421"/>
    <n v="0.12"/>
    <x v="1"/>
    <x v="181"/>
    <n v="0"/>
  </r>
  <r>
    <s v="U02424"/>
    <x v="22"/>
    <x v="0"/>
    <x v="0"/>
    <x v="3"/>
    <s v="Student"/>
    <n v="3146.43"/>
    <n v="2425.54"/>
    <n v="25568.79"/>
    <s v="Yes"/>
    <s v="Home"/>
    <n v="224586.63"/>
    <n v="300"/>
    <n v="1772.25"/>
    <n v="8.26"/>
    <n v="0.56000000000000005"/>
    <n v="564"/>
    <n v="0.68"/>
    <x v="2"/>
    <x v="182"/>
    <n v="1"/>
  </r>
  <r>
    <s v="U02425"/>
    <x v="31"/>
    <x v="1"/>
    <x v="3"/>
    <x v="0"/>
    <s v="Teacher"/>
    <n v="3475.54"/>
    <n v="2322.96"/>
    <n v="7556.53"/>
    <s v="No"/>
    <s v="None"/>
    <n v="0"/>
    <n v="0"/>
    <n v="0"/>
    <n v="0"/>
    <n v="0"/>
    <n v="492"/>
    <n v="0.18"/>
    <x v="3"/>
    <x v="169"/>
    <n v="0"/>
  </r>
  <r>
    <s v="U02432"/>
    <x v="48"/>
    <x v="0"/>
    <x v="2"/>
    <x v="1"/>
    <s v="Accountant"/>
    <n v="4642.43"/>
    <n v="2024.99"/>
    <n v="46436.17"/>
    <s v="No"/>
    <s v="None"/>
    <n v="0"/>
    <n v="0"/>
    <n v="0"/>
    <n v="0"/>
    <n v="0"/>
    <n v="712"/>
    <n v="0.83"/>
    <x v="2"/>
    <x v="183"/>
    <n v="0"/>
  </r>
  <r>
    <s v="U02440"/>
    <x v="29"/>
    <x v="1"/>
    <x v="2"/>
    <x v="1"/>
    <s v="Accountant"/>
    <n v="1797.53"/>
    <n v="1465.52"/>
    <n v="12729.61"/>
    <s v="Yes"/>
    <s v="Car"/>
    <n v="175733.01"/>
    <n v="120"/>
    <n v="2111.75"/>
    <n v="7.78"/>
    <n v="1.17"/>
    <n v="369"/>
    <n v="0.59"/>
    <x v="1"/>
    <x v="184"/>
    <n v="1"/>
  </r>
  <r>
    <s v="U02441"/>
    <x v="2"/>
    <x v="1"/>
    <x v="3"/>
    <x v="1"/>
    <s v="Doctor"/>
    <n v="4753.63"/>
    <n v="3830.27"/>
    <n v="16928.73"/>
    <s v="Yes"/>
    <s v="Business"/>
    <n v="39000.54"/>
    <n v="180"/>
    <n v="935.06"/>
    <n v="28.34"/>
    <n v="0.2"/>
    <n v="685"/>
    <n v="0.3"/>
    <x v="2"/>
    <x v="185"/>
    <n v="0"/>
  </r>
  <r>
    <s v="U02461"/>
    <x v="7"/>
    <x v="1"/>
    <x v="2"/>
    <x v="1"/>
    <s v="Doctor"/>
    <n v="1980.42"/>
    <n v="1387.6"/>
    <n v="4253.09"/>
    <s v="No"/>
    <s v="None"/>
    <n v="0"/>
    <n v="0"/>
    <n v="0"/>
    <n v="0"/>
    <n v="0"/>
    <n v="490"/>
    <n v="0.18"/>
    <x v="4"/>
    <x v="186"/>
    <n v="0"/>
  </r>
  <r>
    <s v="U02462"/>
    <x v="17"/>
    <x v="0"/>
    <x v="3"/>
    <x v="1"/>
    <s v="Manager"/>
    <n v="5109.8599999999997"/>
    <n v="1869.98"/>
    <n v="47150.62"/>
    <s v="Yes"/>
    <s v="Car"/>
    <n v="265025.11"/>
    <n v="120"/>
    <n v="5679.66"/>
    <n v="23.11"/>
    <n v="1.1100000000000001"/>
    <n v="792"/>
    <n v="0.77"/>
    <x v="0"/>
    <x v="187"/>
    <n v="1"/>
  </r>
  <r>
    <s v="U02467"/>
    <x v="17"/>
    <x v="1"/>
    <x v="3"/>
    <x v="1"/>
    <s v="Doctor"/>
    <n v="3798.32"/>
    <n v="1555.33"/>
    <n v="14274.36"/>
    <s v="Yes"/>
    <s v="Business"/>
    <n v="84989.97"/>
    <n v="240"/>
    <n v="479.48"/>
    <n v="3.19"/>
    <n v="0.13"/>
    <n v="605"/>
    <n v="0.31"/>
    <x v="2"/>
    <x v="188"/>
    <n v="0"/>
  </r>
  <r>
    <s v="U02471"/>
    <x v="37"/>
    <x v="0"/>
    <x v="3"/>
    <x v="1"/>
    <s v="Salesperson"/>
    <n v="4996.3999999999996"/>
    <n v="2291.27"/>
    <n v="41375.17"/>
    <s v="Yes"/>
    <s v="Business"/>
    <n v="274016.84999999998"/>
    <n v="240"/>
    <n v="3843.15"/>
    <n v="16.149999999999999"/>
    <n v="0.77"/>
    <n v="665"/>
    <n v="0.69"/>
    <x v="2"/>
    <x v="189"/>
    <n v="1"/>
  </r>
  <r>
    <s v="U02487"/>
    <x v="46"/>
    <x v="1"/>
    <x v="4"/>
    <x v="1"/>
    <s v="Unemployed"/>
    <n v="5357.48"/>
    <n v="3366.37"/>
    <n v="46141.69"/>
    <s v="No"/>
    <s v="None"/>
    <n v="0"/>
    <n v="0"/>
    <n v="0"/>
    <n v="0"/>
    <n v="0"/>
    <n v="470"/>
    <n v="0.72"/>
    <x v="2"/>
    <x v="190"/>
    <n v="0"/>
  </r>
  <r>
    <s v="U02502"/>
    <x v="13"/>
    <x v="0"/>
    <x v="0"/>
    <x v="1"/>
    <s v="Unemployed"/>
    <n v="2001.66"/>
    <n v="669.33"/>
    <n v="23383.62"/>
    <s v="Yes"/>
    <s v="Business"/>
    <n v="368768.82"/>
    <n v="360"/>
    <n v="2253.81"/>
    <n v="6.18"/>
    <n v="1.1299999999999999"/>
    <n v="718"/>
    <n v="0.97"/>
    <x v="0"/>
    <x v="191"/>
    <n v="1"/>
  </r>
  <r>
    <s v="U02561"/>
    <x v="9"/>
    <x v="1"/>
    <x v="3"/>
    <x v="1"/>
    <s v="Manager"/>
    <n v="3969.91"/>
    <n v="2492.2800000000002"/>
    <n v="42452.85"/>
    <s v="No"/>
    <s v="None"/>
    <n v="0"/>
    <n v="0"/>
    <n v="0"/>
    <n v="0"/>
    <n v="0"/>
    <n v="592"/>
    <n v="0.89"/>
    <x v="0"/>
    <x v="192"/>
    <n v="0"/>
  </r>
  <r>
    <s v="U02585"/>
    <x v="0"/>
    <x v="0"/>
    <x v="4"/>
    <x v="1"/>
    <s v="Teacher"/>
    <n v="5920.41"/>
    <n v="4368.07"/>
    <n v="46202.35"/>
    <s v="No"/>
    <s v="None"/>
    <n v="0"/>
    <n v="0"/>
    <n v="0"/>
    <n v="0"/>
    <n v="0"/>
    <n v="624"/>
    <n v="0.65"/>
    <x v="1"/>
    <x v="193"/>
    <n v="0"/>
  </r>
  <r>
    <s v="U02589"/>
    <x v="1"/>
    <x v="1"/>
    <x v="0"/>
    <x v="2"/>
    <s v="Unemployed"/>
    <n v="7843.63"/>
    <n v="4504.34"/>
    <n v="49022.7"/>
    <s v="Yes"/>
    <s v="Home"/>
    <n v="119821.38"/>
    <n v="360"/>
    <n v="657.21"/>
    <n v="5.19"/>
    <n v="0.08"/>
    <n v="652"/>
    <n v="0.52"/>
    <x v="4"/>
    <x v="70"/>
    <n v="0"/>
  </r>
  <r>
    <s v="U02592"/>
    <x v="11"/>
    <x v="1"/>
    <x v="3"/>
    <x v="1"/>
    <s v="Driver"/>
    <n v="2633.47"/>
    <n v="1447.38"/>
    <n v="14544.87"/>
    <s v="No"/>
    <s v="None"/>
    <n v="0"/>
    <n v="0"/>
    <n v="0"/>
    <n v="0"/>
    <n v="0"/>
    <n v="738"/>
    <n v="0.46"/>
    <x v="0"/>
    <x v="194"/>
    <n v="0"/>
  </r>
  <r>
    <s v="U02603"/>
    <x v="29"/>
    <x v="0"/>
    <x v="3"/>
    <x v="1"/>
    <s v="Doctor"/>
    <n v="6319.18"/>
    <n v="4512.2299999999996"/>
    <n v="32874.6"/>
    <s v="No"/>
    <s v="None"/>
    <n v="0"/>
    <n v="0"/>
    <n v="0"/>
    <n v="0"/>
    <n v="0"/>
    <n v="825"/>
    <n v="0.43"/>
    <x v="2"/>
    <x v="195"/>
    <n v="0"/>
  </r>
  <r>
    <s v="U02613"/>
    <x v="18"/>
    <x v="1"/>
    <x v="0"/>
    <x v="2"/>
    <s v="Engineer"/>
    <n v="2424.65"/>
    <n v="1685.49"/>
    <n v="11503.36"/>
    <s v="No"/>
    <s v="None"/>
    <n v="0"/>
    <n v="0"/>
    <n v="0"/>
    <n v="0"/>
    <n v="0"/>
    <n v="806"/>
    <n v="0.4"/>
    <x v="4"/>
    <x v="196"/>
    <n v="0"/>
  </r>
  <r>
    <s v="U02618"/>
    <x v="24"/>
    <x v="0"/>
    <x v="3"/>
    <x v="1"/>
    <s v="Teacher"/>
    <n v="7431.95"/>
    <n v="2320.9699999999998"/>
    <n v="34496.230000000003"/>
    <s v="No"/>
    <s v="None"/>
    <n v="0"/>
    <n v="0"/>
    <n v="0"/>
    <n v="0"/>
    <n v="0"/>
    <n v="617"/>
    <n v="0.39"/>
    <x v="1"/>
    <x v="197"/>
    <n v="0"/>
  </r>
  <r>
    <s v="U02622"/>
    <x v="32"/>
    <x v="0"/>
    <x v="0"/>
    <x v="0"/>
    <s v="Doctor"/>
    <n v="3460.82"/>
    <n v="2478.2600000000002"/>
    <n v="18144.41"/>
    <s v="No"/>
    <s v="None"/>
    <n v="0"/>
    <n v="0"/>
    <n v="0"/>
    <n v="0"/>
    <n v="0"/>
    <n v="801"/>
    <n v="0.44"/>
    <x v="1"/>
    <x v="198"/>
    <n v="0"/>
  </r>
  <r>
    <s v="U02652"/>
    <x v="48"/>
    <x v="0"/>
    <x v="2"/>
    <x v="1"/>
    <s v="Doctor"/>
    <n v="904.78"/>
    <n v="465.96"/>
    <n v="3272.46"/>
    <s v="No"/>
    <s v="None"/>
    <n v="0"/>
    <n v="0"/>
    <n v="0"/>
    <n v="0"/>
    <n v="0"/>
    <n v="435"/>
    <n v="0.3"/>
    <x v="2"/>
    <x v="199"/>
    <n v="0"/>
  </r>
  <r>
    <s v="U02685"/>
    <x v="19"/>
    <x v="1"/>
    <x v="0"/>
    <x v="0"/>
    <s v="Driver"/>
    <n v="4481.34"/>
    <n v="3248.12"/>
    <n v="15458.57"/>
    <s v="No"/>
    <s v="None"/>
    <n v="0"/>
    <n v="0"/>
    <n v="0"/>
    <n v="0"/>
    <n v="0"/>
    <n v="648"/>
    <n v="0.28999999999999998"/>
    <x v="4"/>
    <x v="200"/>
    <n v="0"/>
  </r>
  <r>
    <s v="U02707"/>
    <x v="35"/>
    <x v="0"/>
    <x v="0"/>
    <x v="1"/>
    <s v="Unemployed"/>
    <n v="2445.6799999999998"/>
    <n v="1531.9"/>
    <n v="18665.79"/>
    <s v="No"/>
    <s v="None"/>
    <n v="0"/>
    <n v="0"/>
    <n v="0"/>
    <n v="0"/>
    <n v="0"/>
    <n v="809"/>
    <n v="0.64"/>
    <x v="2"/>
    <x v="201"/>
    <n v="0"/>
  </r>
  <r>
    <s v="U02710"/>
    <x v="9"/>
    <x v="0"/>
    <x v="2"/>
    <x v="0"/>
    <s v="Engineer"/>
    <n v="7981.32"/>
    <n v="3075.13"/>
    <n v="32500.09"/>
    <s v="Yes"/>
    <s v="Home"/>
    <n v="361999.8"/>
    <n v="240"/>
    <n v="7907"/>
    <n v="26.06"/>
    <n v="0.99"/>
    <n v="684"/>
    <n v="0.34"/>
    <x v="0"/>
    <x v="202"/>
    <n v="1"/>
  </r>
  <r>
    <s v="U02711"/>
    <x v="27"/>
    <x v="1"/>
    <x v="2"/>
    <x v="1"/>
    <s v="Accountant"/>
    <n v="4676.3"/>
    <n v="2263.09"/>
    <n v="28783.759999999998"/>
    <s v="Yes"/>
    <s v="Home"/>
    <n v="424355.49"/>
    <n v="360"/>
    <n v="8360.2199999999993"/>
    <n v="23.62"/>
    <n v="1.79"/>
    <n v="603"/>
    <n v="0.51"/>
    <x v="1"/>
    <x v="67"/>
    <n v="1"/>
  </r>
  <r>
    <s v="U02723"/>
    <x v="50"/>
    <x v="0"/>
    <x v="0"/>
    <x v="0"/>
    <s v="Accountant"/>
    <n v="3525.57"/>
    <n v="3008.7"/>
    <n v="31872.3"/>
    <s v="No"/>
    <s v="None"/>
    <n v="0"/>
    <n v="0"/>
    <n v="0"/>
    <n v="0"/>
    <n v="0"/>
    <n v="821"/>
    <n v="0.75"/>
    <x v="1"/>
    <x v="66"/>
    <n v="0"/>
  </r>
  <r>
    <s v="U02726"/>
    <x v="30"/>
    <x v="1"/>
    <x v="3"/>
    <x v="1"/>
    <s v="Driver"/>
    <n v="3202.88"/>
    <n v="1132.1199999999999"/>
    <n v="25708.97"/>
    <s v="No"/>
    <s v="None"/>
    <n v="0"/>
    <n v="0"/>
    <n v="0"/>
    <n v="0"/>
    <n v="0"/>
    <n v="778"/>
    <n v="0.67"/>
    <x v="4"/>
    <x v="203"/>
    <n v="0"/>
  </r>
  <r>
    <s v="U02727"/>
    <x v="18"/>
    <x v="1"/>
    <x v="2"/>
    <x v="2"/>
    <s v="Manager"/>
    <n v="3580.81"/>
    <n v="2533.9899999999998"/>
    <n v="12122.67"/>
    <s v="No"/>
    <s v="None"/>
    <n v="0"/>
    <n v="0"/>
    <n v="0"/>
    <n v="0"/>
    <n v="0"/>
    <n v="509"/>
    <n v="0.28000000000000003"/>
    <x v="3"/>
    <x v="204"/>
    <n v="0"/>
  </r>
  <r>
    <s v="U02729"/>
    <x v="41"/>
    <x v="1"/>
    <x v="2"/>
    <x v="1"/>
    <s v="Driver"/>
    <n v="5320.59"/>
    <n v="3336.74"/>
    <n v="17546.2"/>
    <s v="No"/>
    <s v="None"/>
    <n v="0"/>
    <n v="0"/>
    <n v="0"/>
    <n v="0"/>
    <n v="0"/>
    <n v="449"/>
    <n v="0.27"/>
    <x v="2"/>
    <x v="205"/>
    <n v="0"/>
  </r>
  <r>
    <s v="U02746"/>
    <x v="50"/>
    <x v="0"/>
    <x v="3"/>
    <x v="1"/>
    <s v="Unemployed"/>
    <n v="7575.74"/>
    <n v="5501.39"/>
    <n v="34053.230000000003"/>
    <s v="No"/>
    <s v="None"/>
    <n v="0"/>
    <n v="0"/>
    <n v="0"/>
    <n v="0"/>
    <n v="0"/>
    <n v="676"/>
    <n v="0.37"/>
    <x v="3"/>
    <x v="102"/>
    <n v="0"/>
  </r>
  <r>
    <s v="U02783"/>
    <x v="11"/>
    <x v="1"/>
    <x v="3"/>
    <x v="1"/>
    <s v="Manager"/>
    <n v="5089.03"/>
    <n v="3502.44"/>
    <n v="57933.29"/>
    <s v="No"/>
    <s v="None"/>
    <n v="0"/>
    <n v="0"/>
    <n v="0"/>
    <n v="0"/>
    <n v="0"/>
    <n v="735"/>
    <n v="0.95"/>
    <x v="0"/>
    <x v="206"/>
    <n v="0"/>
  </r>
  <r>
    <s v="U02785"/>
    <x v="30"/>
    <x v="0"/>
    <x v="1"/>
    <x v="1"/>
    <s v="Manager"/>
    <n v="5208.58"/>
    <n v="2249.37"/>
    <n v="12477.32"/>
    <s v="No"/>
    <s v="None"/>
    <n v="0"/>
    <n v="0"/>
    <n v="0"/>
    <n v="0"/>
    <n v="0"/>
    <n v="313"/>
    <n v="0.2"/>
    <x v="4"/>
    <x v="207"/>
    <n v="0"/>
  </r>
  <r>
    <s v="U02791"/>
    <x v="15"/>
    <x v="1"/>
    <x v="2"/>
    <x v="0"/>
    <s v="Teacher"/>
    <n v="6888.66"/>
    <n v="4481.74"/>
    <n v="44843.55"/>
    <s v="No"/>
    <s v="None"/>
    <n v="0"/>
    <n v="0"/>
    <n v="0"/>
    <n v="0"/>
    <n v="0"/>
    <n v="797"/>
    <n v="0.54"/>
    <x v="3"/>
    <x v="208"/>
    <n v="0"/>
  </r>
  <r>
    <s v="U02793"/>
    <x v="17"/>
    <x v="0"/>
    <x v="0"/>
    <x v="1"/>
    <s v="Salesperson"/>
    <n v="2767.96"/>
    <n v="2162.4499999999998"/>
    <n v="21034.959999999999"/>
    <s v="No"/>
    <s v="None"/>
    <n v="0"/>
    <n v="0"/>
    <n v="0"/>
    <n v="0"/>
    <n v="0"/>
    <n v="693"/>
    <n v="0.63"/>
    <x v="1"/>
    <x v="209"/>
    <n v="0"/>
  </r>
  <r>
    <s v="U02819"/>
    <x v="51"/>
    <x v="0"/>
    <x v="3"/>
    <x v="0"/>
    <s v="Engineer"/>
    <n v="5669.63"/>
    <n v="1839.37"/>
    <n v="35901.21"/>
    <s v="No"/>
    <s v="None"/>
    <n v="0"/>
    <n v="0"/>
    <n v="0"/>
    <n v="0"/>
    <n v="0"/>
    <n v="450"/>
    <n v="0.53"/>
    <x v="3"/>
    <x v="210"/>
    <n v="0"/>
  </r>
  <r>
    <s v="U02823"/>
    <x v="7"/>
    <x v="0"/>
    <x v="3"/>
    <x v="1"/>
    <s v="Unemployed"/>
    <n v="3246.74"/>
    <n v="2791.05"/>
    <n v="26142.48"/>
    <s v="Yes"/>
    <s v="Car"/>
    <n v="50957.16"/>
    <n v="12"/>
    <n v="4876.88"/>
    <n v="26.36"/>
    <n v="1.5"/>
    <n v="649"/>
    <n v="0.67"/>
    <x v="4"/>
    <x v="211"/>
    <n v="1"/>
  </r>
  <r>
    <s v="U02840"/>
    <x v="20"/>
    <x v="0"/>
    <x v="0"/>
    <x v="2"/>
    <s v="Engineer"/>
    <n v="4584.84"/>
    <n v="2847.17"/>
    <n v="18125.330000000002"/>
    <s v="No"/>
    <s v="None"/>
    <n v="0"/>
    <n v="0"/>
    <n v="0"/>
    <n v="0"/>
    <n v="0"/>
    <n v="507"/>
    <n v="0.33"/>
    <x v="2"/>
    <x v="212"/>
    <n v="0"/>
  </r>
  <r>
    <s v="U02878"/>
    <x v="29"/>
    <x v="1"/>
    <x v="3"/>
    <x v="3"/>
    <s v="Doctor"/>
    <n v="6835.1"/>
    <n v="2124.5700000000002"/>
    <n v="11503.7"/>
    <s v="No"/>
    <s v="None"/>
    <n v="0"/>
    <n v="0"/>
    <n v="0"/>
    <n v="0"/>
    <n v="0"/>
    <n v="541"/>
    <n v="0.14000000000000001"/>
    <x v="0"/>
    <x v="213"/>
    <n v="0"/>
  </r>
  <r>
    <s v="U02886"/>
    <x v="21"/>
    <x v="0"/>
    <x v="0"/>
    <x v="0"/>
    <s v="Student"/>
    <n v="6777.76"/>
    <n v="5349.11"/>
    <n v="36539.22"/>
    <s v="Yes"/>
    <s v="Business"/>
    <n v="60487.07"/>
    <n v="60"/>
    <n v="1145.6300000000001"/>
    <n v="5.15"/>
    <n v="0.17"/>
    <n v="441"/>
    <n v="0.45"/>
    <x v="4"/>
    <x v="214"/>
    <n v="0"/>
  </r>
  <r>
    <s v="U02894"/>
    <x v="48"/>
    <x v="1"/>
    <x v="2"/>
    <x v="0"/>
    <s v="Student"/>
    <n v="2954.25"/>
    <n v="1946.36"/>
    <n v="25235.42"/>
    <s v="No"/>
    <s v="None"/>
    <n v="0"/>
    <n v="0"/>
    <n v="0"/>
    <n v="0"/>
    <n v="0"/>
    <n v="709"/>
    <n v="0.71"/>
    <x v="4"/>
    <x v="215"/>
    <n v="0"/>
  </r>
  <r>
    <s v="U02896"/>
    <x v="14"/>
    <x v="1"/>
    <x v="2"/>
    <x v="1"/>
    <s v="Doctor"/>
    <n v="500"/>
    <n v="300.91000000000003"/>
    <n v="3795.3"/>
    <s v="No"/>
    <s v="None"/>
    <n v="0"/>
    <n v="0"/>
    <n v="0"/>
    <n v="0"/>
    <n v="0"/>
    <n v="699"/>
    <n v="0.63"/>
    <x v="0"/>
    <x v="216"/>
    <n v="0"/>
  </r>
  <r>
    <s v="U02900"/>
    <x v="43"/>
    <x v="0"/>
    <x v="4"/>
    <x v="1"/>
    <s v="Salesperson"/>
    <n v="2859.78"/>
    <n v="894.59"/>
    <n v="15699.85"/>
    <s v="No"/>
    <s v="None"/>
    <n v="0"/>
    <n v="0"/>
    <n v="0"/>
    <n v="0"/>
    <n v="0"/>
    <n v="359"/>
    <n v="0.46"/>
    <x v="4"/>
    <x v="217"/>
    <n v="0"/>
  </r>
  <r>
    <s v="U02909"/>
    <x v="17"/>
    <x v="0"/>
    <x v="1"/>
    <x v="3"/>
    <s v="Driver"/>
    <n v="4669.6000000000004"/>
    <n v="3212.39"/>
    <n v="28038.21"/>
    <s v="Yes"/>
    <s v="Home"/>
    <n v="111489.47"/>
    <n v="120"/>
    <n v="1637.15"/>
    <n v="12.58"/>
    <n v="0.35"/>
    <n v="587"/>
    <n v="0.5"/>
    <x v="3"/>
    <x v="218"/>
    <n v="0"/>
  </r>
  <r>
    <s v="U02910"/>
    <x v="25"/>
    <x v="1"/>
    <x v="2"/>
    <x v="1"/>
    <s v="Manager"/>
    <n v="6606.72"/>
    <n v="4101.22"/>
    <n v="8734.24"/>
    <s v="No"/>
    <s v="None"/>
    <n v="0"/>
    <n v="0"/>
    <n v="0"/>
    <n v="0"/>
    <n v="0"/>
    <n v="400"/>
    <n v="0.11"/>
    <x v="3"/>
    <x v="219"/>
    <n v="0"/>
  </r>
  <r>
    <s v="U02922"/>
    <x v="39"/>
    <x v="0"/>
    <x v="2"/>
    <x v="0"/>
    <s v="Student"/>
    <n v="500"/>
    <n v="150.75"/>
    <n v="4874.7299999999996"/>
    <s v="No"/>
    <s v="None"/>
    <n v="0"/>
    <n v="0"/>
    <n v="0"/>
    <n v="0"/>
    <n v="0"/>
    <n v="391"/>
    <n v="0.81"/>
    <x v="4"/>
    <x v="220"/>
    <n v="0"/>
  </r>
  <r>
    <s v="U02935"/>
    <x v="12"/>
    <x v="0"/>
    <x v="3"/>
    <x v="1"/>
    <s v="Manager"/>
    <n v="6174.08"/>
    <n v="3328.8"/>
    <n v="16620.45"/>
    <s v="Yes"/>
    <s v="Home"/>
    <n v="372041"/>
    <n v="360"/>
    <n v="6606.26"/>
    <n v="21.27"/>
    <n v="1.07"/>
    <n v="815"/>
    <n v="0.22"/>
    <x v="0"/>
    <x v="221"/>
    <n v="1"/>
  </r>
  <r>
    <s v="U02951"/>
    <x v="41"/>
    <x v="0"/>
    <x v="0"/>
    <x v="1"/>
    <s v="Accountant"/>
    <n v="3418.21"/>
    <n v="2547.35"/>
    <n v="33753.370000000003"/>
    <s v="No"/>
    <s v="None"/>
    <n v="0"/>
    <n v="0"/>
    <n v="0"/>
    <n v="0"/>
    <n v="0"/>
    <n v="397"/>
    <n v="0.82"/>
    <x v="2"/>
    <x v="222"/>
    <n v="0"/>
  </r>
  <r>
    <s v="U02952"/>
    <x v="41"/>
    <x v="1"/>
    <x v="2"/>
    <x v="2"/>
    <s v="Unemployed"/>
    <n v="3031.62"/>
    <n v="2496.6"/>
    <n v="23915.200000000001"/>
    <s v="No"/>
    <s v="None"/>
    <n v="0"/>
    <n v="0"/>
    <n v="0"/>
    <n v="0"/>
    <n v="0"/>
    <n v="814"/>
    <n v="0.66"/>
    <x v="0"/>
    <x v="223"/>
    <n v="0"/>
  </r>
  <r>
    <s v="U02968"/>
    <x v="16"/>
    <x v="0"/>
    <x v="4"/>
    <x v="1"/>
    <s v="Student"/>
    <n v="1456.92"/>
    <n v="780.14"/>
    <n v="5919.71"/>
    <s v="No"/>
    <s v="None"/>
    <n v="0"/>
    <n v="0"/>
    <n v="0"/>
    <n v="0"/>
    <n v="0"/>
    <n v="372"/>
    <n v="0.34"/>
    <x v="2"/>
    <x v="224"/>
    <n v="0"/>
  </r>
  <r>
    <s v="U02993"/>
    <x v="38"/>
    <x v="0"/>
    <x v="2"/>
    <x v="2"/>
    <s v="Unemployed"/>
    <n v="3466.74"/>
    <n v="2846.32"/>
    <n v="16376.97"/>
    <s v="No"/>
    <s v="None"/>
    <n v="0"/>
    <n v="0"/>
    <n v="0"/>
    <n v="0"/>
    <n v="0"/>
    <n v="537"/>
    <n v="0.39"/>
    <x v="0"/>
    <x v="166"/>
    <n v="0"/>
  </r>
  <r>
    <s v="U03005"/>
    <x v="15"/>
    <x v="1"/>
    <x v="2"/>
    <x v="2"/>
    <s v="Accountant"/>
    <n v="7122.5"/>
    <n v="2464.08"/>
    <n v="68570.66"/>
    <s v="Yes"/>
    <s v="Car"/>
    <n v="63582.21"/>
    <n v="120"/>
    <n v="1403.2"/>
    <n v="24.03"/>
    <n v="0.2"/>
    <n v="794"/>
    <n v="0.8"/>
    <x v="4"/>
    <x v="185"/>
    <n v="0"/>
  </r>
  <r>
    <s v="U03006"/>
    <x v="6"/>
    <x v="0"/>
    <x v="2"/>
    <x v="1"/>
    <s v="Salesperson"/>
    <n v="3443.25"/>
    <n v="1557.12"/>
    <n v="37971.269999999997"/>
    <s v="No"/>
    <s v="None"/>
    <n v="0"/>
    <n v="0"/>
    <n v="0"/>
    <n v="0"/>
    <n v="0"/>
    <n v="473"/>
    <n v="0.92"/>
    <x v="4"/>
    <x v="225"/>
    <n v="0"/>
  </r>
  <r>
    <s v="U03015"/>
    <x v="9"/>
    <x v="1"/>
    <x v="3"/>
    <x v="1"/>
    <s v="Salesperson"/>
    <n v="7297.57"/>
    <n v="4235.99"/>
    <n v="23690.6"/>
    <s v="No"/>
    <s v="None"/>
    <n v="0"/>
    <n v="0"/>
    <n v="0"/>
    <n v="0"/>
    <n v="0"/>
    <n v="517"/>
    <n v="0.27"/>
    <x v="4"/>
    <x v="226"/>
    <n v="0"/>
  </r>
  <r>
    <s v="U03018"/>
    <x v="9"/>
    <x v="2"/>
    <x v="3"/>
    <x v="1"/>
    <s v="Student"/>
    <n v="2749.77"/>
    <n v="2273.4499999999998"/>
    <n v="7861.34"/>
    <s v="Yes"/>
    <s v="Car"/>
    <n v="156917.96"/>
    <n v="60"/>
    <n v="3424.31"/>
    <n v="11.16"/>
    <n v="1.25"/>
    <n v="509"/>
    <n v="0.24"/>
    <x v="0"/>
    <x v="19"/>
    <n v="1"/>
  </r>
  <r>
    <s v="U03028"/>
    <x v="11"/>
    <x v="0"/>
    <x v="2"/>
    <x v="1"/>
    <s v="Salesperson"/>
    <n v="4078.71"/>
    <n v="1976.94"/>
    <n v="25278.6"/>
    <s v="No"/>
    <s v="None"/>
    <n v="0"/>
    <n v="0"/>
    <n v="0"/>
    <n v="0"/>
    <n v="0"/>
    <n v="445"/>
    <n v="0.52"/>
    <x v="4"/>
    <x v="227"/>
    <n v="0"/>
  </r>
  <r>
    <s v="U03039"/>
    <x v="3"/>
    <x v="1"/>
    <x v="4"/>
    <x v="1"/>
    <s v="Student"/>
    <n v="2707.98"/>
    <n v="993.48"/>
    <n v="18107.57"/>
    <s v="No"/>
    <s v="None"/>
    <n v="0"/>
    <n v="0"/>
    <n v="0"/>
    <n v="0"/>
    <n v="0"/>
    <n v="636"/>
    <n v="0.56000000000000005"/>
    <x v="3"/>
    <x v="76"/>
    <n v="0"/>
  </r>
  <r>
    <s v="U03056"/>
    <x v="8"/>
    <x v="1"/>
    <x v="3"/>
    <x v="1"/>
    <s v="Engineer"/>
    <n v="5763.45"/>
    <n v="4571.72"/>
    <n v="24967.95"/>
    <s v="Yes"/>
    <s v="Home"/>
    <n v="90235.76"/>
    <n v="120"/>
    <n v="1427.77"/>
    <n v="14.49"/>
    <n v="0.25"/>
    <n v="442"/>
    <n v="0.36"/>
    <x v="3"/>
    <x v="143"/>
    <n v="0"/>
  </r>
  <r>
    <s v="U03060"/>
    <x v="47"/>
    <x v="0"/>
    <x v="0"/>
    <x v="0"/>
    <s v="Teacher"/>
    <n v="5457.64"/>
    <n v="3231.92"/>
    <n v="48243.21"/>
    <s v="No"/>
    <s v="None"/>
    <n v="0"/>
    <n v="0"/>
    <n v="0"/>
    <n v="0"/>
    <n v="0"/>
    <n v="781"/>
    <n v="0.74"/>
    <x v="4"/>
    <x v="228"/>
    <n v="0"/>
  </r>
  <r>
    <s v="U03092"/>
    <x v="45"/>
    <x v="0"/>
    <x v="2"/>
    <x v="2"/>
    <s v="Engineer"/>
    <n v="1759.47"/>
    <n v="1521.69"/>
    <n v="15294.39"/>
    <s v="Yes"/>
    <s v="Home"/>
    <n v="42800.83"/>
    <n v="240"/>
    <n v="754.08"/>
    <n v="20.8"/>
    <n v="0.43"/>
    <n v="668"/>
    <n v="0.72"/>
    <x v="1"/>
    <x v="229"/>
    <n v="1"/>
  </r>
  <r>
    <s v="U03115"/>
    <x v="4"/>
    <x v="0"/>
    <x v="0"/>
    <x v="1"/>
    <s v="Salesperson"/>
    <n v="2687.8"/>
    <n v="887.41"/>
    <n v="17789.59"/>
    <s v="Yes"/>
    <s v="Business"/>
    <n v="40176.21"/>
    <n v="240"/>
    <n v="471.84"/>
    <n v="13.04"/>
    <n v="0.18"/>
    <n v="493"/>
    <n v="0.55000000000000004"/>
    <x v="1"/>
    <x v="230"/>
    <n v="0"/>
  </r>
  <r>
    <s v="U03116"/>
    <x v="16"/>
    <x v="1"/>
    <x v="3"/>
    <x v="3"/>
    <s v="Salesperson"/>
    <n v="2955.6"/>
    <n v="1446.95"/>
    <n v="9538.82"/>
    <s v="No"/>
    <s v="None"/>
    <n v="0"/>
    <n v="0"/>
    <n v="0"/>
    <n v="0"/>
    <n v="0"/>
    <n v="455"/>
    <n v="0.27"/>
    <x v="2"/>
    <x v="231"/>
    <n v="0"/>
  </r>
  <r>
    <s v="U03128"/>
    <x v="3"/>
    <x v="1"/>
    <x v="0"/>
    <x v="1"/>
    <s v="Doctor"/>
    <n v="8228.11"/>
    <n v="3760.74"/>
    <n v="42203.76"/>
    <s v="No"/>
    <s v="None"/>
    <n v="0"/>
    <n v="0"/>
    <n v="0"/>
    <n v="0"/>
    <n v="0"/>
    <n v="581"/>
    <n v="0.43"/>
    <x v="3"/>
    <x v="232"/>
    <n v="0"/>
  </r>
  <r>
    <s v="U03130"/>
    <x v="45"/>
    <x v="0"/>
    <x v="3"/>
    <x v="1"/>
    <s v="Salesperson"/>
    <n v="5428.39"/>
    <n v="2703.17"/>
    <n v="14097.1"/>
    <s v="No"/>
    <s v="None"/>
    <n v="0"/>
    <n v="0"/>
    <n v="0"/>
    <n v="0"/>
    <n v="0"/>
    <n v="326"/>
    <n v="0.22"/>
    <x v="3"/>
    <x v="233"/>
    <n v="0"/>
  </r>
  <r>
    <s v="U03166"/>
    <x v="8"/>
    <x v="0"/>
    <x v="0"/>
    <x v="1"/>
    <s v="Driver"/>
    <n v="8043.4"/>
    <n v="7136.26"/>
    <n v="33534.089999999997"/>
    <s v="No"/>
    <s v="None"/>
    <n v="0"/>
    <n v="0"/>
    <n v="0"/>
    <n v="0"/>
    <n v="0"/>
    <n v="381"/>
    <n v="0.35"/>
    <x v="0"/>
    <x v="234"/>
    <n v="0"/>
  </r>
  <r>
    <s v="U03214"/>
    <x v="45"/>
    <x v="0"/>
    <x v="3"/>
    <x v="1"/>
    <s v="Student"/>
    <n v="2347.42"/>
    <n v="1719.45"/>
    <n v="25518.67"/>
    <s v="Yes"/>
    <s v="Home"/>
    <n v="20837.03"/>
    <n v="36"/>
    <n v="871.94"/>
    <n v="28.89"/>
    <n v="0.37"/>
    <n v="763"/>
    <n v="0.91"/>
    <x v="4"/>
    <x v="235"/>
    <n v="0"/>
  </r>
  <r>
    <s v="U03253"/>
    <x v="32"/>
    <x v="0"/>
    <x v="0"/>
    <x v="0"/>
    <s v="Accountant"/>
    <n v="6403.72"/>
    <n v="5748.35"/>
    <n v="41817.699999999997"/>
    <s v="No"/>
    <s v="None"/>
    <n v="0"/>
    <n v="0"/>
    <n v="0"/>
    <n v="0"/>
    <n v="0"/>
    <n v="813"/>
    <n v="0.54"/>
    <x v="1"/>
    <x v="236"/>
    <n v="0"/>
  </r>
  <r>
    <s v="U03259"/>
    <x v="27"/>
    <x v="1"/>
    <x v="3"/>
    <x v="1"/>
    <s v="Manager"/>
    <n v="2219.86"/>
    <n v="1607.03"/>
    <n v="22243.64"/>
    <s v="No"/>
    <s v="None"/>
    <n v="0"/>
    <n v="0"/>
    <n v="0"/>
    <n v="0"/>
    <n v="0"/>
    <n v="482"/>
    <n v="0.84"/>
    <x v="1"/>
    <x v="237"/>
    <n v="0"/>
  </r>
  <r>
    <s v="U03291"/>
    <x v="16"/>
    <x v="0"/>
    <x v="3"/>
    <x v="2"/>
    <s v="Doctor"/>
    <n v="4876.7299999999996"/>
    <n v="1650.75"/>
    <n v="46439.69"/>
    <s v="No"/>
    <s v="None"/>
    <n v="0"/>
    <n v="0"/>
    <n v="0"/>
    <n v="0"/>
    <n v="0"/>
    <n v="312"/>
    <n v="0.79"/>
    <x v="2"/>
    <x v="238"/>
    <n v="0"/>
  </r>
  <r>
    <s v="U03293"/>
    <x v="14"/>
    <x v="1"/>
    <x v="0"/>
    <x v="0"/>
    <s v="Unemployed"/>
    <n v="4670.42"/>
    <n v="1873.47"/>
    <n v="22327.39"/>
    <s v="Yes"/>
    <s v="Car"/>
    <n v="397702.19"/>
    <n v="180"/>
    <n v="8669.24"/>
    <n v="25.57"/>
    <n v="1.86"/>
    <n v="595"/>
    <n v="0.4"/>
    <x v="2"/>
    <x v="239"/>
    <n v="1"/>
  </r>
  <r>
    <s v="U03300"/>
    <x v="21"/>
    <x v="1"/>
    <x v="3"/>
    <x v="1"/>
    <s v="Accountant"/>
    <n v="3120.28"/>
    <n v="1835.58"/>
    <n v="31826.94"/>
    <s v="No"/>
    <s v="None"/>
    <n v="0"/>
    <n v="0"/>
    <n v="0"/>
    <n v="0"/>
    <n v="0"/>
    <n v="504"/>
    <n v="0.85"/>
    <x v="3"/>
    <x v="240"/>
    <n v="0"/>
  </r>
  <r>
    <s v="U03313"/>
    <x v="41"/>
    <x v="0"/>
    <x v="3"/>
    <x v="2"/>
    <s v="Driver"/>
    <n v="4049.29"/>
    <n v="1650.67"/>
    <n v="27336.46"/>
    <s v="No"/>
    <s v="None"/>
    <n v="0"/>
    <n v="0"/>
    <n v="0"/>
    <n v="0"/>
    <n v="0"/>
    <n v="340"/>
    <n v="0.56000000000000005"/>
    <x v="1"/>
    <x v="139"/>
    <n v="0"/>
  </r>
  <r>
    <s v="U03326"/>
    <x v="4"/>
    <x v="1"/>
    <x v="2"/>
    <x v="1"/>
    <s v="Salesperson"/>
    <n v="1925.68"/>
    <n v="1668.98"/>
    <n v="7618.9"/>
    <s v="No"/>
    <s v="None"/>
    <n v="0"/>
    <n v="0"/>
    <n v="0"/>
    <n v="0"/>
    <n v="0"/>
    <n v="466"/>
    <n v="0.33"/>
    <x v="0"/>
    <x v="137"/>
    <n v="0"/>
  </r>
  <r>
    <s v="U03327"/>
    <x v="27"/>
    <x v="0"/>
    <x v="1"/>
    <x v="3"/>
    <s v="Engineer"/>
    <n v="4852.4799999999996"/>
    <n v="1534.15"/>
    <n v="15524.43"/>
    <s v="No"/>
    <s v="None"/>
    <n v="0"/>
    <n v="0"/>
    <n v="0"/>
    <n v="0"/>
    <n v="0"/>
    <n v="707"/>
    <n v="0.27"/>
    <x v="0"/>
    <x v="241"/>
    <n v="0"/>
  </r>
  <r>
    <s v="U03330"/>
    <x v="43"/>
    <x v="1"/>
    <x v="2"/>
    <x v="2"/>
    <s v="Manager"/>
    <n v="3625.81"/>
    <n v="1342.86"/>
    <n v="29430.69"/>
    <s v="Yes"/>
    <s v="Car"/>
    <n v="205369.5"/>
    <n v="120"/>
    <n v="2661.93"/>
    <n v="9.5399999999999991"/>
    <n v="0.73"/>
    <n v="485"/>
    <n v="0.68"/>
    <x v="3"/>
    <x v="164"/>
    <n v="1"/>
  </r>
  <r>
    <s v="U03331"/>
    <x v="13"/>
    <x v="0"/>
    <x v="2"/>
    <x v="1"/>
    <s v="Engineer"/>
    <n v="4427.24"/>
    <n v="3402.52"/>
    <n v="24548.31"/>
    <s v="No"/>
    <s v="None"/>
    <n v="0"/>
    <n v="0"/>
    <n v="0"/>
    <n v="0"/>
    <n v="0"/>
    <n v="543"/>
    <n v="0.46"/>
    <x v="3"/>
    <x v="92"/>
    <n v="0"/>
  </r>
  <r>
    <s v="U03332"/>
    <x v="41"/>
    <x v="1"/>
    <x v="3"/>
    <x v="1"/>
    <s v="Salesperson"/>
    <n v="3708.67"/>
    <n v="2665.68"/>
    <n v="35984.68"/>
    <s v="No"/>
    <s v="None"/>
    <n v="0"/>
    <n v="0"/>
    <n v="0"/>
    <n v="0"/>
    <n v="0"/>
    <n v="424"/>
    <n v="0.81"/>
    <x v="0"/>
    <x v="242"/>
    <n v="0"/>
  </r>
  <r>
    <s v="U03355"/>
    <x v="45"/>
    <x v="0"/>
    <x v="3"/>
    <x v="1"/>
    <s v="Doctor"/>
    <n v="2415.4"/>
    <n v="890.5"/>
    <n v="13130.42"/>
    <s v="No"/>
    <s v="None"/>
    <n v="0"/>
    <n v="0"/>
    <n v="0"/>
    <n v="0"/>
    <n v="0"/>
    <n v="517"/>
    <n v="0.45"/>
    <x v="2"/>
    <x v="219"/>
    <n v="0"/>
  </r>
  <r>
    <s v="U03372"/>
    <x v="43"/>
    <x v="0"/>
    <x v="0"/>
    <x v="1"/>
    <s v="Teacher"/>
    <n v="5258.8"/>
    <n v="1612.95"/>
    <n v="39073.120000000003"/>
    <s v="No"/>
    <s v="None"/>
    <n v="0"/>
    <n v="0"/>
    <n v="0"/>
    <n v="0"/>
    <n v="0"/>
    <n v="318"/>
    <n v="0.62"/>
    <x v="0"/>
    <x v="243"/>
    <n v="0"/>
  </r>
  <r>
    <s v="U03374"/>
    <x v="46"/>
    <x v="2"/>
    <x v="2"/>
    <x v="1"/>
    <s v="Engineer"/>
    <n v="3394.37"/>
    <n v="2995.76"/>
    <n v="20119.72"/>
    <s v="No"/>
    <s v="None"/>
    <n v="0"/>
    <n v="0"/>
    <n v="0"/>
    <n v="0"/>
    <n v="0"/>
    <n v="736"/>
    <n v="0.49"/>
    <x v="1"/>
    <x v="244"/>
    <n v="0"/>
  </r>
  <r>
    <s v="U03375"/>
    <x v="5"/>
    <x v="0"/>
    <x v="3"/>
    <x v="3"/>
    <s v="Driver"/>
    <n v="4203.46"/>
    <n v="1908.11"/>
    <n v="17581.68"/>
    <s v="Yes"/>
    <s v="Home"/>
    <n v="204906.25"/>
    <n v="36"/>
    <n v="6288.57"/>
    <n v="6.59"/>
    <n v="1.5"/>
    <n v="411"/>
    <n v="0.35"/>
    <x v="3"/>
    <x v="245"/>
    <n v="1"/>
  </r>
  <r>
    <s v="U03386"/>
    <x v="9"/>
    <x v="0"/>
    <x v="4"/>
    <x v="1"/>
    <s v="Student"/>
    <n v="5944.03"/>
    <n v="4404.29"/>
    <n v="56695.74"/>
    <s v="No"/>
    <s v="None"/>
    <n v="0"/>
    <n v="0"/>
    <n v="0"/>
    <n v="0"/>
    <n v="0"/>
    <n v="518"/>
    <n v="0.79"/>
    <x v="1"/>
    <x v="226"/>
    <n v="0"/>
  </r>
  <r>
    <s v="U03387"/>
    <x v="47"/>
    <x v="0"/>
    <x v="2"/>
    <x v="1"/>
    <s v="Accountant"/>
    <n v="3574.34"/>
    <n v="1074.46"/>
    <n v="15057.11"/>
    <s v="No"/>
    <s v="None"/>
    <n v="0"/>
    <n v="0"/>
    <n v="0"/>
    <n v="0"/>
    <n v="0"/>
    <n v="707"/>
    <n v="0.35"/>
    <x v="1"/>
    <x v="246"/>
    <n v="0"/>
  </r>
  <r>
    <s v="U03393"/>
    <x v="4"/>
    <x v="1"/>
    <x v="1"/>
    <x v="1"/>
    <s v="Driver"/>
    <n v="7022.65"/>
    <n v="4438.96"/>
    <n v="11354.29"/>
    <s v="No"/>
    <s v="None"/>
    <n v="0"/>
    <n v="0"/>
    <n v="0"/>
    <n v="0"/>
    <n v="0"/>
    <n v="331"/>
    <n v="0.13"/>
    <x v="4"/>
    <x v="247"/>
    <n v="0"/>
  </r>
  <r>
    <s v="U03395"/>
    <x v="43"/>
    <x v="1"/>
    <x v="3"/>
    <x v="3"/>
    <s v="Manager"/>
    <n v="601.96"/>
    <n v="458.04"/>
    <n v="2745.14"/>
    <s v="No"/>
    <s v="None"/>
    <n v="0"/>
    <n v="0"/>
    <n v="0"/>
    <n v="0"/>
    <n v="0"/>
    <n v="550"/>
    <n v="0.38"/>
    <x v="4"/>
    <x v="248"/>
    <n v="0"/>
  </r>
  <r>
    <s v="U03410"/>
    <x v="15"/>
    <x v="1"/>
    <x v="3"/>
    <x v="1"/>
    <s v="Driver"/>
    <n v="3231.21"/>
    <n v="1846.24"/>
    <n v="28030.93"/>
    <s v="No"/>
    <s v="None"/>
    <n v="0"/>
    <n v="0"/>
    <n v="0"/>
    <n v="0"/>
    <n v="0"/>
    <n v="402"/>
    <n v="0.72"/>
    <x v="4"/>
    <x v="249"/>
    <n v="0"/>
  </r>
  <r>
    <s v="U03423"/>
    <x v="27"/>
    <x v="0"/>
    <x v="3"/>
    <x v="1"/>
    <s v="Accountant"/>
    <n v="2497.5"/>
    <n v="1027.48"/>
    <n v="16417.330000000002"/>
    <s v="No"/>
    <s v="None"/>
    <n v="0"/>
    <n v="0"/>
    <n v="0"/>
    <n v="0"/>
    <n v="0"/>
    <n v="665"/>
    <n v="0.55000000000000004"/>
    <x v="3"/>
    <x v="250"/>
    <n v="0"/>
  </r>
  <r>
    <s v="U03425"/>
    <x v="42"/>
    <x v="1"/>
    <x v="3"/>
    <x v="1"/>
    <s v="Doctor"/>
    <n v="4241.3500000000004"/>
    <n v="1605.35"/>
    <n v="32222.09"/>
    <s v="Yes"/>
    <s v="Car"/>
    <n v="178806.82"/>
    <n v="360"/>
    <n v="2788.32"/>
    <n v="18.64"/>
    <n v="0.66"/>
    <n v="712"/>
    <n v="0.63"/>
    <x v="3"/>
    <x v="251"/>
    <n v="1"/>
  </r>
  <r>
    <s v="U03431"/>
    <x v="0"/>
    <x v="0"/>
    <x v="2"/>
    <x v="3"/>
    <s v="Engineer"/>
    <n v="3144.67"/>
    <n v="1347.12"/>
    <n v="19762.79"/>
    <s v="No"/>
    <s v="None"/>
    <n v="0"/>
    <n v="0"/>
    <n v="0"/>
    <n v="0"/>
    <n v="0"/>
    <n v="603"/>
    <n v="0.52"/>
    <x v="0"/>
    <x v="252"/>
    <n v="0"/>
  </r>
  <r>
    <s v="U03443"/>
    <x v="12"/>
    <x v="1"/>
    <x v="0"/>
    <x v="1"/>
    <s v="Driver"/>
    <n v="4381.1499999999996"/>
    <n v="3137.4"/>
    <n v="6213.32"/>
    <s v="No"/>
    <s v="None"/>
    <n v="0"/>
    <n v="0"/>
    <n v="0"/>
    <n v="0"/>
    <n v="0"/>
    <n v="673"/>
    <n v="0.12"/>
    <x v="2"/>
    <x v="253"/>
    <n v="0"/>
  </r>
  <r>
    <s v="U03447"/>
    <x v="14"/>
    <x v="0"/>
    <x v="3"/>
    <x v="1"/>
    <s v="Manager"/>
    <n v="4376.8999999999996"/>
    <n v="2087.66"/>
    <n v="8879.6"/>
    <s v="No"/>
    <s v="None"/>
    <n v="0"/>
    <n v="0"/>
    <n v="0"/>
    <n v="0"/>
    <n v="0"/>
    <n v="667"/>
    <n v="0.17"/>
    <x v="3"/>
    <x v="254"/>
    <n v="0"/>
  </r>
  <r>
    <s v="U03453"/>
    <x v="11"/>
    <x v="0"/>
    <x v="2"/>
    <x v="1"/>
    <s v="Manager"/>
    <n v="3640.29"/>
    <n v="3162.53"/>
    <n v="10092.700000000001"/>
    <s v="No"/>
    <s v="None"/>
    <n v="0"/>
    <n v="0"/>
    <n v="0"/>
    <n v="0"/>
    <n v="0"/>
    <n v="592"/>
    <n v="0.23"/>
    <x v="2"/>
    <x v="255"/>
    <n v="0"/>
  </r>
  <r>
    <s v="U03454"/>
    <x v="0"/>
    <x v="1"/>
    <x v="0"/>
    <x v="0"/>
    <s v="Salesperson"/>
    <n v="6297.61"/>
    <n v="3949.2"/>
    <n v="17820.47"/>
    <s v="Yes"/>
    <s v="Home"/>
    <n v="290122.01"/>
    <n v="240"/>
    <n v="7260.53"/>
    <n v="29.95"/>
    <n v="1.1499999999999999"/>
    <n v="796"/>
    <n v="0.24"/>
    <x v="0"/>
    <x v="256"/>
    <n v="1"/>
  </r>
  <r>
    <s v="U03459"/>
    <x v="36"/>
    <x v="1"/>
    <x v="3"/>
    <x v="1"/>
    <s v="Student"/>
    <n v="2455.65"/>
    <n v="1294.93"/>
    <n v="6645.5"/>
    <s v="Yes"/>
    <s v="Education"/>
    <n v="49616.06"/>
    <n v="36"/>
    <n v="1764.75"/>
    <n v="16.829999999999998"/>
    <n v="0.72"/>
    <n v="364"/>
    <n v="0.23"/>
    <x v="2"/>
    <x v="257"/>
    <n v="1"/>
  </r>
  <r>
    <s v="U03483"/>
    <x v="41"/>
    <x v="1"/>
    <x v="4"/>
    <x v="1"/>
    <s v="Doctor"/>
    <n v="5626.4"/>
    <n v="2979.85"/>
    <n v="13647.96"/>
    <s v="Yes"/>
    <s v="Education"/>
    <n v="53132.93"/>
    <n v="36"/>
    <n v="1727.95"/>
    <n v="10.54"/>
    <n v="0.31"/>
    <n v="556"/>
    <n v="0.2"/>
    <x v="2"/>
    <x v="258"/>
    <n v="0"/>
  </r>
  <r>
    <s v="U03488"/>
    <x v="12"/>
    <x v="0"/>
    <x v="3"/>
    <x v="1"/>
    <s v="Salesperson"/>
    <n v="4399.59"/>
    <n v="3646.82"/>
    <n v="17241.830000000002"/>
    <s v="Yes"/>
    <s v="Home"/>
    <n v="347568.84"/>
    <n v="180"/>
    <n v="3402.3"/>
    <n v="8.4"/>
    <n v="0.77"/>
    <n v="564"/>
    <n v="0.33"/>
    <x v="0"/>
    <x v="259"/>
    <n v="1"/>
  </r>
  <r>
    <s v="U03492"/>
    <x v="3"/>
    <x v="1"/>
    <x v="3"/>
    <x v="2"/>
    <s v="Manager"/>
    <n v="1226.31"/>
    <n v="496.88"/>
    <n v="10523.19"/>
    <s v="No"/>
    <s v="None"/>
    <n v="0"/>
    <n v="0"/>
    <n v="0"/>
    <n v="0"/>
    <n v="0"/>
    <n v="372"/>
    <n v="0.72"/>
    <x v="0"/>
    <x v="260"/>
    <n v="0"/>
  </r>
  <r>
    <s v="U03495"/>
    <x v="23"/>
    <x v="1"/>
    <x v="0"/>
    <x v="1"/>
    <s v="Accountant"/>
    <n v="2556.1"/>
    <n v="1241.72"/>
    <n v="7402.42"/>
    <s v="No"/>
    <s v="None"/>
    <n v="0"/>
    <n v="0"/>
    <n v="0"/>
    <n v="0"/>
    <n v="0"/>
    <n v="492"/>
    <n v="0.24"/>
    <x v="0"/>
    <x v="261"/>
    <n v="0"/>
  </r>
  <r>
    <s v="U03506"/>
    <x v="4"/>
    <x v="1"/>
    <x v="2"/>
    <x v="1"/>
    <s v="Driver"/>
    <n v="2742.92"/>
    <n v="2123.09"/>
    <n v="10129.77"/>
    <s v="No"/>
    <s v="None"/>
    <n v="0"/>
    <n v="0"/>
    <n v="0"/>
    <n v="0"/>
    <n v="0"/>
    <n v="612"/>
    <n v="0.31"/>
    <x v="4"/>
    <x v="262"/>
    <n v="0"/>
  </r>
  <r>
    <s v="U03507"/>
    <x v="33"/>
    <x v="1"/>
    <x v="4"/>
    <x v="1"/>
    <s v="Driver"/>
    <n v="2715.07"/>
    <n v="1650.66"/>
    <n v="31901.93"/>
    <s v="No"/>
    <s v="None"/>
    <n v="0"/>
    <n v="0"/>
    <n v="0"/>
    <n v="0"/>
    <n v="0"/>
    <n v="585"/>
    <n v="0.98"/>
    <x v="3"/>
    <x v="263"/>
    <n v="0"/>
  </r>
  <r>
    <s v="U03508"/>
    <x v="34"/>
    <x v="0"/>
    <x v="3"/>
    <x v="1"/>
    <s v="Unemployed"/>
    <n v="4815.22"/>
    <n v="1788.7"/>
    <n v="10260.36"/>
    <s v="Yes"/>
    <s v="Home"/>
    <n v="421564.61"/>
    <n v="300"/>
    <n v="9336.7900000000009"/>
    <n v="26.54"/>
    <n v="1.94"/>
    <n v="800"/>
    <n v="0.18"/>
    <x v="0"/>
    <x v="264"/>
    <n v="1"/>
  </r>
  <r>
    <s v="U03509"/>
    <x v="32"/>
    <x v="1"/>
    <x v="2"/>
    <x v="0"/>
    <s v="Doctor"/>
    <n v="500"/>
    <n v="317.56"/>
    <n v="4529.96"/>
    <s v="No"/>
    <s v="None"/>
    <n v="0"/>
    <n v="0"/>
    <n v="0"/>
    <n v="0"/>
    <n v="0"/>
    <n v="712"/>
    <n v="0.75"/>
    <x v="0"/>
    <x v="265"/>
    <n v="0"/>
  </r>
  <r>
    <s v="U03510"/>
    <x v="4"/>
    <x v="0"/>
    <x v="3"/>
    <x v="1"/>
    <s v="Manager"/>
    <n v="3319.87"/>
    <n v="1110.6500000000001"/>
    <n v="30443.17"/>
    <s v="No"/>
    <s v="None"/>
    <n v="0"/>
    <n v="0"/>
    <n v="0"/>
    <n v="0"/>
    <n v="0"/>
    <n v="480"/>
    <n v="0.76"/>
    <x v="1"/>
    <x v="266"/>
    <n v="0"/>
  </r>
  <r>
    <s v="U03515"/>
    <x v="41"/>
    <x v="0"/>
    <x v="3"/>
    <x v="1"/>
    <s v="Driver"/>
    <n v="4382.6499999999996"/>
    <n v="3129.69"/>
    <n v="20640.71"/>
    <s v="No"/>
    <s v="None"/>
    <n v="0"/>
    <n v="0"/>
    <n v="0"/>
    <n v="0"/>
    <n v="0"/>
    <n v="414"/>
    <n v="0.39"/>
    <x v="3"/>
    <x v="188"/>
    <n v="0"/>
  </r>
  <r>
    <s v="U03521"/>
    <x v="21"/>
    <x v="1"/>
    <x v="3"/>
    <x v="2"/>
    <s v="Salesperson"/>
    <n v="3380.53"/>
    <n v="1915.8"/>
    <n v="38223.1"/>
    <s v="No"/>
    <s v="None"/>
    <n v="0"/>
    <n v="0"/>
    <n v="0"/>
    <n v="0"/>
    <n v="0"/>
    <n v="629"/>
    <n v="0.94"/>
    <x v="1"/>
    <x v="267"/>
    <n v="0"/>
  </r>
  <r>
    <s v="U03533"/>
    <x v="39"/>
    <x v="1"/>
    <x v="0"/>
    <x v="1"/>
    <s v="Doctor"/>
    <n v="2966.52"/>
    <n v="1226.6300000000001"/>
    <n v="12123.71"/>
    <s v="Yes"/>
    <s v="Education"/>
    <n v="304835.55"/>
    <n v="120"/>
    <n v="3508.06"/>
    <n v="6.8"/>
    <n v="1.18"/>
    <n v="823"/>
    <n v="0.34"/>
    <x v="1"/>
    <x v="268"/>
    <n v="1"/>
  </r>
  <r>
    <s v="U03542"/>
    <x v="25"/>
    <x v="2"/>
    <x v="2"/>
    <x v="2"/>
    <s v="Doctor"/>
    <n v="4559.57"/>
    <n v="4097.93"/>
    <n v="48987.19"/>
    <s v="No"/>
    <s v="None"/>
    <n v="0"/>
    <n v="0"/>
    <n v="0"/>
    <n v="0"/>
    <n v="0"/>
    <n v="394"/>
    <n v="0.9"/>
    <x v="0"/>
    <x v="241"/>
    <n v="0"/>
  </r>
  <r>
    <s v="U03546"/>
    <x v="49"/>
    <x v="0"/>
    <x v="0"/>
    <x v="1"/>
    <s v="Engineer"/>
    <n v="4200.8599999999997"/>
    <n v="2401.48"/>
    <n v="15581.98"/>
    <s v="No"/>
    <s v="None"/>
    <n v="0"/>
    <n v="0"/>
    <n v="0"/>
    <n v="0"/>
    <n v="0"/>
    <n v="672"/>
    <n v="0.31"/>
    <x v="4"/>
    <x v="269"/>
    <n v="0"/>
  </r>
  <r>
    <s v="U03568"/>
    <x v="8"/>
    <x v="1"/>
    <x v="2"/>
    <x v="1"/>
    <s v="Teacher"/>
    <n v="5921.53"/>
    <n v="5026.22"/>
    <n v="49249.36"/>
    <s v="Yes"/>
    <s v="Car"/>
    <n v="194292.26"/>
    <n v="120"/>
    <n v="2227.96"/>
    <n v="6.72"/>
    <n v="0.38"/>
    <n v="799"/>
    <n v="0.69"/>
    <x v="0"/>
    <x v="270"/>
    <n v="0"/>
  </r>
  <r>
    <s v="U03592"/>
    <x v="16"/>
    <x v="0"/>
    <x v="0"/>
    <x v="2"/>
    <s v="Engineer"/>
    <n v="934.12"/>
    <n v="343.34"/>
    <n v="3415.09"/>
    <s v="No"/>
    <s v="None"/>
    <n v="0"/>
    <n v="0"/>
    <n v="0"/>
    <n v="0"/>
    <n v="0"/>
    <n v="344"/>
    <n v="0.3"/>
    <x v="2"/>
    <x v="42"/>
    <n v="0"/>
  </r>
  <r>
    <s v="U03595"/>
    <x v="14"/>
    <x v="1"/>
    <x v="3"/>
    <x v="1"/>
    <s v="Doctor"/>
    <n v="4394.28"/>
    <n v="2336.2800000000002"/>
    <n v="10936"/>
    <s v="No"/>
    <s v="None"/>
    <n v="0"/>
    <n v="0"/>
    <n v="0"/>
    <n v="0"/>
    <n v="0"/>
    <n v="769"/>
    <n v="0.21"/>
    <x v="2"/>
    <x v="271"/>
    <n v="0"/>
  </r>
  <r>
    <s v="U03639"/>
    <x v="51"/>
    <x v="0"/>
    <x v="3"/>
    <x v="1"/>
    <s v="Engineer"/>
    <n v="4474.83"/>
    <n v="2474.4699999999998"/>
    <n v="48942.62"/>
    <s v="No"/>
    <s v="None"/>
    <n v="0"/>
    <n v="0"/>
    <n v="0"/>
    <n v="0"/>
    <n v="0"/>
    <n v="788"/>
    <n v="0.91"/>
    <x v="0"/>
    <x v="272"/>
    <n v="0"/>
  </r>
  <r>
    <s v="U03654"/>
    <x v="13"/>
    <x v="1"/>
    <x v="0"/>
    <x v="1"/>
    <s v="Engineer"/>
    <n v="2653.06"/>
    <n v="1649.97"/>
    <n v="19950.009999999998"/>
    <s v="Yes"/>
    <s v="Education"/>
    <n v="429959.86"/>
    <n v="240"/>
    <n v="2625.91"/>
    <n v="4.09"/>
    <n v="0.99"/>
    <n v="404"/>
    <n v="0.63"/>
    <x v="1"/>
    <x v="273"/>
    <n v="1"/>
  </r>
  <r>
    <s v="U03656"/>
    <x v="32"/>
    <x v="1"/>
    <x v="4"/>
    <x v="1"/>
    <s v="Driver"/>
    <n v="3166.29"/>
    <n v="1623.05"/>
    <n v="17622.080000000002"/>
    <s v="No"/>
    <s v="None"/>
    <n v="0"/>
    <n v="0"/>
    <n v="0"/>
    <n v="0"/>
    <n v="0"/>
    <n v="747"/>
    <n v="0.46"/>
    <x v="4"/>
    <x v="274"/>
    <n v="0"/>
  </r>
  <r>
    <s v="U03665"/>
    <x v="19"/>
    <x v="0"/>
    <x v="0"/>
    <x v="1"/>
    <s v="Student"/>
    <n v="4648.83"/>
    <n v="3212.94"/>
    <n v="14312.44"/>
    <s v="No"/>
    <s v="None"/>
    <n v="0"/>
    <n v="0"/>
    <n v="0"/>
    <n v="0"/>
    <n v="0"/>
    <n v="393"/>
    <n v="0.26"/>
    <x v="0"/>
    <x v="275"/>
    <n v="0"/>
  </r>
  <r>
    <s v="U03687"/>
    <x v="1"/>
    <x v="0"/>
    <x v="3"/>
    <x v="0"/>
    <s v="Manager"/>
    <n v="5067.41"/>
    <n v="3800.92"/>
    <n v="48925.51"/>
    <s v="No"/>
    <s v="None"/>
    <n v="0"/>
    <n v="0"/>
    <n v="0"/>
    <n v="0"/>
    <n v="0"/>
    <n v="335"/>
    <n v="0.8"/>
    <x v="0"/>
    <x v="276"/>
    <n v="0"/>
  </r>
  <r>
    <s v="U03694"/>
    <x v="3"/>
    <x v="1"/>
    <x v="3"/>
    <x v="3"/>
    <s v="Unemployed"/>
    <n v="5849.22"/>
    <n v="2539.21"/>
    <n v="30548.75"/>
    <s v="Yes"/>
    <s v="Business"/>
    <n v="55083.72"/>
    <n v="120"/>
    <n v="1074.4000000000001"/>
    <n v="20.27"/>
    <n v="0.18"/>
    <n v="508"/>
    <n v="0.44"/>
    <x v="2"/>
    <x v="277"/>
    <n v="0"/>
  </r>
  <r>
    <s v="U03709"/>
    <x v="22"/>
    <x v="1"/>
    <x v="2"/>
    <x v="1"/>
    <s v="Manager"/>
    <n v="3583.4"/>
    <n v="1613.21"/>
    <n v="19989.400000000001"/>
    <s v="No"/>
    <s v="None"/>
    <n v="0"/>
    <n v="0"/>
    <n v="0"/>
    <n v="0"/>
    <n v="0"/>
    <n v="382"/>
    <n v="0.46"/>
    <x v="2"/>
    <x v="224"/>
    <n v="0"/>
  </r>
  <r>
    <s v="U03718"/>
    <x v="8"/>
    <x v="0"/>
    <x v="3"/>
    <x v="0"/>
    <s v="Unemployed"/>
    <n v="3281.28"/>
    <n v="1044.6099999999999"/>
    <n v="4723.24"/>
    <s v="No"/>
    <s v="None"/>
    <n v="0"/>
    <n v="0"/>
    <n v="0"/>
    <n v="0"/>
    <n v="0"/>
    <n v="758"/>
    <n v="0.12"/>
    <x v="0"/>
    <x v="278"/>
    <n v="0"/>
  </r>
  <r>
    <s v="U03723"/>
    <x v="1"/>
    <x v="1"/>
    <x v="3"/>
    <x v="2"/>
    <s v="Doctor"/>
    <n v="5129.1099999999997"/>
    <n v="4536.38"/>
    <n v="33482.93"/>
    <s v="Yes"/>
    <s v="Car"/>
    <n v="307743.75"/>
    <n v="60"/>
    <n v="6683.42"/>
    <n v="10.95"/>
    <n v="1.3"/>
    <n v="467"/>
    <n v="0.54"/>
    <x v="1"/>
    <x v="207"/>
    <n v="1"/>
  </r>
  <r>
    <s v="U03725"/>
    <x v="34"/>
    <x v="1"/>
    <x v="3"/>
    <x v="1"/>
    <s v="Engineer"/>
    <n v="5406.44"/>
    <n v="4398.7700000000004"/>
    <n v="52823.35"/>
    <s v="Yes"/>
    <s v="Car"/>
    <n v="487368.35"/>
    <n v="60"/>
    <n v="9856.44"/>
    <n v="7.89"/>
    <n v="1.82"/>
    <n v="786"/>
    <n v="0.81"/>
    <x v="3"/>
    <x v="279"/>
    <n v="1"/>
  </r>
  <r>
    <s v="U03743"/>
    <x v="13"/>
    <x v="0"/>
    <x v="3"/>
    <x v="2"/>
    <s v="Driver"/>
    <n v="4911.84"/>
    <n v="2203.13"/>
    <n v="35964.81"/>
    <s v="No"/>
    <s v="None"/>
    <n v="0"/>
    <n v="0"/>
    <n v="0"/>
    <n v="0"/>
    <n v="0"/>
    <n v="727"/>
    <n v="0.61"/>
    <x v="2"/>
    <x v="280"/>
    <n v="0"/>
  </r>
  <r>
    <s v="U03753"/>
    <x v="35"/>
    <x v="0"/>
    <x v="3"/>
    <x v="1"/>
    <s v="Accountant"/>
    <n v="5561.65"/>
    <n v="2802.24"/>
    <n v="26746.05"/>
    <s v="Yes"/>
    <s v="Car"/>
    <n v="188790.5"/>
    <n v="180"/>
    <n v="3562.28"/>
    <n v="21.75"/>
    <n v="0.64"/>
    <n v="582"/>
    <n v="0.4"/>
    <x v="0"/>
    <x v="165"/>
    <n v="1"/>
  </r>
  <r>
    <s v="U03776"/>
    <x v="50"/>
    <x v="0"/>
    <x v="3"/>
    <x v="1"/>
    <s v="Salesperson"/>
    <n v="806.26"/>
    <n v="300.85000000000002"/>
    <n v="4875.67"/>
    <s v="No"/>
    <s v="None"/>
    <n v="0"/>
    <n v="0"/>
    <n v="0"/>
    <n v="0"/>
    <n v="0"/>
    <n v="391"/>
    <n v="0.5"/>
    <x v="2"/>
    <x v="281"/>
    <n v="0"/>
  </r>
  <r>
    <s v="U03805"/>
    <x v="49"/>
    <x v="1"/>
    <x v="3"/>
    <x v="1"/>
    <s v="Driver"/>
    <n v="5217.9399999999996"/>
    <n v="4327.3599999999997"/>
    <n v="42988.39"/>
    <s v="No"/>
    <s v="None"/>
    <n v="0"/>
    <n v="0"/>
    <n v="0"/>
    <n v="0"/>
    <n v="0"/>
    <n v="452"/>
    <n v="0.69"/>
    <x v="1"/>
    <x v="282"/>
    <n v="0"/>
  </r>
  <r>
    <s v="U03826"/>
    <x v="0"/>
    <x v="0"/>
    <x v="3"/>
    <x v="3"/>
    <s v="Teacher"/>
    <n v="8166.39"/>
    <n v="2558.42"/>
    <n v="27931.74"/>
    <s v="No"/>
    <s v="None"/>
    <n v="0"/>
    <n v="0"/>
    <n v="0"/>
    <n v="0"/>
    <n v="0"/>
    <n v="483"/>
    <n v="0.28999999999999998"/>
    <x v="3"/>
    <x v="7"/>
    <n v="0"/>
  </r>
  <r>
    <s v="U03828"/>
    <x v="16"/>
    <x v="1"/>
    <x v="3"/>
    <x v="0"/>
    <s v="Manager"/>
    <n v="6762.32"/>
    <n v="5903.54"/>
    <n v="49229.29"/>
    <s v="No"/>
    <s v="None"/>
    <n v="0"/>
    <n v="0"/>
    <n v="0"/>
    <n v="0"/>
    <n v="0"/>
    <n v="552"/>
    <n v="0.61"/>
    <x v="1"/>
    <x v="283"/>
    <n v="0"/>
  </r>
  <r>
    <s v="U03852"/>
    <x v="10"/>
    <x v="1"/>
    <x v="3"/>
    <x v="2"/>
    <s v="Doctor"/>
    <n v="4086.76"/>
    <n v="2258.5700000000002"/>
    <n v="47606.28"/>
    <s v="Yes"/>
    <s v="Home"/>
    <n v="36441.040000000001"/>
    <n v="36"/>
    <n v="1431.6"/>
    <n v="24.1"/>
    <n v="0.35"/>
    <n v="704"/>
    <n v="0.97"/>
    <x v="3"/>
    <x v="284"/>
    <n v="0"/>
  </r>
  <r>
    <s v="U03868"/>
    <x v="28"/>
    <x v="1"/>
    <x v="1"/>
    <x v="0"/>
    <s v="Driver"/>
    <n v="2962.81"/>
    <n v="2569.5500000000002"/>
    <n v="14590.07"/>
    <s v="No"/>
    <s v="None"/>
    <n v="0"/>
    <n v="0"/>
    <n v="0"/>
    <n v="0"/>
    <n v="0"/>
    <n v="644"/>
    <n v="0.41"/>
    <x v="1"/>
    <x v="285"/>
    <n v="0"/>
  </r>
  <r>
    <s v="U03903"/>
    <x v="47"/>
    <x v="0"/>
    <x v="3"/>
    <x v="1"/>
    <s v="Doctor"/>
    <n v="500"/>
    <n v="354.16"/>
    <n v="4705.3900000000003"/>
    <s v="No"/>
    <s v="None"/>
    <n v="0"/>
    <n v="0"/>
    <n v="0"/>
    <n v="0"/>
    <n v="0"/>
    <n v="321"/>
    <n v="0.78"/>
    <x v="4"/>
    <x v="286"/>
    <n v="0"/>
  </r>
  <r>
    <s v="U03913"/>
    <x v="51"/>
    <x v="1"/>
    <x v="3"/>
    <x v="2"/>
    <s v="Driver"/>
    <n v="3261.32"/>
    <n v="1480.16"/>
    <n v="9090.8700000000008"/>
    <s v="No"/>
    <s v="None"/>
    <n v="0"/>
    <n v="0"/>
    <n v="0"/>
    <n v="0"/>
    <n v="0"/>
    <n v="619"/>
    <n v="0.23"/>
    <x v="4"/>
    <x v="63"/>
    <n v="0"/>
  </r>
  <r>
    <s v="U03915"/>
    <x v="11"/>
    <x v="0"/>
    <x v="2"/>
    <x v="1"/>
    <s v="Driver"/>
    <n v="4357.84"/>
    <n v="2601.71"/>
    <n v="23084.02"/>
    <s v="No"/>
    <s v="None"/>
    <n v="0"/>
    <n v="0"/>
    <n v="0"/>
    <n v="0"/>
    <n v="0"/>
    <n v="617"/>
    <n v="0.44"/>
    <x v="0"/>
    <x v="140"/>
    <n v="0"/>
  </r>
  <r>
    <s v="U03923"/>
    <x v="30"/>
    <x v="0"/>
    <x v="0"/>
    <x v="1"/>
    <s v="Manager"/>
    <n v="1074.52"/>
    <n v="335.66"/>
    <n v="12091.59"/>
    <s v="No"/>
    <s v="None"/>
    <n v="0"/>
    <n v="0"/>
    <n v="0"/>
    <n v="0"/>
    <n v="0"/>
    <n v="645"/>
    <n v="0.94"/>
    <x v="3"/>
    <x v="287"/>
    <n v="0"/>
  </r>
  <r>
    <s v="U03933"/>
    <x v="5"/>
    <x v="0"/>
    <x v="3"/>
    <x v="2"/>
    <s v="Student"/>
    <n v="3724.24"/>
    <n v="3183.71"/>
    <n v="14186.73"/>
    <s v="No"/>
    <s v="None"/>
    <n v="0"/>
    <n v="0"/>
    <n v="0"/>
    <n v="0"/>
    <n v="0"/>
    <n v="741"/>
    <n v="0.32"/>
    <x v="2"/>
    <x v="288"/>
    <n v="0"/>
  </r>
  <r>
    <s v="U03969"/>
    <x v="51"/>
    <x v="0"/>
    <x v="3"/>
    <x v="3"/>
    <s v="Accountant"/>
    <n v="3313.76"/>
    <n v="2645.47"/>
    <n v="31262.34"/>
    <s v="No"/>
    <s v="None"/>
    <n v="0"/>
    <n v="0"/>
    <n v="0"/>
    <n v="0"/>
    <n v="0"/>
    <n v="714"/>
    <n v="0.79"/>
    <x v="3"/>
    <x v="289"/>
    <n v="0"/>
  </r>
  <r>
    <s v="U03989"/>
    <x v="23"/>
    <x v="2"/>
    <x v="3"/>
    <x v="1"/>
    <s v="Doctor"/>
    <n v="4634.7700000000004"/>
    <n v="2922.39"/>
    <n v="21792.41"/>
    <s v="No"/>
    <s v="None"/>
    <n v="0"/>
    <n v="0"/>
    <n v="0"/>
    <n v="0"/>
    <n v="0"/>
    <n v="782"/>
    <n v="0.39"/>
    <x v="4"/>
    <x v="290"/>
    <n v="0"/>
  </r>
  <r>
    <s v="U04007"/>
    <x v="38"/>
    <x v="0"/>
    <x v="4"/>
    <x v="0"/>
    <s v="Salesperson"/>
    <n v="5188.59"/>
    <n v="2028.07"/>
    <n v="23789.55"/>
    <s v="No"/>
    <s v="None"/>
    <n v="0"/>
    <n v="0"/>
    <n v="0"/>
    <n v="0"/>
    <n v="0"/>
    <n v="395"/>
    <n v="0.38"/>
    <x v="4"/>
    <x v="88"/>
    <n v="0"/>
  </r>
  <r>
    <s v="U04011"/>
    <x v="15"/>
    <x v="1"/>
    <x v="3"/>
    <x v="2"/>
    <s v="Salesperson"/>
    <n v="7798.12"/>
    <n v="5977.55"/>
    <n v="37280.42"/>
    <s v="Yes"/>
    <s v="Education"/>
    <n v="40940.629999999997"/>
    <n v="24"/>
    <n v="1857.8"/>
    <n v="8.33"/>
    <n v="0.24"/>
    <n v="389"/>
    <n v="0.4"/>
    <x v="3"/>
    <x v="147"/>
    <n v="0"/>
  </r>
  <r>
    <s v="U04022"/>
    <x v="51"/>
    <x v="0"/>
    <x v="0"/>
    <x v="1"/>
    <s v="Student"/>
    <n v="4210.7700000000004"/>
    <n v="2962.44"/>
    <n v="32676.1"/>
    <s v="No"/>
    <s v="None"/>
    <n v="0"/>
    <n v="0"/>
    <n v="0"/>
    <n v="0"/>
    <n v="0"/>
    <n v="524"/>
    <n v="0.65"/>
    <x v="0"/>
    <x v="291"/>
    <n v="0"/>
  </r>
  <r>
    <s v="U04035"/>
    <x v="32"/>
    <x v="0"/>
    <x v="2"/>
    <x v="1"/>
    <s v="Engineer"/>
    <n v="500"/>
    <n v="384.57"/>
    <n v="1154.05"/>
    <s v="No"/>
    <s v="None"/>
    <n v="0"/>
    <n v="0"/>
    <n v="0"/>
    <n v="0"/>
    <n v="0"/>
    <n v="498"/>
    <n v="0.19"/>
    <x v="2"/>
    <x v="221"/>
    <n v="0"/>
  </r>
  <r>
    <s v="U04043"/>
    <x v="34"/>
    <x v="0"/>
    <x v="3"/>
    <x v="0"/>
    <s v="Student"/>
    <n v="5504.4"/>
    <n v="1764.63"/>
    <n v="34427.97"/>
    <s v="No"/>
    <s v="None"/>
    <n v="0"/>
    <n v="0"/>
    <n v="0"/>
    <n v="0"/>
    <n v="0"/>
    <n v="646"/>
    <n v="0.52"/>
    <x v="2"/>
    <x v="292"/>
    <n v="0"/>
  </r>
  <r>
    <s v="U04048"/>
    <x v="24"/>
    <x v="0"/>
    <x v="2"/>
    <x v="2"/>
    <s v="Student"/>
    <n v="4491.3500000000004"/>
    <n v="3144.5"/>
    <n v="22160.76"/>
    <s v="Yes"/>
    <s v="Home"/>
    <n v="381439.63"/>
    <n v="300"/>
    <n v="7304.3"/>
    <n v="22.9"/>
    <n v="1.63"/>
    <n v="579"/>
    <n v="0.41"/>
    <x v="4"/>
    <x v="126"/>
    <n v="1"/>
  </r>
  <r>
    <s v="U04081"/>
    <x v="41"/>
    <x v="1"/>
    <x v="3"/>
    <x v="2"/>
    <s v="Teacher"/>
    <n v="3257.74"/>
    <n v="2055.2600000000002"/>
    <n v="4029.66"/>
    <s v="No"/>
    <s v="None"/>
    <n v="0"/>
    <n v="0"/>
    <n v="0"/>
    <n v="0"/>
    <n v="0"/>
    <n v="594"/>
    <n v="0.1"/>
    <x v="2"/>
    <x v="231"/>
    <n v="0"/>
  </r>
  <r>
    <s v="U04094"/>
    <x v="46"/>
    <x v="1"/>
    <x v="4"/>
    <x v="2"/>
    <s v="Teacher"/>
    <n v="4501.43"/>
    <n v="3591.35"/>
    <n v="18620.259999999998"/>
    <s v="No"/>
    <s v="None"/>
    <n v="0"/>
    <n v="0"/>
    <n v="0"/>
    <n v="0"/>
    <n v="0"/>
    <n v="773"/>
    <n v="0.34"/>
    <x v="4"/>
    <x v="293"/>
    <n v="0"/>
  </r>
  <r>
    <s v="U04095"/>
    <x v="17"/>
    <x v="1"/>
    <x v="4"/>
    <x v="3"/>
    <s v="Student"/>
    <n v="1873.86"/>
    <n v="1001.88"/>
    <n v="10210.299999999999"/>
    <s v="No"/>
    <s v="None"/>
    <n v="0"/>
    <n v="0"/>
    <n v="0"/>
    <n v="0"/>
    <n v="0"/>
    <n v="455"/>
    <n v="0.45"/>
    <x v="1"/>
    <x v="294"/>
    <n v="0"/>
  </r>
  <r>
    <s v="U04104"/>
    <x v="51"/>
    <x v="2"/>
    <x v="3"/>
    <x v="1"/>
    <s v="Manager"/>
    <n v="6574.75"/>
    <n v="3363.92"/>
    <n v="45078.71"/>
    <s v="No"/>
    <s v="None"/>
    <n v="0"/>
    <n v="0"/>
    <n v="0"/>
    <n v="0"/>
    <n v="0"/>
    <n v="657"/>
    <n v="0.56999999999999995"/>
    <x v="3"/>
    <x v="146"/>
    <n v="0"/>
  </r>
  <r>
    <s v="U04122"/>
    <x v="50"/>
    <x v="1"/>
    <x v="2"/>
    <x v="1"/>
    <s v="Manager"/>
    <n v="7731.77"/>
    <n v="3283.33"/>
    <n v="43262.17"/>
    <s v="No"/>
    <s v="None"/>
    <n v="0"/>
    <n v="0"/>
    <n v="0"/>
    <n v="0"/>
    <n v="0"/>
    <n v="527"/>
    <n v="0.47"/>
    <x v="3"/>
    <x v="295"/>
    <n v="0"/>
  </r>
  <r>
    <s v="U04124"/>
    <x v="6"/>
    <x v="0"/>
    <x v="3"/>
    <x v="1"/>
    <s v="Engineer"/>
    <n v="3394.8"/>
    <n v="1293.1099999999999"/>
    <n v="17980.29"/>
    <s v="No"/>
    <s v="None"/>
    <n v="0"/>
    <n v="0"/>
    <n v="0"/>
    <n v="0"/>
    <n v="0"/>
    <n v="577"/>
    <n v="0.44"/>
    <x v="4"/>
    <x v="296"/>
    <n v="0"/>
  </r>
  <r>
    <s v="U04126"/>
    <x v="7"/>
    <x v="1"/>
    <x v="0"/>
    <x v="1"/>
    <s v="Unemployed"/>
    <n v="1033.27"/>
    <n v="702.91"/>
    <n v="4485.32"/>
    <s v="Yes"/>
    <s v="Car"/>
    <n v="85238.67"/>
    <n v="120"/>
    <n v="1231.81"/>
    <n v="12.18"/>
    <n v="1.19"/>
    <n v="561"/>
    <n v="0.36"/>
    <x v="3"/>
    <x v="297"/>
    <n v="1"/>
  </r>
  <r>
    <s v="U04150"/>
    <x v="7"/>
    <x v="0"/>
    <x v="3"/>
    <x v="1"/>
    <s v="Driver"/>
    <n v="5847.66"/>
    <n v="2742.98"/>
    <n v="57605.31"/>
    <s v="Yes"/>
    <s v="Education"/>
    <n v="149376.23000000001"/>
    <n v="24"/>
    <n v="8244.01"/>
    <n v="28.59"/>
    <n v="1.41"/>
    <n v="458"/>
    <n v="0.82"/>
    <x v="0"/>
    <x v="252"/>
    <n v="1"/>
  </r>
  <r>
    <s v="U04152"/>
    <x v="32"/>
    <x v="1"/>
    <x v="2"/>
    <x v="1"/>
    <s v="Engineer"/>
    <n v="5499.67"/>
    <n v="3372.93"/>
    <n v="56351.02"/>
    <s v="No"/>
    <s v="None"/>
    <n v="0"/>
    <n v="0"/>
    <n v="0"/>
    <n v="0"/>
    <n v="0"/>
    <n v="603"/>
    <n v="0.85"/>
    <x v="3"/>
    <x v="298"/>
    <n v="0"/>
  </r>
  <r>
    <s v="U04164"/>
    <x v="39"/>
    <x v="1"/>
    <x v="3"/>
    <x v="1"/>
    <s v="Accountant"/>
    <n v="7030.46"/>
    <n v="4537.33"/>
    <n v="21785.48"/>
    <s v="No"/>
    <s v="None"/>
    <n v="0"/>
    <n v="0"/>
    <n v="0"/>
    <n v="0"/>
    <n v="0"/>
    <n v="819"/>
    <n v="0.26"/>
    <x v="2"/>
    <x v="299"/>
    <n v="0"/>
  </r>
  <r>
    <s v="U04210"/>
    <x v="48"/>
    <x v="1"/>
    <x v="3"/>
    <x v="2"/>
    <s v="Teacher"/>
    <n v="5572.18"/>
    <n v="4331.87"/>
    <n v="33009.199999999997"/>
    <s v="No"/>
    <s v="None"/>
    <n v="0"/>
    <n v="0"/>
    <n v="0"/>
    <n v="0"/>
    <n v="0"/>
    <n v="398"/>
    <n v="0.49"/>
    <x v="3"/>
    <x v="300"/>
    <n v="0"/>
  </r>
  <r>
    <s v="U04229"/>
    <x v="24"/>
    <x v="0"/>
    <x v="2"/>
    <x v="2"/>
    <s v="Driver"/>
    <n v="5029.45"/>
    <n v="2687.86"/>
    <n v="14474.91"/>
    <s v="Yes"/>
    <s v="Education"/>
    <n v="56271.98"/>
    <n v="12"/>
    <n v="5014.45"/>
    <n v="12.56"/>
    <n v="1"/>
    <n v="637"/>
    <n v="0.24"/>
    <x v="0"/>
    <x v="301"/>
    <n v="1"/>
  </r>
  <r>
    <s v="U04232"/>
    <x v="11"/>
    <x v="0"/>
    <x v="3"/>
    <x v="1"/>
    <s v="Manager"/>
    <n v="2040.84"/>
    <n v="1696.63"/>
    <n v="17825.2"/>
    <s v="Yes"/>
    <s v="Business"/>
    <n v="160661.67000000001"/>
    <n v="180"/>
    <n v="2216.77"/>
    <n v="14.71"/>
    <n v="1.0900000000000001"/>
    <n v="442"/>
    <n v="0.73"/>
    <x v="2"/>
    <x v="302"/>
    <n v="1"/>
  </r>
  <r>
    <s v="U04233"/>
    <x v="27"/>
    <x v="0"/>
    <x v="0"/>
    <x v="0"/>
    <s v="Salesperson"/>
    <n v="6349.66"/>
    <n v="1988.59"/>
    <n v="33172.199999999997"/>
    <s v="Yes"/>
    <s v="Car"/>
    <n v="427153.07"/>
    <n v="60"/>
    <n v="8145.33"/>
    <n v="5.43"/>
    <n v="1.28"/>
    <n v="396"/>
    <n v="0.44"/>
    <x v="1"/>
    <x v="303"/>
    <n v="1"/>
  </r>
  <r>
    <s v="U04238"/>
    <x v="45"/>
    <x v="1"/>
    <x v="0"/>
    <x v="0"/>
    <s v="Salesperson"/>
    <n v="7008.42"/>
    <n v="5515.89"/>
    <n v="66331.740000000005"/>
    <s v="Yes"/>
    <s v="Business"/>
    <n v="330540.59999999998"/>
    <n v="120"/>
    <n v="5650.81"/>
    <n v="16.55"/>
    <n v="0.81"/>
    <n v="486"/>
    <n v="0.79"/>
    <x v="0"/>
    <x v="304"/>
    <n v="1"/>
  </r>
  <r>
    <s v="U04255"/>
    <x v="24"/>
    <x v="0"/>
    <x v="0"/>
    <x v="3"/>
    <s v="Student"/>
    <n v="3572.02"/>
    <n v="1156.33"/>
    <n v="6480.9"/>
    <s v="No"/>
    <s v="None"/>
    <n v="0"/>
    <n v="0"/>
    <n v="0"/>
    <n v="0"/>
    <n v="0"/>
    <n v="590"/>
    <n v="0.15"/>
    <x v="4"/>
    <x v="305"/>
    <n v="0"/>
  </r>
  <r>
    <s v="U04270"/>
    <x v="44"/>
    <x v="0"/>
    <x v="2"/>
    <x v="0"/>
    <s v="Driver"/>
    <n v="3012.07"/>
    <n v="2645.82"/>
    <n v="11964.87"/>
    <s v="Yes"/>
    <s v="Business"/>
    <n v="454508.85"/>
    <n v="300"/>
    <n v="2766.71"/>
    <n v="5.41"/>
    <n v="0.92"/>
    <n v="688"/>
    <n v="0.33"/>
    <x v="3"/>
    <x v="306"/>
    <n v="1"/>
  </r>
  <r>
    <s v="U04329"/>
    <x v="4"/>
    <x v="1"/>
    <x v="2"/>
    <x v="2"/>
    <s v="Engineer"/>
    <n v="5519.51"/>
    <n v="3697.42"/>
    <n v="59206.92"/>
    <s v="No"/>
    <s v="None"/>
    <n v="0"/>
    <n v="0"/>
    <n v="0"/>
    <n v="0"/>
    <n v="0"/>
    <n v="588"/>
    <n v="0.89"/>
    <x v="1"/>
    <x v="307"/>
    <n v="0"/>
  </r>
  <r>
    <s v="U04334"/>
    <x v="41"/>
    <x v="0"/>
    <x v="1"/>
    <x v="1"/>
    <s v="Teacher"/>
    <n v="4132.68"/>
    <n v="1342.39"/>
    <n v="37854.720000000001"/>
    <s v="No"/>
    <s v="None"/>
    <n v="0"/>
    <n v="0"/>
    <n v="0"/>
    <n v="0"/>
    <n v="0"/>
    <n v="743"/>
    <n v="0.76"/>
    <x v="0"/>
    <x v="308"/>
    <n v="0"/>
  </r>
  <r>
    <s v="U04367"/>
    <x v="24"/>
    <x v="1"/>
    <x v="2"/>
    <x v="2"/>
    <s v="Unemployed"/>
    <n v="6741.41"/>
    <n v="5626.67"/>
    <n v="67534.31"/>
    <s v="No"/>
    <s v="None"/>
    <n v="0"/>
    <n v="0"/>
    <n v="0"/>
    <n v="0"/>
    <n v="0"/>
    <n v="524"/>
    <n v="0.83"/>
    <x v="2"/>
    <x v="309"/>
    <n v="0"/>
  </r>
  <r>
    <s v="U04369"/>
    <x v="43"/>
    <x v="1"/>
    <x v="3"/>
    <x v="1"/>
    <s v="Engineer"/>
    <n v="4319.87"/>
    <n v="1679.06"/>
    <n v="39694.74"/>
    <s v="Yes"/>
    <s v="Business"/>
    <n v="401354.31"/>
    <n v="180"/>
    <n v="4889.46"/>
    <n v="12.28"/>
    <n v="1.1299999999999999"/>
    <n v="747"/>
    <n v="0.77"/>
    <x v="1"/>
    <x v="221"/>
    <n v="1"/>
  </r>
  <r>
    <s v="U04374"/>
    <x v="2"/>
    <x v="2"/>
    <x v="3"/>
    <x v="2"/>
    <s v="Doctor"/>
    <n v="3424.82"/>
    <n v="2799.79"/>
    <n v="19144.66"/>
    <s v="No"/>
    <s v="None"/>
    <n v="0"/>
    <n v="0"/>
    <n v="0"/>
    <n v="0"/>
    <n v="0"/>
    <n v="381"/>
    <n v="0.47"/>
    <x v="1"/>
    <x v="310"/>
    <n v="0"/>
  </r>
  <r>
    <s v="U04377"/>
    <x v="3"/>
    <x v="0"/>
    <x v="3"/>
    <x v="1"/>
    <s v="Engineer"/>
    <n v="2747.39"/>
    <n v="1554.08"/>
    <n v="29263.35"/>
    <s v="No"/>
    <s v="None"/>
    <n v="0"/>
    <n v="0"/>
    <n v="0"/>
    <n v="0"/>
    <n v="0"/>
    <n v="559"/>
    <n v="0.89"/>
    <x v="1"/>
    <x v="299"/>
    <n v="0"/>
  </r>
  <r>
    <s v="U04397"/>
    <x v="17"/>
    <x v="0"/>
    <x v="3"/>
    <x v="1"/>
    <s v="Driver"/>
    <n v="2458.25"/>
    <n v="1500.63"/>
    <n v="4240.5200000000004"/>
    <s v="Yes"/>
    <s v="Home"/>
    <n v="53730.87"/>
    <n v="300"/>
    <n v="306.33"/>
    <n v="4.75"/>
    <n v="0.12"/>
    <n v="686"/>
    <n v="0.14000000000000001"/>
    <x v="3"/>
    <x v="311"/>
    <n v="0"/>
  </r>
  <r>
    <s v="U04414"/>
    <x v="19"/>
    <x v="1"/>
    <x v="3"/>
    <x v="2"/>
    <s v="Manager"/>
    <n v="4505.6400000000003"/>
    <n v="3388.19"/>
    <n v="33266.61"/>
    <s v="No"/>
    <s v="None"/>
    <n v="0"/>
    <n v="0"/>
    <n v="0"/>
    <n v="0"/>
    <n v="0"/>
    <n v="839"/>
    <n v="0.62"/>
    <x v="4"/>
    <x v="312"/>
    <n v="0"/>
  </r>
  <r>
    <s v="U04452"/>
    <x v="37"/>
    <x v="0"/>
    <x v="3"/>
    <x v="1"/>
    <s v="Teacher"/>
    <n v="3652.02"/>
    <n v="1532.38"/>
    <n v="20494.32"/>
    <s v="No"/>
    <s v="None"/>
    <n v="0"/>
    <n v="0"/>
    <n v="0"/>
    <n v="0"/>
    <n v="0"/>
    <n v="466"/>
    <n v="0.47"/>
    <x v="1"/>
    <x v="313"/>
    <n v="0"/>
  </r>
  <r>
    <s v="U04457"/>
    <x v="49"/>
    <x v="1"/>
    <x v="2"/>
    <x v="1"/>
    <s v="Salesperson"/>
    <n v="3530.52"/>
    <n v="3079.03"/>
    <n v="10681.07"/>
    <s v="Yes"/>
    <s v="Education"/>
    <n v="30067.32"/>
    <n v="24"/>
    <n v="1569.95"/>
    <n v="22.68"/>
    <n v="0.44"/>
    <n v="813"/>
    <n v="0.25"/>
    <x v="4"/>
    <x v="314"/>
    <n v="1"/>
  </r>
  <r>
    <s v="U04470"/>
    <x v="40"/>
    <x v="0"/>
    <x v="0"/>
    <x v="1"/>
    <s v="Accountant"/>
    <n v="4404.4399999999996"/>
    <n v="1362.43"/>
    <n v="13616.74"/>
    <s v="Yes"/>
    <s v="Business"/>
    <n v="421585.62"/>
    <n v="120"/>
    <n v="5819.28"/>
    <n v="11.05"/>
    <n v="1.32"/>
    <n v="708"/>
    <n v="0.26"/>
    <x v="1"/>
    <x v="315"/>
    <n v="1"/>
  </r>
  <r>
    <s v="U04477"/>
    <x v="34"/>
    <x v="0"/>
    <x v="3"/>
    <x v="1"/>
    <s v="Salesperson"/>
    <n v="2143.1"/>
    <n v="1889.99"/>
    <n v="12360.21"/>
    <s v="No"/>
    <s v="None"/>
    <n v="0"/>
    <n v="0"/>
    <n v="0"/>
    <n v="0"/>
    <n v="0"/>
    <n v="519"/>
    <n v="0.48"/>
    <x v="0"/>
    <x v="316"/>
    <n v="0"/>
  </r>
  <r>
    <s v="U04481"/>
    <x v="21"/>
    <x v="0"/>
    <x v="4"/>
    <x v="1"/>
    <s v="Doctor"/>
    <n v="7400.62"/>
    <n v="4255.87"/>
    <n v="52004.44"/>
    <s v="No"/>
    <s v="None"/>
    <n v="0"/>
    <n v="0"/>
    <n v="0"/>
    <n v="0"/>
    <n v="0"/>
    <n v="686"/>
    <n v="0.59"/>
    <x v="2"/>
    <x v="317"/>
    <n v="0"/>
  </r>
  <r>
    <s v="U04541"/>
    <x v="17"/>
    <x v="1"/>
    <x v="0"/>
    <x v="2"/>
    <s v="Driver"/>
    <n v="3118.84"/>
    <n v="2017.58"/>
    <n v="7310.44"/>
    <s v="No"/>
    <s v="None"/>
    <n v="0"/>
    <n v="0"/>
    <n v="0"/>
    <n v="0"/>
    <n v="0"/>
    <n v="611"/>
    <n v="0.2"/>
    <x v="2"/>
    <x v="187"/>
    <n v="0"/>
  </r>
  <r>
    <s v="U04546"/>
    <x v="3"/>
    <x v="0"/>
    <x v="0"/>
    <x v="1"/>
    <s v="Salesperson"/>
    <n v="3943.83"/>
    <n v="3221.34"/>
    <n v="21983.5"/>
    <s v="No"/>
    <s v="None"/>
    <n v="0"/>
    <n v="0"/>
    <n v="0"/>
    <n v="0"/>
    <n v="0"/>
    <n v="344"/>
    <n v="0.46"/>
    <x v="4"/>
    <x v="318"/>
    <n v="0"/>
  </r>
  <r>
    <s v="U04550"/>
    <x v="16"/>
    <x v="1"/>
    <x v="2"/>
    <x v="1"/>
    <s v="Teacher"/>
    <n v="9642.98"/>
    <n v="6187.31"/>
    <n v="107440.93"/>
    <s v="No"/>
    <s v="None"/>
    <n v="0"/>
    <n v="0"/>
    <n v="0"/>
    <n v="0"/>
    <n v="0"/>
    <n v="512"/>
    <n v="0.93"/>
    <x v="2"/>
    <x v="319"/>
    <n v="0"/>
  </r>
  <r>
    <s v="U04555"/>
    <x v="7"/>
    <x v="0"/>
    <x v="0"/>
    <x v="1"/>
    <s v="Student"/>
    <n v="3652.35"/>
    <n v="2538.15"/>
    <n v="7664.58"/>
    <s v="No"/>
    <s v="None"/>
    <n v="0"/>
    <n v="0"/>
    <n v="0"/>
    <n v="0"/>
    <n v="0"/>
    <n v="337"/>
    <n v="0.17"/>
    <x v="3"/>
    <x v="320"/>
    <n v="0"/>
  </r>
  <r>
    <s v="U04566"/>
    <x v="39"/>
    <x v="0"/>
    <x v="2"/>
    <x v="1"/>
    <s v="Salesperson"/>
    <n v="4818.28"/>
    <n v="3518.04"/>
    <n v="47317.64"/>
    <s v="Yes"/>
    <s v="Car"/>
    <n v="403694.02"/>
    <n v="120"/>
    <n v="9175.2199999999993"/>
    <n v="24.97"/>
    <n v="1.9"/>
    <n v="755"/>
    <n v="0.82"/>
    <x v="2"/>
    <x v="321"/>
    <n v="1"/>
  </r>
  <r>
    <s v="U04573"/>
    <x v="0"/>
    <x v="0"/>
    <x v="1"/>
    <x v="0"/>
    <s v="Salesperson"/>
    <n v="2666.27"/>
    <n v="838.1"/>
    <n v="7657.55"/>
    <s v="Yes"/>
    <s v="Education"/>
    <n v="40431.14"/>
    <n v="60"/>
    <n v="1305.8499999999999"/>
    <n v="29.91"/>
    <n v="0.49"/>
    <n v="733"/>
    <n v="0.24"/>
    <x v="3"/>
    <x v="322"/>
    <n v="1"/>
  </r>
  <r>
    <s v="U04574"/>
    <x v="26"/>
    <x v="0"/>
    <x v="2"/>
    <x v="1"/>
    <s v="Accountant"/>
    <n v="4894.66"/>
    <n v="3877"/>
    <n v="21968.37"/>
    <s v="No"/>
    <s v="None"/>
    <n v="0"/>
    <n v="0"/>
    <n v="0"/>
    <n v="0"/>
    <n v="0"/>
    <n v="521"/>
    <n v="0.37"/>
    <x v="1"/>
    <x v="103"/>
    <n v="0"/>
  </r>
  <r>
    <s v="U04588"/>
    <x v="32"/>
    <x v="0"/>
    <x v="0"/>
    <x v="2"/>
    <s v="Doctor"/>
    <n v="6428.21"/>
    <n v="4261.3"/>
    <n v="28610.45"/>
    <s v="No"/>
    <s v="None"/>
    <n v="0"/>
    <n v="0"/>
    <n v="0"/>
    <n v="0"/>
    <n v="0"/>
    <n v="466"/>
    <n v="0.37"/>
    <x v="0"/>
    <x v="323"/>
    <n v="0"/>
  </r>
  <r>
    <s v="U04600"/>
    <x v="30"/>
    <x v="1"/>
    <x v="3"/>
    <x v="1"/>
    <s v="Doctor"/>
    <n v="5047.0200000000004"/>
    <n v="3582.86"/>
    <n v="45278.58"/>
    <s v="No"/>
    <s v="None"/>
    <n v="0"/>
    <n v="0"/>
    <n v="0"/>
    <n v="0"/>
    <n v="0"/>
    <n v="373"/>
    <n v="0.75"/>
    <x v="1"/>
    <x v="23"/>
    <n v="0"/>
  </r>
  <r>
    <s v="U04603"/>
    <x v="28"/>
    <x v="1"/>
    <x v="3"/>
    <x v="2"/>
    <s v="Student"/>
    <n v="3189.71"/>
    <n v="2481.56"/>
    <n v="11167.97"/>
    <s v="Yes"/>
    <s v="Home"/>
    <n v="25759.03"/>
    <n v="60"/>
    <n v="513.59"/>
    <n v="7.29"/>
    <n v="0.16"/>
    <n v="452"/>
    <n v="0.28999999999999998"/>
    <x v="1"/>
    <x v="21"/>
    <n v="0"/>
  </r>
  <r>
    <s v="U04608"/>
    <x v="47"/>
    <x v="0"/>
    <x v="3"/>
    <x v="2"/>
    <s v="Accountant"/>
    <n v="3815.8"/>
    <n v="2397.06"/>
    <n v="23335.13"/>
    <s v="No"/>
    <s v="None"/>
    <n v="0"/>
    <n v="0"/>
    <n v="0"/>
    <n v="0"/>
    <n v="0"/>
    <n v="431"/>
    <n v="0.51"/>
    <x v="2"/>
    <x v="324"/>
    <n v="0"/>
  </r>
  <r>
    <s v="U04627"/>
    <x v="1"/>
    <x v="1"/>
    <x v="3"/>
    <x v="1"/>
    <s v="Driver"/>
    <n v="2326.16"/>
    <n v="1386.47"/>
    <n v="16548.419999999998"/>
    <s v="No"/>
    <s v="None"/>
    <n v="0"/>
    <n v="0"/>
    <n v="0"/>
    <n v="0"/>
    <n v="0"/>
    <n v="636"/>
    <n v="0.59"/>
    <x v="0"/>
    <x v="268"/>
    <n v="0"/>
  </r>
  <r>
    <s v="U04629"/>
    <x v="42"/>
    <x v="0"/>
    <x v="0"/>
    <x v="1"/>
    <s v="Driver"/>
    <n v="5766.22"/>
    <n v="4739.91"/>
    <n v="20307.02"/>
    <s v="No"/>
    <s v="None"/>
    <n v="0"/>
    <n v="0"/>
    <n v="0"/>
    <n v="0"/>
    <n v="0"/>
    <n v="825"/>
    <n v="0.28999999999999998"/>
    <x v="2"/>
    <x v="325"/>
    <n v="0"/>
  </r>
  <r>
    <s v="U04653"/>
    <x v="49"/>
    <x v="1"/>
    <x v="3"/>
    <x v="1"/>
    <s v="Student"/>
    <n v="4087.86"/>
    <n v="2917.7"/>
    <n v="40222.1"/>
    <s v="No"/>
    <s v="None"/>
    <n v="0"/>
    <n v="0"/>
    <n v="0"/>
    <n v="0"/>
    <n v="0"/>
    <n v="469"/>
    <n v="0.82"/>
    <x v="4"/>
    <x v="326"/>
    <n v="0"/>
  </r>
  <r>
    <s v="U04670"/>
    <x v="34"/>
    <x v="0"/>
    <x v="3"/>
    <x v="1"/>
    <s v="Doctor"/>
    <n v="3645.65"/>
    <n v="3227.36"/>
    <n v="19903.32"/>
    <s v="No"/>
    <s v="None"/>
    <n v="0"/>
    <n v="0"/>
    <n v="0"/>
    <n v="0"/>
    <n v="0"/>
    <n v="724"/>
    <n v="0.45"/>
    <x v="1"/>
    <x v="327"/>
    <n v="0"/>
  </r>
  <r>
    <s v="U04674"/>
    <x v="47"/>
    <x v="1"/>
    <x v="3"/>
    <x v="1"/>
    <s v="Unemployed"/>
    <n v="4126.87"/>
    <n v="2981.68"/>
    <n v="6737.44"/>
    <s v="No"/>
    <s v="None"/>
    <n v="0"/>
    <n v="0"/>
    <n v="0"/>
    <n v="0"/>
    <n v="0"/>
    <n v="312"/>
    <n v="0.14000000000000001"/>
    <x v="1"/>
    <x v="328"/>
    <n v="0"/>
  </r>
  <r>
    <s v="U04683"/>
    <x v="6"/>
    <x v="0"/>
    <x v="2"/>
    <x v="1"/>
    <s v="Manager"/>
    <n v="2100.5300000000002"/>
    <n v="647.58000000000004"/>
    <n v="21690.52"/>
    <s v="No"/>
    <s v="None"/>
    <n v="0"/>
    <n v="0"/>
    <n v="0"/>
    <n v="0"/>
    <n v="0"/>
    <n v="786"/>
    <n v="0.86"/>
    <x v="4"/>
    <x v="329"/>
    <n v="0"/>
  </r>
  <r>
    <s v="U04694"/>
    <x v="31"/>
    <x v="0"/>
    <x v="3"/>
    <x v="2"/>
    <s v="Teacher"/>
    <n v="4495.97"/>
    <n v="3049.7"/>
    <n v="30861.74"/>
    <s v="No"/>
    <s v="None"/>
    <n v="0"/>
    <n v="0"/>
    <n v="0"/>
    <n v="0"/>
    <n v="0"/>
    <n v="590"/>
    <n v="0.56999999999999995"/>
    <x v="2"/>
    <x v="330"/>
    <n v="0"/>
  </r>
  <r>
    <s v="U04709"/>
    <x v="29"/>
    <x v="0"/>
    <x v="0"/>
    <x v="0"/>
    <s v="Unemployed"/>
    <n v="2431.1799999999998"/>
    <n v="1082.49"/>
    <n v="3631.84"/>
    <s v="No"/>
    <s v="None"/>
    <n v="0"/>
    <n v="0"/>
    <n v="0"/>
    <n v="0"/>
    <n v="0"/>
    <n v="835"/>
    <n v="0.12"/>
    <x v="0"/>
    <x v="331"/>
    <n v="0"/>
  </r>
  <r>
    <s v="U04735"/>
    <x v="23"/>
    <x v="1"/>
    <x v="3"/>
    <x v="0"/>
    <s v="Driver"/>
    <n v="3240.94"/>
    <n v="2336.0700000000002"/>
    <n v="31361.15"/>
    <s v="No"/>
    <s v="None"/>
    <n v="0"/>
    <n v="0"/>
    <n v="0"/>
    <n v="0"/>
    <n v="0"/>
    <n v="648"/>
    <n v="0.81"/>
    <x v="4"/>
    <x v="332"/>
    <n v="0"/>
  </r>
  <r>
    <s v="U04748"/>
    <x v="40"/>
    <x v="2"/>
    <x v="0"/>
    <x v="1"/>
    <s v="Engineer"/>
    <n v="4220.7299999999996"/>
    <n v="2216.67"/>
    <n v="37300.660000000003"/>
    <s v="No"/>
    <s v="None"/>
    <n v="0"/>
    <n v="0"/>
    <n v="0"/>
    <n v="0"/>
    <n v="0"/>
    <n v="504"/>
    <n v="0.74"/>
    <x v="0"/>
    <x v="333"/>
    <n v="0"/>
  </r>
  <r>
    <s v="U04753"/>
    <x v="17"/>
    <x v="0"/>
    <x v="3"/>
    <x v="1"/>
    <s v="Doctor"/>
    <n v="5451.91"/>
    <n v="4821.34"/>
    <n v="26219.16"/>
    <s v="Yes"/>
    <s v="Home"/>
    <n v="185080.79"/>
    <n v="360"/>
    <n v="1179.5899999999999"/>
    <n v="6.58"/>
    <n v="0.22"/>
    <n v="372"/>
    <n v="0.4"/>
    <x v="0"/>
    <x v="334"/>
    <n v="0"/>
  </r>
  <r>
    <s v="U04755"/>
    <x v="29"/>
    <x v="1"/>
    <x v="2"/>
    <x v="2"/>
    <s v="Unemployed"/>
    <n v="1922.23"/>
    <n v="1174.78"/>
    <n v="11623.7"/>
    <s v="Yes"/>
    <s v="Car"/>
    <n v="170445.77"/>
    <n v="240"/>
    <n v="1866.07"/>
    <n v="11.91"/>
    <n v="0.97"/>
    <n v="807"/>
    <n v="0.5"/>
    <x v="3"/>
    <x v="335"/>
    <n v="1"/>
  </r>
  <r>
    <s v="U04760"/>
    <x v="19"/>
    <x v="0"/>
    <x v="3"/>
    <x v="2"/>
    <s v="Manager"/>
    <n v="4102.62"/>
    <n v="3485.27"/>
    <n v="10675.66"/>
    <s v="No"/>
    <s v="None"/>
    <n v="0"/>
    <n v="0"/>
    <n v="0"/>
    <n v="0"/>
    <n v="0"/>
    <n v="335"/>
    <n v="0.22"/>
    <x v="0"/>
    <x v="336"/>
    <n v="0"/>
  </r>
  <r>
    <s v="U04781"/>
    <x v="12"/>
    <x v="1"/>
    <x v="3"/>
    <x v="1"/>
    <s v="Teacher"/>
    <n v="5730.99"/>
    <n v="2506.2199999999998"/>
    <n v="8360.1299999999992"/>
    <s v="No"/>
    <s v="None"/>
    <n v="0"/>
    <n v="0"/>
    <n v="0"/>
    <n v="0"/>
    <n v="0"/>
    <n v="330"/>
    <n v="0.12"/>
    <x v="4"/>
    <x v="337"/>
    <n v="0"/>
  </r>
  <r>
    <s v="U04793"/>
    <x v="7"/>
    <x v="0"/>
    <x v="3"/>
    <x v="3"/>
    <s v="Unemployed"/>
    <n v="4228.1499999999996"/>
    <n v="2063.71"/>
    <n v="13091.42"/>
    <s v="No"/>
    <s v="None"/>
    <n v="0"/>
    <n v="0"/>
    <n v="0"/>
    <n v="0"/>
    <n v="0"/>
    <n v="815"/>
    <n v="0.26"/>
    <x v="4"/>
    <x v="134"/>
    <n v="0"/>
  </r>
  <r>
    <s v="U04800"/>
    <x v="44"/>
    <x v="0"/>
    <x v="3"/>
    <x v="0"/>
    <s v="Accountant"/>
    <n v="5161.62"/>
    <n v="3649.56"/>
    <n v="24767.87"/>
    <s v="No"/>
    <s v="None"/>
    <n v="0"/>
    <n v="0"/>
    <n v="0"/>
    <n v="0"/>
    <n v="0"/>
    <n v="514"/>
    <n v="0.4"/>
    <x v="0"/>
    <x v="6"/>
    <n v="0"/>
  </r>
  <r>
    <s v="U04803"/>
    <x v="43"/>
    <x v="1"/>
    <x v="0"/>
    <x v="0"/>
    <s v="Teacher"/>
    <n v="4935.22"/>
    <n v="2448.86"/>
    <n v="33167.51"/>
    <s v="Yes"/>
    <s v="Education"/>
    <n v="341693.78"/>
    <n v="120"/>
    <n v="4784.53"/>
    <n v="11.4"/>
    <n v="0.97"/>
    <n v="683"/>
    <n v="0.56000000000000005"/>
    <x v="1"/>
    <x v="148"/>
    <n v="1"/>
  </r>
  <r>
    <s v="U04831"/>
    <x v="49"/>
    <x v="0"/>
    <x v="2"/>
    <x v="0"/>
    <s v="Unemployed"/>
    <n v="3532.8"/>
    <n v="2354.65"/>
    <n v="30420.21"/>
    <s v="Yes"/>
    <s v="Home"/>
    <n v="73850.78"/>
    <n v="300"/>
    <n v="1504.01"/>
    <n v="24.38"/>
    <n v="0.43"/>
    <n v="727"/>
    <n v="0.72"/>
    <x v="4"/>
    <x v="338"/>
    <n v="1"/>
  </r>
  <r>
    <s v="U04834"/>
    <x v="25"/>
    <x v="1"/>
    <x v="3"/>
    <x v="3"/>
    <s v="Manager"/>
    <n v="5012.34"/>
    <n v="2599.16"/>
    <n v="22201.21"/>
    <s v="Yes"/>
    <s v="Car"/>
    <n v="105807.13"/>
    <n v="12"/>
    <n v="9322.81"/>
    <n v="10.42"/>
    <n v="1.86"/>
    <n v="436"/>
    <n v="0.37"/>
    <x v="0"/>
    <x v="339"/>
    <n v="1"/>
  </r>
  <r>
    <s v="U04845"/>
    <x v="10"/>
    <x v="1"/>
    <x v="3"/>
    <x v="1"/>
    <s v="Driver"/>
    <n v="1734.9"/>
    <n v="1496.68"/>
    <n v="10296.69"/>
    <s v="No"/>
    <s v="None"/>
    <n v="0"/>
    <n v="0"/>
    <n v="0"/>
    <n v="0"/>
    <n v="0"/>
    <n v="523"/>
    <n v="0.49"/>
    <x v="2"/>
    <x v="340"/>
    <n v="0"/>
  </r>
  <r>
    <s v="U04860"/>
    <x v="51"/>
    <x v="1"/>
    <x v="2"/>
    <x v="1"/>
    <s v="Engineer"/>
    <n v="7252.24"/>
    <n v="2772.94"/>
    <n v="10008.85"/>
    <s v="Yes"/>
    <s v="Car"/>
    <n v="307417.09000000003"/>
    <n v="360"/>
    <n v="6816.96"/>
    <n v="26.6"/>
    <n v="0.94"/>
    <n v="698"/>
    <n v="0.12"/>
    <x v="1"/>
    <x v="341"/>
    <n v="1"/>
  </r>
  <r>
    <s v="U04866"/>
    <x v="21"/>
    <x v="0"/>
    <x v="1"/>
    <x v="1"/>
    <s v="Student"/>
    <n v="4646.6400000000003"/>
    <n v="3540.62"/>
    <n v="23672.34"/>
    <s v="No"/>
    <s v="None"/>
    <n v="0"/>
    <n v="0"/>
    <n v="0"/>
    <n v="0"/>
    <n v="0"/>
    <n v="433"/>
    <n v="0.42"/>
    <x v="2"/>
    <x v="342"/>
    <n v="0"/>
  </r>
  <r>
    <s v="U04885"/>
    <x v="1"/>
    <x v="0"/>
    <x v="3"/>
    <x v="0"/>
    <s v="Student"/>
    <n v="3421.21"/>
    <n v="2150.17"/>
    <n v="17329.21"/>
    <s v="No"/>
    <s v="None"/>
    <n v="0"/>
    <n v="0"/>
    <n v="0"/>
    <n v="0"/>
    <n v="0"/>
    <n v="339"/>
    <n v="0.42"/>
    <x v="3"/>
    <x v="38"/>
    <n v="0"/>
  </r>
  <r>
    <s v="U04923"/>
    <x v="20"/>
    <x v="1"/>
    <x v="3"/>
    <x v="2"/>
    <s v="Unemployed"/>
    <n v="5837.77"/>
    <n v="2183.4"/>
    <n v="39679.14"/>
    <s v="No"/>
    <s v="None"/>
    <n v="0"/>
    <n v="0"/>
    <n v="0"/>
    <n v="0"/>
    <n v="0"/>
    <n v="408"/>
    <n v="0.56999999999999995"/>
    <x v="1"/>
    <x v="343"/>
    <n v="0"/>
  </r>
  <r>
    <s v="U04931"/>
    <x v="28"/>
    <x v="0"/>
    <x v="3"/>
    <x v="1"/>
    <s v="Driver"/>
    <n v="2736.65"/>
    <n v="2006.76"/>
    <n v="12803.82"/>
    <s v="No"/>
    <s v="None"/>
    <n v="0"/>
    <n v="0"/>
    <n v="0"/>
    <n v="0"/>
    <n v="0"/>
    <n v="537"/>
    <n v="0.39"/>
    <x v="0"/>
    <x v="344"/>
    <n v="0"/>
  </r>
  <r>
    <s v="U04933"/>
    <x v="5"/>
    <x v="0"/>
    <x v="0"/>
    <x v="3"/>
    <s v="Accountant"/>
    <n v="6213.98"/>
    <n v="2735.13"/>
    <n v="12008.9"/>
    <s v="No"/>
    <s v="None"/>
    <n v="0"/>
    <n v="0"/>
    <n v="0"/>
    <n v="0"/>
    <n v="0"/>
    <n v="649"/>
    <n v="0.16"/>
    <x v="4"/>
    <x v="345"/>
    <n v="0"/>
  </r>
  <r>
    <s v="U04951"/>
    <x v="24"/>
    <x v="1"/>
    <x v="3"/>
    <x v="0"/>
    <s v="Doctor"/>
    <n v="956.57"/>
    <n v="446.11"/>
    <n v="10458.23"/>
    <s v="No"/>
    <s v="None"/>
    <n v="0"/>
    <n v="0"/>
    <n v="0"/>
    <n v="0"/>
    <n v="0"/>
    <n v="846"/>
    <n v="0.91"/>
    <x v="2"/>
    <x v="346"/>
    <n v="0"/>
  </r>
  <r>
    <s v="U04955"/>
    <x v="34"/>
    <x v="1"/>
    <x v="2"/>
    <x v="1"/>
    <s v="Manager"/>
    <n v="5726.79"/>
    <n v="3906.95"/>
    <n v="46396.61"/>
    <s v="Yes"/>
    <s v="Car"/>
    <n v="22381.119999999999"/>
    <n v="36"/>
    <n v="829.71"/>
    <n v="19.82"/>
    <n v="0.14000000000000001"/>
    <n v="429"/>
    <n v="0.68"/>
    <x v="1"/>
    <x v="158"/>
    <n v="0"/>
  </r>
  <r>
    <s v="U04972"/>
    <x v="18"/>
    <x v="0"/>
    <x v="3"/>
    <x v="2"/>
    <s v="Manager"/>
    <n v="1261.06"/>
    <n v="781.82"/>
    <n v="10862.91"/>
    <s v="No"/>
    <s v="None"/>
    <n v="0"/>
    <n v="0"/>
    <n v="0"/>
    <n v="0"/>
    <n v="0"/>
    <n v="366"/>
    <n v="0.72"/>
    <x v="0"/>
    <x v="347"/>
    <n v="0"/>
  </r>
  <r>
    <s v="U04988"/>
    <x v="48"/>
    <x v="1"/>
    <x v="3"/>
    <x v="1"/>
    <s v="Teacher"/>
    <n v="5104.37"/>
    <n v="1996.07"/>
    <n v="41158.800000000003"/>
    <s v="No"/>
    <s v="None"/>
    <n v="0"/>
    <n v="0"/>
    <n v="0"/>
    <n v="0"/>
    <n v="0"/>
    <n v="410"/>
    <n v="0.67"/>
    <x v="3"/>
    <x v="348"/>
    <n v="0"/>
  </r>
  <r>
    <s v="U05019"/>
    <x v="3"/>
    <x v="1"/>
    <x v="3"/>
    <x v="0"/>
    <s v="Manager"/>
    <n v="5404.5"/>
    <n v="4608.82"/>
    <n v="30881.34"/>
    <s v="No"/>
    <s v="None"/>
    <n v="0"/>
    <n v="0"/>
    <n v="0"/>
    <n v="0"/>
    <n v="0"/>
    <n v="698"/>
    <n v="0.48"/>
    <x v="0"/>
    <x v="349"/>
    <n v="0"/>
  </r>
  <r>
    <s v="U05024"/>
    <x v="42"/>
    <x v="0"/>
    <x v="0"/>
    <x v="2"/>
    <s v="Doctor"/>
    <n v="4683.1899999999996"/>
    <n v="2205.02"/>
    <n v="15355.01"/>
    <s v="Yes"/>
    <s v="Education"/>
    <n v="214291.7"/>
    <n v="300"/>
    <n v="4422.3999999999996"/>
    <n v="24.71"/>
    <n v="0.94"/>
    <n v="404"/>
    <n v="0.27"/>
    <x v="3"/>
    <x v="350"/>
    <n v="1"/>
  </r>
  <r>
    <s v="U05038"/>
    <x v="22"/>
    <x v="0"/>
    <x v="3"/>
    <x v="1"/>
    <s v="Driver"/>
    <n v="7574.75"/>
    <n v="5640.39"/>
    <n v="15687.03"/>
    <s v="Yes"/>
    <s v="Home"/>
    <n v="330138.58"/>
    <n v="300"/>
    <n v="5930.38"/>
    <n v="21.45"/>
    <n v="0.78"/>
    <n v="454"/>
    <n v="0.17"/>
    <x v="3"/>
    <x v="351"/>
    <n v="1"/>
  </r>
  <r>
    <s v="U05056"/>
    <x v="50"/>
    <x v="0"/>
    <x v="3"/>
    <x v="1"/>
    <s v="Manager"/>
    <n v="5330.43"/>
    <n v="4515.76"/>
    <n v="40878.83"/>
    <s v="No"/>
    <s v="None"/>
    <n v="0"/>
    <n v="0"/>
    <n v="0"/>
    <n v="0"/>
    <n v="0"/>
    <n v="776"/>
    <n v="0.64"/>
    <x v="0"/>
    <x v="139"/>
    <n v="0"/>
  </r>
  <r>
    <s v="U05093"/>
    <x v="10"/>
    <x v="1"/>
    <x v="2"/>
    <x v="1"/>
    <s v="Student"/>
    <n v="3425.41"/>
    <n v="1033.76"/>
    <n v="20730.080000000002"/>
    <s v="Yes"/>
    <s v="Car"/>
    <n v="288667.3"/>
    <n v="120"/>
    <n v="5643.89"/>
    <n v="20.34"/>
    <n v="1.65"/>
    <n v="376"/>
    <n v="0.5"/>
    <x v="3"/>
    <x v="62"/>
    <n v="1"/>
  </r>
  <r>
    <s v="U05112"/>
    <x v="1"/>
    <x v="1"/>
    <x v="2"/>
    <x v="3"/>
    <s v="Accountant"/>
    <n v="4752.62"/>
    <n v="4008.54"/>
    <n v="43643.11"/>
    <s v="Yes"/>
    <s v="Car"/>
    <n v="385834.6"/>
    <n v="240"/>
    <n v="7085.3"/>
    <n v="21.74"/>
    <n v="1.49"/>
    <n v="427"/>
    <n v="0.77"/>
    <x v="1"/>
    <x v="352"/>
    <n v="1"/>
  </r>
  <r>
    <s v="U05138"/>
    <x v="0"/>
    <x v="0"/>
    <x v="3"/>
    <x v="2"/>
    <s v="Unemployed"/>
    <n v="4467.1000000000004"/>
    <n v="3162.3"/>
    <n v="22571.31"/>
    <s v="No"/>
    <s v="None"/>
    <n v="0"/>
    <n v="0"/>
    <n v="0"/>
    <n v="0"/>
    <n v="0"/>
    <n v="677"/>
    <n v="0.42"/>
    <x v="3"/>
    <x v="55"/>
    <n v="0"/>
  </r>
  <r>
    <s v="U05139"/>
    <x v="13"/>
    <x v="2"/>
    <x v="2"/>
    <x v="1"/>
    <s v="Doctor"/>
    <n v="3610.05"/>
    <n v="1832.79"/>
    <n v="15368.17"/>
    <s v="Yes"/>
    <s v="Home"/>
    <n v="219177.45"/>
    <n v="360"/>
    <n v="2474.3200000000002"/>
    <n v="13.29"/>
    <n v="0.69"/>
    <n v="539"/>
    <n v="0.35"/>
    <x v="1"/>
    <x v="58"/>
    <n v="1"/>
  </r>
  <r>
    <s v="U05153"/>
    <x v="46"/>
    <x v="2"/>
    <x v="1"/>
    <x v="2"/>
    <s v="Salesperson"/>
    <n v="3111.71"/>
    <n v="2701.07"/>
    <n v="19843.98"/>
    <s v="No"/>
    <s v="None"/>
    <n v="0"/>
    <n v="0"/>
    <n v="0"/>
    <n v="0"/>
    <n v="0"/>
    <n v="360"/>
    <n v="0.53"/>
    <x v="0"/>
    <x v="353"/>
    <n v="0"/>
  </r>
  <r>
    <s v="U05160"/>
    <x v="50"/>
    <x v="1"/>
    <x v="0"/>
    <x v="1"/>
    <s v="Driver"/>
    <n v="4104.8900000000003"/>
    <n v="1925.15"/>
    <n v="21090.57"/>
    <s v="No"/>
    <s v="None"/>
    <n v="0"/>
    <n v="0"/>
    <n v="0"/>
    <n v="0"/>
    <n v="0"/>
    <n v="765"/>
    <n v="0.43"/>
    <x v="3"/>
    <x v="354"/>
    <n v="0"/>
  </r>
  <r>
    <s v="U05174"/>
    <x v="27"/>
    <x v="2"/>
    <x v="2"/>
    <x v="1"/>
    <s v="Salesperson"/>
    <n v="4520.74"/>
    <n v="1840.82"/>
    <n v="35959.919999999998"/>
    <s v="Yes"/>
    <s v="Home"/>
    <n v="4309.53"/>
    <n v="360"/>
    <n v="78.27"/>
    <n v="21.76"/>
    <n v="0.02"/>
    <n v="385"/>
    <n v="0.66"/>
    <x v="1"/>
    <x v="355"/>
    <n v="0"/>
  </r>
  <r>
    <s v="U05179"/>
    <x v="5"/>
    <x v="0"/>
    <x v="0"/>
    <x v="1"/>
    <s v="Engineer"/>
    <n v="3169.24"/>
    <n v="2070.15"/>
    <n v="16877.89"/>
    <s v="Yes"/>
    <s v="Business"/>
    <n v="145956.57999999999"/>
    <n v="60"/>
    <n v="2767.1"/>
    <n v="5.19"/>
    <n v="0.87"/>
    <n v="787"/>
    <n v="0.44"/>
    <x v="4"/>
    <x v="356"/>
    <n v="1"/>
  </r>
  <r>
    <s v="U05196"/>
    <x v="20"/>
    <x v="0"/>
    <x v="2"/>
    <x v="1"/>
    <s v="Doctor"/>
    <n v="4277.3100000000004"/>
    <n v="2222.7600000000002"/>
    <n v="37455.78"/>
    <s v="No"/>
    <s v="None"/>
    <n v="0"/>
    <n v="0"/>
    <n v="0"/>
    <n v="0"/>
    <n v="0"/>
    <n v="708"/>
    <n v="0.73"/>
    <x v="4"/>
    <x v="357"/>
    <n v="0"/>
  </r>
  <r>
    <s v="U05214"/>
    <x v="27"/>
    <x v="0"/>
    <x v="3"/>
    <x v="2"/>
    <s v="Teacher"/>
    <n v="7728.53"/>
    <n v="4249.9799999999996"/>
    <n v="90839.73"/>
    <s v="Yes"/>
    <s v="Car"/>
    <n v="282776.61"/>
    <n v="180"/>
    <n v="6649.96"/>
    <n v="27.76"/>
    <n v="0.86"/>
    <n v="679"/>
    <n v="0.98"/>
    <x v="0"/>
    <x v="358"/>
    <n v="1"/>
  </r>
  <r>
    <s v="U05221"/>
    <x v="24"/>
    <x v="1"/>
    <x v="3"/>
    <x v="1"/>
    <s v="Student"/>
    <n v="2864.45"/>
    <n v="2009.66"/>
    <n v="29855.19"/>
    <s v="No"/>
    <s v="None"/>
    <n v="0"/>
    <n v="0"/>
    <n v="0"/>
    <n v="0"/>
    <n v="0"/>
    <n v="423"/>
    <n v="0.87"/>
    <x v="2"/>
    <x v="359"/>
    <n v="0"/>
  </r>
  <r>
    <s v="U05225"/>
    <x v="49"/>
    <x v="1"/>
    <x v="3"/>
    <x v="1"/>
    <s v="Manager"/>
    <n v="500"/>
    <n v="152.88999999999999"/>
    <n v="2761.98"/>
    <s v="No"/>
    <s v="None"/>
    <n v="0"/>
    <n v="0"/>
    <n v="0"/>
    <n v="0"/>
    <n v="0"/>
    <n v="423"/>
    <n v="0.46"/>
    <x v="1"/>
    <x v="360"/>
    <n v="0"/>
  </r>
  <r>
    <s v="U05237"/>
    <x v="5"/>
    <x v="1"/>
    <x v="3"/>
    <x v="1"/>
    <s v="Accountant"/>
    <n v="4521.42"/>
    <n v="3148.32"/>
    <n v="49959.29"/>
    <s v="No"/>
    <s v="None"/>
    <n v="0"/>
    <n v="0"/>
    <n v="0"/>
    <n v="0"/>
    <n v="0"/>
    <n v="558"/>
    <n v="0.92"/>
    <x v="2"/>
    <x v="361"/>
    <n v="0"/>
  </r>
  <r>
    <s v="U05266"/>
    <x v="42"/>
    <x v="1"/>
    <x v="3"/>
    <x v="0"/>
    <s v="Manager"/>
    <n v="4042.77"/>
    <n v="2955.25"/>
    <n v="41785.160000000003"/>
    <s v="No"/>
    <s v="None"/>
    <n v="0"/>
    <n v="0"/>
    <n v="0"/>
    <n v="0"/>
    <n v="0"/>
    <n v="507"/>
    <n v="0.86"/>
    <x v="0"/>
    <x v="362"/>
    <n v="0"/>
  </r>
  <r>
    <s v="U05271"/>
    <x v="30"/>
    <x v="1"/>
    <x v="3"/>
    <x v="1"/>
    <s v="Teacher"/>
    <n v="5304.77"/>
    <n v="2310.13"/>
    <n v="61916.12"/>
    <s v="No"/>
    <s v="None"/>
    <n v="0"/>
    <n v="0"/>
    <n v="0"/>
    <n v="0"/>
    <n v="0"/>
    <n v="417"/>
    <n v="0.97"/>
    <x v="2"/>
    <x v="344"/>
    <n v="0"/>
  </r>
  <r>
    <s v="U05305"/>
    <x v="20"/>
    <x v="0"/>
    <x v="0"/>
    <x v="1"/>
    <s v="Teacher"/>
    <n v="3449.74"/>
    <n v="2124.5500000000002"/>
    <n v="35980.43"/>
    <s v="Yes"/>
    <s v="Home"/>
    <n v="143888.98000000001"/>
    <n v="120"/>
    <n v="2191.92"/>
    <n v="13.51"/>
    <n v="0.64"/>
    <n v="631"/>
    <n v="0.87"/>
    <x v="4"/>
    <x v="363"/>
    <n v="1"/>
  </r>
  <r>
    <s v="U05319"/>
    <x v="28"/>
    <x v="1"/>
    <x v="3"/>
    <x v="1"/>
    <s v="Manager"/>
    <n v="5486.9"/>
    <n v="4129.6400000000003"/>
    <n v="50631.47"/>
    <s v="No"/>
    <s v="None"/>
    <n v="0"/>
    <n v="0"/>
    <n v="0"/>
    <n v="0"/>
    <n v="0"/>
    <n v="529"/>
    <n v="0.77"/>
    <x v="4"/>
    <x v="364"/>
    <n v="0"/>
  </r>
  <r>
    <s v="U05322"/>
    <x v="39"/>
    <x v="0"/>
    <x v="2"/>
    <x v="1"/>
    <s v="Manager"/>
    <n v="4305.3500000000004"/>
    <n v="1956.39"/>
    <n v="30873.27"/>
    <s v="No"/>
    <s v="None"/>
    <n v="0"/>
    <n v="0"/>
    <n v="0"/>
    <n v="0"/>
    <n v="0"/>
    <n v="474"/>
    <n v="0.6"/>
    <x v="4"/>
    <x v="365"/>
    <n v="0"/>
  </r>
  <r>
    <s v="U05336"/>
    <x v="18"/>
    <x v="2"/>
    <x v="0"/>
    <x v="1"/>
    <s v="Manager"/>
    <n v="4291.74"/>
    <n v="2950.48"/>
    <n v="17684.830000000002"/>
    <s v="No"/>
    <s v="None"/>
    <n v="0"/>
    <n v="0"/>
    <n v="0"/>
    <n v="0"/>
    <n v="0"/>
    <n v="841"/>
    <n v="0.34"/>
    <x v="3"/>
    <x v="366"/>
    <n v="0"/>
  </r>
  <r>
    <s v="U05341"/>
    <x v="12"/>
    <x v="1"/>
    <x v="0"/>
    <x v="2"/>
    <s v="Engineer"/>
    <n v="4024.61"/>
    <n v="1548.3"/>
    <n v="47245.04"/>
    <s v="No"/>
    <s v="None"/>
    <n v="0"/>
    <n v="0"/>
    <n v="0"/>
    <n v="0"/>
    <n v="0"/>
    <n v="548"/>
    <n v="0.98"/>
    <x v="2"/>
    <x v="367"/>
    <n v="0"/>
  </r>
  <r>
    <s v="U05345"/>
    <x v="29"/>
    <x v="0"/>
    <x v="3"/>
    <x v="2"/>
    <s v="Teacher"/>
    <n v="3820.09"/>
    <n v="3089.02"/>
    <n v="20813.75"/>
    <s v="Yes"/>
    <s v="Education"/>
    <n v="157017.45000000001"/>
    <n v="120"/>
    <n v="1524.89"/>
    <n v="3.12"/>
    <n v="0.4"/>
    <n v="315"/>
    <n v="0.45"/>
    <x v="2"/>
    <x v="63"/>
    <n v="0"/>
  </r>
  <r>
    <s v="U05349"/>
    <x v="33"/>
    <x v="0"/>
    <x v="2"/>
    <x v="2"/>
    <s v="Student"/>
    <n v="5490.5"/>
    <n v="2622.14"/>
    <n v="12310.18"/>
    <s v="No"/>
    <s v="None"/>
    <n v="0"/>
    <n v="0"/>
    <n v="0"/>
    <n v="0"/>
    <n v="0"/>
    <n v="445"/>
    <n v="0.19"/>
    <x v="4"/>
    <x v="86"/>
    <n v="0"/>
  </r>
  <r>
    <s v="U05351"/>
    <x v="50"/>
    <x v="1"/>
    <x v="3"/>
    <x v="0"/>
    <s v="Accountant"/>
    <n v="500"/>
    <n v="276.60000000000002"/>
    <n v="3900.21"/>
    <s v="No"/>
    <s v="None"/>
    <n v="0"/>
    <n v="0"/>
    <n v="0"/>
    <n v="0"/>
    <n v="0"/>
    <n v="683"/>
    <n v="0.65"/>
    <x v="4"/>
    <x v="65"/>
    <n v="0"/>
  </r>
  <r>
    <s v="U05354"/>
    <x v="0"/>
    <x v="1"/>
    <x v="3"/>
    <x v="2"/>
    <s v="Teacher"/>
    <n v="7050.4"/>
    <n v="5131.17"/>
    <n v="33589.5"/>
    <s v="No"/>
    <s v="None"/>
    <n v="0"/>
    <n v="0"/>
    <n v="0"/>
    <n v="0"/>
    <n v="0"/>
    <n v="695"/>
    <n v="0.4"/>
    <x v="4"/>
    <x v="136"/>
    <n v="0"/>
  </r>
  <r>
    <s v="U05409"/>
    <x v="16"/>
    <x v="1"/>
    <x v="4"/>
    <x v="0"/>
    <s v="Salesperson"/>
    <n v="6573.76"/>
    <n v="3281.33"/>
    <n v="25234.58"/>
    <s v="Yes"/>
    <s v="Car"/>
    <n v="399728.24"/>
    <n v="360"/>
    <n v="7530.72"/>
    <n v="22.58"/>
    <n v="1.1499999999999999"/>
    <n v="425"/>
    <n v="0.32"/>
    <x v="1"/>
    <x v="368"/>
    <n v="1"/>
  </r>
  <r>
    <s v="U05420"/>
    <x v="50"/>
    <x v="1"/>
    <x v="0"/>
    <x v="1"/>
    <s v="Doctor"/>
    <n v="5157.09"/>
    <n v="2851.07"/>
    <n v="31469.71"/>
    <s v="Yes"/>
    <s v="Education"/>
    <n v="238907.19"/>
    <n v="36"/>
    <n v="7222.64"/>
    <n v="5.58"/>
    <n v="1.4"/>
    <n v="539"/>
    <n v="0.51"/>
    <x v="3"/>
    <x v="369"/>
    <n v="1"/>
  </r>
  <r>
    <s v="U05434"/>
    <x v="25"/>
    <x v="1"/>
    <x v="2"/>
    <x v="1"/>
    <s v="Unemployed"/>
    <n v="7830.55"/>
    <n v="6414.79"/>
    <n v="52888.59"/>
    <s v="No"/>
    <s v="None"/>
    <n v="0"/>
    <n v="0"/>
    <n v="0"/>
    <n v="0"/>
    <n v="0"/>
    <n v="651"/>
    <n v="0.56000000000000005"/>
    <x v="0"/>
    <x v="370"/>
    <n v="0"/>
  </r>
  <r>
    <s v="U05458"/>
    <x v="51"/>
    <x v="1"/>
    <x v="0"/>
    <x v="1"/>
    <s v="Salesperson"/>
    <n v="3614.67"/>
    <n v="2278.14"/>
    <n v="36419.699999999997"/>
    <s v="No"/>
    <s v="None"/>
    <n v="0"/>
    <n v="0"/>
    <n v="0"/>
    <n v="0"/>
    <n v="0"/>
    <n v="521"/>
    <n v="0.84"/>
    <x v="3"/>
    <x v="172"/>
    <n v="0"/>
  </r>
  <r>
    <s v="U05461"/>
    <x v="21"/>
    <x v="1"/>
    <x v="2"/>
    <x v="2"/>
    <s v="Engineer"/>
    <n v="2786.3"/>
    <n v="2027.04"/>
    <n v="4514.9399999999996"/>
    <s v="No"/>
    <s v="None"/>
    <n v="0"/>
    <n v="0"/>
    <n v="0"/>
    <n v="0"/>
    <n v="0"/>
    <n v="503"/>
    <n v="0.14000000000000001"/>
    <x v="3"/>
    <x v="227"/>
    <n v="0"/>
  </r>
  <r>
    <s v="U05481"/>
    <x v="38"/>
    <x v="2"/>
    <x v="2"/>
    <x v="1"/>
    <s v="Unemployed"/>
    <n v="4565.3"/>
    <n v="1709.62"/>
    <n v="46318.239999999998"/>
    <s v="Yes"/>
    <s v="Home"/>
    <n v="357628.42"/>
    <n v="360"/>
    <n v="4031.7"/>
    <n v="13.27"/>
    <n v="0.88"/>
    <n v="716"/>
    <n v="0.85"/>
    <x v="2"/>
    <x v="371"/>
    <n v="1"/>
  </r>
  <r>
    <s v="U05531"/>
    <x v="11"/>
    <x v="1"/>
    <x v="3"/>
    <x v="1"/>
    <s v="Engineer"/>
    <n v="2463.6999999999998"/>
    <n v="1891.44"/>
    <n v="9602.2999999999993"/>
    <s v="No"/>
    <s v="None"/>
    <n v="0"/>
    <n v="0"/>
    <n v="0"/>
    <n v="0"/>
    <n v="0"/>
    <n v="319"/>
    <n v="0.32"/>
    <x v="3"/>
    <x v="372"/>
    <n v="0"/>
  </r>
  <r>
    <s v="U05537"/>
    <x v="43"/>
    <x v="0"/>
    <x v="0"/>
    <x v="2"/>
    <s v="Salesperson"/>
    <n v="1764.55"/>
    <n v="739.48"/>
    <n v="11626.25"/>
    <s v="No"/>
    <s v="None"/>
    <n v="0"/>
    <n v="0"/>
    <n v="0"/>
    <n v="0"/>
    <n v="0"/>
    <n v="424"/>
    <n v="0.55000000000000004"/>
    <x v="2"/>
    <x v="373"/>
    <n v="0"/>
  </r>
  <r>
    <s v="U05539"/>
    <x v="27"/>
    <x v="0"/>
    <x v="3"/>
    <x v="1"/>
    <s v="Manager"/>
    <n v="1807.93"/>
    <n v="919.76"/>
    <n v="15869.56"/>
    <s v="No"/>
    <s v="None"/>
    <n v="0"/>
    <n v="0"/>
    <n v="0"/>
    <n v="0"/>
    <n v="0"/>
    <n v="344"/>
    <n v="0.73"/>
    <x v="2"/>
    <x v="38"/>
    <n v="0"/>
  </r>
  <r>
    <s v="U05543"/>
    <x v="24"/>
    <x v="0"/>
    <x v="2"/>
    <x v="1"/>
    <s v="Doctor"/>
    <n v="3601.92"/>
    <n v="2039.52"/>
    <n v="25742.91"/>
    <s v="No"/>
    <s v="None"/>
    <n v="0"/>
    <n v="0"/>
    <n v="0"/>
    <n v="0"/>
    <n v="0"/>
    <n v="821"/>
    <n v="0.6"/>
    <x v="4"/>
    <x v="374"/>
    <n v="0"/>
  </r>
  <r>
    <s v="U05551"/>
    <x v="27"/>
    <x v="0"/>
    <x v="2"/>
    <x v="2"/>
    <s v="Doctor"/>
    <n v="1613.79"/>
    <n v="1326.32"/>
    <n v="13995.3"/>
    <s v="Yes"/>
    <s v="Car"/>
    <n v="168565.6"/>
    <n v="240"/>
    <n v="3107.54"/>
    <n v="21.83"/>
    <n v="1.93"/>
    <n v="517"/>
    <n v="0.72"/>
    <x v="4"/>
    <x v="375"/>
    <n v="1"/>
  </r>
  <r>
    <s v="U05562"/>
    <x v="32"/>
    <x v="1"/>
    <x v="3"/>
    <x v="1"/>
    <s v="Salesperson"/>
    <n v="3685.35"/>
    <n v="1559.27"/>
    <n v="40490.74"/>
    <s v="Yes"/>
    <s v="Car"/>
    <n v="200856.82"/>
    <n v="360"/>
    <n v="1530.2"/>
    <n v="8.4"/>
    <n v="0.42"/>
    <n v="390"/>
    <n v="0.92"/>
    <x v="4"/>
    <x v="376"/>
    <n v="1"/>
  </r>
  <r>
    <s v="U05566"/>
    <x v="10"/>
    <x v="0"/>
    <x v="0"/>
    <x v="1"/>
    <s v="Student"/>
    <n v="5852.14"/>
    <n v="3732.87"/>
    <n v="37493"/>
    <s v="No"/>
    <s v="None"/>
    <n v="0"/>
    <n v="0"/>
    <n v="0"/>
    <n v="0"/>
    <n v="0"/>
    <n v="808"/>
    <n v="0.53"/>
    <x v="1"/>
    <x v="91"/>
    <n v="0"/>
  </r>
  <r>
    <s v="U05567"/>
    <x v="48"/>
    <x v="0"/>
    <x v="2"/>
    <x v="1"/>
    <s v="Doctor"/>
    <n v="3598.44"/>
    <n v="1595.13"/>
    <n v="33671.269999999997"/>
    <s v="No"/>
    <s v="None"/>
    <n v="0"/>
    <n v="0"/>
    <n v="0"/>
    <n v="0"/>
    <n v="0"/>
    <n v="572"/>
    <n v="0.78"/>
    <x v="1"/>
    <x v="377"/>
    <n v="0"/>
  </r>
  <r>
    <s v="U05578"/>
    <x v="26"/>
    <x v="0"/>
    <x v="2"/>
    <x v="1"/>
    <s v="Doctor"/>
    <n v="2913.08"/>
    <n v="2011.27"/>
    <n v="34130.49"/>
    <s v="Yes"/>
    <s v="Education"/>
    <n v="329651.01"/>
    <n v="360"/>
    <n v="3693.03"/>
    <n v="13.18"/>
    <n v="1.27"/>
    <n v="768"/>
    <n v="0.98"/>
    <x v="4"/>
    <x v="378"/>
    <n v="1"/>
  </r>
  <r>
    <s v="U05605"/>
    <x v="34"/>
    <x v="1"/>
    <x v="4"/>
    <x v="2"/>
    <s v="Engineer"/>
    <n v="5869.87"/>
    <n v="3432.62"/>
    <n v="30003.52"/>
    <s v="Yes"/>
    <s v="Home"/>
    <n v="64852.34"/>
    <n v="120"/>
    <n v="1171.8900000000001"/>
    <n v="18.079999999999998"/>
    <n v="0.2"/>
    <n v="390"/>
    <n v="0.43"/>
    <x v="0"/>
    <x v="379"/>
    <n v="0"/>
  </r>
  <r>
    <s v="U05607"/>
    <x v="46"/>
    <x v="0"/>
    <x v="3"/>
    <x v="1"/>
    <s v="Salesperson"/>
    <n v="4537.08"/>
    <n v="2012.25"/>
    <n v="19328.09"/>
    <s v="No"/>
    <s v="None"/>
    <n v="0"/>
    <n v="0"/>
    <n v="0"/>
    <n v="0"/>
    <n v="0"/>
    <n v="631"/>
    <n v="0.36"/>
    <x v="3"/>
    <x v="380"/>
    <n v="0"/>
  </r>
  <r>
    <s v="U05613"/>
    <x v="38"/>
    <x v="0"/>
    <x v="3"/>
    <x v="2"/>
    <s v="Manager"/>
    <n v="2897.67"/>
    <n v="1928.75"/>
    <n v="10569.01"/>
    <s v="Yes"/>
    <s v="Home"/>
    <n v="149800.48000000001"/>
    <n v="240"/>
    <n v="2301.52"/>
    <n v="17.91"/>
    <n v="0.79"/>
    <n v="314"/>
    <n v="0.3"/>
    <x v="1"/>
    <x v="381"/>
    <n v="1"/>
  </r>
  <r>
    <s v="U05621"/>
    <x v="36"/>
    <x v="1"/>
    <x v="2"/>
    <x v="1"/>
    <s v="Driver"/>
    <n v="4409.92"/>
    <n v="2399.7800000000002"/>
    <n v="41318.21"/>
    <s v="No"/>
    <s v="None"/>
    <n v="0"/>
    <n v="0"/>
    <n v="0"/>
    <n v="0"/>
    <n v="0"/>
    <n v="478"/>
    <n v="0.78"/>
    <x v="1"/>
    <x v="382"/>
    <n v="0"/>
  </r>
  <r>
    <s v="U05624"/>
    <x v="45"/>
    <x v="1"/>
    <x v="1"/>
    <x v="3"/>
    <s v="Manager"/>
    <n v="5029.3900000000003"/>
    <n v="3555.25"/>
    <n v="56382.78"/>
    <s v="No"/>
    <s v="None"/>
    <n v="0"/>
    <n v="0"/>
    <n v="0"/>
    <n v="0"/>
    <n v="0"/>
    <n v="402"/>
    <n v="0.93"/>
    <x v="1"/>
    <x v="182"/>
    <n v="0"/>
  </r>
  <r>
    <s v="U05628"/>
    <x v="5"/>
    <x v="1"/>
    <x v="4"/>
    <x v="1"/>
    <s v="Unemployed"/>
    <n v="2358.92"/>
    <n v="737.36"/>
    <n v="5081.7299999999996"/>
    <s v="Yes"/>
    <s v="Car"/>
    <n v="42548.76"/>
    <n v="240"/>
    <n v="948.43"/>
    <n v="26.61"/>
    <n v="0.4"/>
    <n v="697"/>
    <n v="0.18"/>
    <x v="0"/>
    <x v="123"/>
    <n v="0"/>
  </r>
  <r>
    <s v="U05657"/>
    <x v="12"/>
    <x v="1"/>
    <x v="2"/>
    <x v="2"/>
    <s v="Student"/>
    <n v="3712.27"/>
    <n v="2343.6"/>
    <n v="15414.12"/>
    <s v="No"/>
    <s v="None"/>
    <n v="0"/>
    <n v="0"/>
    <n v="0"/>
    <n v="0"/>
    <n v="0"/>
    <n v="609"/>
    <n v="0.35"/>
    <x v="0"/>
    <x v="383"/>
    <n v="0"/>
  </r>
  <r>
    <s v="U05659"/>
    <x v="29"/>
    <x v="1"/>
    <x v="2"/>
    <x v="1"/>
    <s v="Teacher"/>
    <n v="2100"/>
    <n v="1151.8900000000001"/>
    <n v="20475.37"/>
    <s v="No"/>
    <s v="None"/>
    <n v="0"/>
    <n v="0"/>
    <n v="0"/>
    <n v="0"/>
    <n v="0"/>
    <n v="811"/>
    <n v="0.81"/>
    <x v="1"/>
    <x v="217"/>
    <n v="0"/>
  </r>
  <r>
    <s v="U05660"/>
    <x v="49"/>
    <x v="0"/>
    <x v="3"/>
    <x v="1"/>
    <s v="Student"/>
    <n v="4142"/>
    <n v="2527.06"/>
    <n v="28569.64"/>
    <s v="No"/>
    <s v="None"/>
    <n v="0"/>
    <n v="0"/>
    <n v="0"/>
    <n v="0"/>
    <n v="0"/>
    <n v="793"/>
    <n v="0.56999999999999995"/>
    <x v="1"/>
    <x v="384"/>
    <n v="0"/>
  </r>
  <r>
    <s v="U05684"/>
    <x v="15"/>
    <x v="1"/>
    <x v="0"/>
    <x v="1"/>
    <s v="Unemployed"/>
    <n v="6686.55"/>
    <n v="4778.51"/>
    <n v="58076.06"/>
    <s v="No"/>
    <s v="None"/>
    <n v="0"/>
    <n v="0"/>
    <n v="0"/>
    <n v="0"/>
    <n v="0"/>
    <n v="569"/>
    <n v="0.72"/>
    <x v="2"/>
    <x v="385"/>
    <n v="0"/>
  </r>
  <r>
    <s v="U05685"/>
    <x v="31"/>
    <x v="2"/>
    <x v="0"/>
    <x v="1"/>
    <s v="Teacher"/>
    <n v="6271.41"/>
    <n v="4343.46"/>
    <n v="58568.9"/>
    <s v="No"/>
    <s v="None"/>
    <n v="0"/>
    <n v="0"/>
    <n v="0"/>
    <n v="0"/>
    <n v="0"/>
    <n v="515"/>
    <n v="0.78"/>
    <x v="3"/>
    <x v="386"/>
    <n v="0"/>
  </r>
  <r>
    <s v="U05701"/>
    <x v="26"/>
    <x v="0"/>
    <x v="3"/>
    <x v="1"/>
    <s v="Driver"/>
    <n v="4789.55"/>
    <n v="3673.09"/>
    <n v="17715.25"/>
    <s v="No"/>
    <s v="None"/>
    <n v="0"/>
    <n v="0"/>
    <n v="0"/>
    <n v="0"/>
    <n v="0"/>
    <n v="323"/>
    <n v="0.31"/>
    <x v="4"/>
    <x v="364"/>
    <n v="0"/>
  </r>
  <r>
    <s v="U05719"/>
    <x v="14"/>
    <x v="0"/>
    <x v="2"/>
    <x v="2"/>
    <s v="Engineer"/>
    <n v="5391.96"/>
    <n v="2322.16"/>
    <n v="56093.85"/>
    <s v="No"/>
    <s v="None"/>
    <n v="0"/>
    <n v="0"/>
    <n v="0"/>
    <n v="0"/>
    <n v="0"/>
    <n v="579"/>
    <n v="0.87"/>
    <x v="4"/>
    <x v="387"/>
    <n v="0"/>
  </r>
  <r>
    <s v="U05739"/>
    <x v="17"/>
    <x v="0"/>
    <x v="0"/>
    <x v="1"/>
    <s v="Engineer"/>
    <n v="1857.48"/>
    <n v="563.85"/>
    <n v="8777.84"/>
    <s v="No"/>
    <s v="None"/>
    <n v="0"/>
    <n v="0"/>
    <n v="0"/>
    <n v="0"/>
    <n v="0"/>
    <n v="814"/>
    <n v="0.39"/>
    <x v="2"/>
    <x v="388"/>
    <n v="0"/>
  </r>
  <r>
    <s v="U05744"/>
    <x v="17"/>
    <x v="1"/>
    <x v="3"/>
    <x v="1"/>
    <s v="Student"/>
    <n v="5312.94"/>
    <n v="3280.87"/>
    <n v="33330.15"/>
    <s v="Yes"/>
    <s v="Business"/>
    <n v="209340.5"/>
    <n v="300"/>
    <n v="4958.84"/>
    <n v="28.4"/>
    <n v="0.93"/>
    <n v="763"/>
    <n v="0.52"/>
    <x v="2"/>
    <x v="389"/>
    <n v="1"/>
  </r>
  <r>
    <s v="U05760"/>
    <x v="22"/>
    <x v="0"/>
    <x v="2"/>
    <x v="2"/>
    <s v="Doctor"/>
    <n v="6126.16"/>
    <n v="4766.95"/>
    <n v="31655.200000000001"/>
    <s v="Yes"/>
    <s v="Car"/>
    <n v="30353.39"/>
    <n v="24"/>
    <n v="1414.28"/>
    <n v="10.97"/>
    <n v="0.23"/>
    <n v="656"/>
    <n v="0.43"/>
    <x v="4"/>
    <x v="390"/>
    <n v="0"/>
  </r>
  <r>
    <s v="U05795"/>
    <x v="26"/>
    <x v="0"/>
    <x v="2"/>
    <x v="1"/>
    <s v="Unemployed"/>
    <n v="2666.99"/>
    <n v="819.02"/>
    <n v="9262.91"/>
    <s v="No"/>
    <s v="None"/>
    <n v="0"/>
    <n v="0"/>
    <n v="0"/>
    <n v="0"/>
    <n v="0"/>
    <n v="456"/>
    <n v="0.28999999999999998"/>
    <x v="4"/>
    <x v="391"/>
    <n v="0"/>
  </r>
  <r>
    <s v="U05804"/>
    <x v="51"/>
    <x v="0"/>
    <x v="0"/>
    <x v="2"/>
    <s v="Driver"/>
    <n v="3708.41"/>
    <n v="2364.27"/>
    <n v="36917.519999999997"/>
    <s v="No"/>
    <s v="None"/>
    <n v="0"/>
    <n v="0"/>
    <n v="0"/>
    <n v="0"/>
    <n v="0"/>
    <n v="746"/>
    <n v="0.83"/>
    <x v="3"/>
    <x v="392"/>
    <n v="0"/>
  </r>
  <r>
    <s v="U05818"/>
    <x v="9"/>
    <x v="2"/>
    <x v="3"/>
    <x v="0"/>
    <s v="Teacher"/>
    <n v="5642.62"/>
    <n v="2715.13"/>
    <n v="62865.69"/>
    <s v="Yes"/>
    <s v="Car"/>
    <n v="218719.69"/>
    <n v="360"/>
    <n v="3205.36"/>
    <n v="17.489999999999998"/>
    <n v="0.56999999999999995"/>
    <n v="822"/>
    <n v="0.93"/>
    <x v="3"/>
    <x v="393"/>
    <n v="1"/>
  </r>
  <r>
    <s v="U05821"/>
    <x v="31"/>
    <x v="0"/>
    <x v="2"/>
    <x v="1"/>
    <s v="Driver"/>
    <n v="3381.94"/>
    <n v="1291"/>
    <n v="15542.27"/>
    <s v="No"/>
    <s v="None"/>
    <n v="0"/>
    <n v="0"/>
    <n v="0"/>
    <n v="0"/>
    <n v="0"/>
    <n v="589"/>
    <n v="0.38"/>
    <x v="1"/>
    <x v="394"/>
    <n v="0"/>
  </r>
  <r>
    <s v="U05836"/>
    <x v="46"/>
    <x v="1"/>
    <x v="0"/>
    <x v="1"/>
    <s v="Driver"/>
    <n v="5627.51"/>
    <n v="4965.05"/>
    <n v="29973.85"/>
    <s v="No"/>
    <s v="None"/>
    <n v="0"/>
    <n v="0"/>
    <n v="0"/>
    <n v="0"/>
    <n v="0"/>
    <n v="323"/>
    <n v="0.44"/>
    <x v="1"/>
    <x v="395"/>
    <n v="0"/>
  </r>
  <r>
    <s v="U05847"/>
    <x v="7"/>
    <x v="1"/>
    <x v="0"/>
    <x v="1"/>
    <s v="Unemployed"/>
    <n v="5514.02"/>
    <n v="1799.11"/>
    <n v="64551.41"/>
    <s v="No"/>
    <s v="None"/>
    <n v="0"/>
    <n v="0"/>
    <n v="0"/>
    <n v="0"/>
    <n v="0"/>
    <n v="359"/>
    <n v="0.98"/>
    <x v="4"/>
    <x v="396"/>
    <n v="0"/>
  </r>
  <r>
    <s v="U05873"/>
    <x v="33"/>
    <x v="1"/>
    <x v="3"/>
    <x v="2"/>
    <s v="Salesperson"/>
    <n v="5761.81"/>
    <n v="4593.08"/>
    <n v="9621.2099999999991"/>
    <s v="Yes"/>
    <s v="Business"/>
    <n v="381767.89"/>
    <n v="60"/>
    <n v="7199.19"/>
    <n v="4.97"/>
    <n v="1.25"/>
    <n v="603"/>
    <n v="0.14000000000000001"/>
    <x v="2"/>
    <x v="153"/>
    <n v="1"/>
  </r>
  <r>
    <s v="U05897"/>
    <x v="4"/>
    <x v="0"/>
    <x v="2"/>
    <x v="2"/>
    <s v="Unemployed"/>
    <n v="5731.87"/>
    <n v="2751.07"/>
    <n v="63003.69"/>
    <s v="Yes"/>
    <s v="Business"/>
    <n v="132946.25"/>
    <n v="36"/>
    <n v="4410.6400000000003"/>
    <n v="11.92"/>
    <n v="0.77"/>
    <n v="518"/>
    <n v="0.92"/>
    <x v="4"/>
    <x v="238"/>
    <n v="1"/>
  </r>
  <r>
    <s v="U05909"/>
    <x v="23"/>
    <x v="1"/>
    <x v="3"/>
    <x v="2"/>
    <s v="Doctor"/>
    <n v="7130.92"/>
    <n v="4610.68"/>
    <n v="39328.269999999997"/>
    <s v="No"/>
    <s v="None"/>
    <n v="0"/>
    <n v="0"/>
    <n v="0"/>
    <n v="0"/>
    <n v="0"/>
    <n v="499"/>
    <n v="0.46"/>
    <x v="1"/>
    <x v="397"/>
    <n v="0"/>
  </r>
  <r>
    <s v="U05914"/>
    <x v="25"/>
    <x v="1"/>
    <x v="0"/>
    <x v="2"/>
    <s v="Unemployed"/>
    <n v="4426.91"/>
    <n v="2679.28"/>
    <n v="50939.3"/>
    <s v="No"/>
    <s v="None"/>
    <n v="0"/>
    <n v="0"/>
    <n v="0"/>
    <n v="0"/>
    <n v="0"/>
    <n v="315"/>
    <n v="0.96"/>
    <x v="0"/>
    <x v="398"/>
    <n v="0"/>
  </r>
  <r>
    <s v="U05945"/>
    <x v="14"/>
    <x v="1"/>
    <x v="2"/>
    <x v="1"/>
    <s v="Driver"/>
    <n v="3114.94"/>
    <n v="1278.05"/>
    <n v="19812.71"/>
    <s v="No"/>
    <s v="None"/>
    <n v="0"/>
    <n v="0"/>
    <n v="0"/>
    <n v="0"/>
    <n v="0"/>
    <n v="553"/>
    <n v="0.53"/>
    <x v="2"/>
    <x v="389"/>
    <n v="0"/>
  </r>
  <r>
    <s v="U05973"/>
    <x v="2"/>
    <x v="0"/>
    <x v="3"/>
    <x v="3"/>
    <s v="Engineer"/>
    <n v="4057.89"/>
    <n v="2189.71"/>
    <n v="40563.120000000003"/>
    <s v="No"/>
    <s v="None"/>
    <n v="0"/>
    <n v="0"/>
    <n v="0"/>
    <n v="0"/>
    <n v="0"/>
    <n v="785"/>
    <n v="0.83"/>
    <x v="4"/>
    <x v="399"/>
    <n v="0"/>
  </r>
  <r>
    <s v="U05974"/>
    <x v="10"/>
    <x v="1"/>
    <x v="2"/>
    <x v="2"/>
    <s v="Engineer"/>
    <n v="2572.91"/>
    <n v="1951.32"/>
    <n v="6232.33"/>
    <s v="No"/>
    <s v="None"/>
    <n v="0"/>
    <n v="0"/>
    <n v="0"/>
    <n v="0"/>
    <n v="0"/>
    <n v="840"/>
    <n v="0.2"/>
    <x v="0"/>
    <x v="400"/>
    <n v="0"/>
  </r>
  <r>
    <s v="U05982"/>
    <x v="29"/>
    <x v="1"/>
    <x v="3"/>
    <x v="2"/>
    <s v="Accountant"/>
    <n v="4062.87"/>
    <n v="1968.96"/>
    <n v="14549.26"/>
    <s v="No"/>
    <s v="None"/>
    <n v="0"/>
    <n v="0"/>
    <n v="0"/>
    <n v="0"/>
    <n v="0"/>
    <n v="738"/>
    <n v="0.3"/>
    <x v="3"/>
    <x v="261"/>
    <n v="0"/>
  </r>
  <r>
    <s v="U05990"/>
    <x v="20"/>
    <x v="0"/>
    <x v="3"/>
    <x v="2"/>
    <s v="Teacher"/>
    <n v="2583.5500000000002"/>
    <n v="1150.17"/>
    <n v="10267.469999999999"/>
    <s v="Yes"/>
    <s v="Car"/>
    <n v="244324.2"/>
    <n v="300"/>
    <n v="4079.1"/>
    <n v="19.89"/>
    <n v="1.58"/>
    <n v="641"/>
    <n v="0.33"/>
    <x v="3"/>
    <x v="401"/>
    <n v="1"/>
  </r>
  <r>
    <s v="U05991"/>
    <x v="31"/>
    <x v="1"/>
    <x v="3"/>
    <x v="3"/>
    <s v="Accountant"/>
    <n v="1715.7"/>
    <n v="811.66"/>
    <n v="12052.32"/>
    <s v="No"/>
    <s v="None"/>
    <n v="0"/>
    <n v="0"/>
    <n v="0"/>
    <n v="0"/>
    <n v="0"/>
    <n v="652"/>
    <n v="0.59"/>
    <x v="1"/>
    <x v="329"/>
    <n v="0"/>
  </r>
  <r>
    <s v="U05993"/>
    <x v="35"/>
    <x v="0"/>
    <x v="2"/>
    <x v="2"/>
    <s v="Unemployed"/>
    <n v="2777.74"/>
    <n v="873.94"/>
    <n v="27887.24"/>
    <s v="No"/>
    <s v="None"/>
    <n v="0"/>
    <n v="0"/>
    <n v="0"/>
    <n v="0"/>
    <n v="0"/>
    <n v="512"/>
    <n v="0.84"/>
    <x v="0"/>
    <x v="311"/>
    <n v="0"/>
  </r>
  <r>
    <s v="U06000"/>
    <x v="41"/>
    <x v="0"/>
    <x v="0"/>
    <x v="0"/>
    <s v="Unemployed"/>
    <n v="2700.07"/>
    <n v="1867.05"/>
    <n v="29266.63"/>
    <s v="No"/>
    <s v="None"/>
    <n v="0"/>
    <n v="0"/>
    <n v="0"/>
    <n v="0"/>
    <n v="0"/>
    <n v="665"/>
    <n v="0.9"/>
    <x v="3"/>
    <x v="402"/>
    <n v="0"/>
  </r>
  <r>
    <s v="U06004"/>
    <x v="24"/>
    <x v="2"/>
    <x v="2"/>
    <x v="1"/>
    <s v="Manager"/>
    <n v="7017.02"/>
    <n v="3750.77"/>
    <n v="68580.03"/>
    <s v="Yes"/>
    <s v="Education"/>
    <n v="400010.35"/>
    <n v="300"/>
    <n v="4599.0200000000004"/>
    <n v="13.29"/>
    <n v="0.66"/>
    <n v="661"/>
    <n v="0.81"/>
    <x v="4"/>
    <x v="403"/>
    <n v="1"/>
  </r>
  <r>
    <s v="U06025"/>
    <x v="2"/>
    <x v="1"/>
    <x v="0"/>
    <x v="1"/>
    <s v="Student"/>
    <n v="3705.52"/>
    <n v="2403.2600000000002"/>
    <n v="8435.17"/>
    <s v="No"/>
    <s v="None"/>
    <n v="0"/>
    <n v="0"/>
    <n v="0"/>
    <n v="0"/>
    <n v="0"/>
    <n v="371"/>
    <n v="0.19"/>
    <x v="3"/>
    <x v="404"/>
    <n v="0"/>
  </r>
  <r>
    <s v="U06039"/>
    <x v="32"/>
    <x v="0"/>
    <x v="3"/>
    <x v="2"/>
    <s v="Salesperson"/>
    <n v="4264.8999999999996"/>
    <n v="2554.8200000000002"/>
    <n v="6487.51"/>
    <s v="No"/>
    <s v="None"/>
    <n v="0"/>
    <n v="0"/>
    <n v="0"/>
    <n v="0"/>
    <n v="0"/>
    <n v="795"/>
    <n v="0.13"/>
    <x v="1"/>
    <x v="405"/>
    <n v="0"/>
  </r>
  <r>
    <s v="U06062"/>
    <x v="41"/>
    <x v="1"/>
    <x v="0"/>
    <x v="2"/>
    <s v="Salesperson"/>
    <n v="6985.59"/>
    <n v="2582.7199999999998"/>
    <n v="80607.929999999993"/>
    <s v="Yes"/>
    <s v="Business"/>
    <n v="128255.44"/>
    <n v="240"/>
    <n v="1037.93"/>
    <n v="7.56"/>
    <n v="0.15"/>
    <n v="313"/>
    <n v="0.96"/>
    <x v="2"/>
    <x v="406"/>
    <n v="0"/>
  </r>
  <r>
    <s v="U06066"/>
    <x v="46"/>
    <x v="0"/>
    <x v="0"/>
    <x v="1"/>
    <s v="Driver"/>
    <n v="1988.56"/>
    <n v="1569.6"/>
    <n v="22322.45"/>
    <s v="No"/>
    <s v="None"/>
    <n v="0"/>
    <n v="0"/>
    <n v="0"/>
    <n v="0"/>
    <n v="0"/>
    <n v="521"/>
    <n v="0.94"/>
    <x v="3"/>
    <x v="42"/>
    <n v="0"/>
  </r>
  <r>
    <s v="U06070"/>
    <x v="11"/>
    <x v="1"/>
    <x v="2"/>
    <x v="1"/>
    <s v="Manager"/>
    <n v="7497.23"/>
    <n v="5044.54"/>
    <n v="86104.01"/>
    <s v="No"/>
    <s v="None"/>
    <n v="0"/>
    <n v="0"/>
    <n v="0"/>
    <n v="0"/>
    <n v="0"/>
    <n v="417"/>
    <n v="0.96"/>
    <x v="0"/>
    <x v="123"/>
    <n v="0"/>
  </r>
  <r>
    <s v="U06080"/>
    <x v="23"/>
    <x v="0"/>
    <x v="3"/>
    <x v="1"/>
    <s v="Salesperson"/>
    <n v="5234.92"/>
    <n v="4154.6400000000003"/>
    <n v="28550.77"/>
    <s v="No"/>
    <s v="None"/>
    <n v="0"/>
    <n v="0"/>
    <n v="0"/>
    <n v="0"/>
    <n v="0"/>
    <n v="806"/>
    <n v="0.45"/>
    <x v="1"/>
    <x v="407"/>
    <n v="0"/>
  </r>
  <r>
    <s v="U06083"/>
    <x v="9"/>
    <x v="0"/>
    <x v="3"/>
    <x v="1"/>
    <s v="Driver"/>
    <n v="2488.1999999999998"/>
    <n v="1937"/>
    <n v="4598.8"/>
    <s v="Yes"/>
    <s v="Education"/>
    <n v="138140.82"/>
    <n v="36"/>
    <n v="4455.47"/>
    <n v="9.9700000000000006"/>
    <n v="1.79"/>
    <n v="541"/>
    <n v="0.15"/>
    <x v="3"/>
    <x v="191"/>
    <n v="1"/>
  </r>
  <r>
    <s v="U06114"/>
    <x v="42"/>
    <x v="1"/>
    <x v="0"/>
    <x v="1"/>
    <s v="Driver"/>
    <n v="1633.74"/>
    <n v="1442.64"/>
    <n v="17952.759999999998"/>
    <s v="No"/>
    <s v="None"/>
    <n v="0"/>
    <n v="0"/>
    <n v="0"/>
    <n v="0"/>
    <n v="0"/>
    <n v="580"/>
    <n v="0.92"/>
    <x v="0"/>
    <x v="408"/>
    <n v="0"/>
  </r>
  <r>
    <s v="U06133"/>
    <x v="15"/>
    <x v="0"/>
    <x v="3"/>
    <x v="2"/>
    <s v="Accountant"/>
    <n v="3119.29"/>
    <n v="1162.27"/>
    <n v="19341"/>
    <s v="No"/>
    <s v="None"/>
    <n v="0"/>
    <n v="0"/>
    <n v="0"/>
    <n v="0"/>
    <n v="0"/>
    <n v="756"/>
    <n v="0.52"/>
    <x v="0"/>
    <x v="409"/>
    <n v="0"/>
  </r>
  <r>
    <s v="U06148"/>
    <x v="7"/>
    <x v="1"/>
    <x v="3"/>
    <x v="1"/>
    <s v="Doctor"/>
    <n v="7379.13"/>
    <n v="6362.26"/>
    <n v="86402.559999999998"/>
    <s v="No"/>
    <s v="None"/>
    <n v="0"/>
    <n v="0"/>
    <n v="0"/>
    <n v="0"/>
    <n v="0"/>
    <n v="375"/>
    <n v="0.98"/>
    <x v="1"/>
    <x v="303"/>
    <n v="0"/>
  </r>
  <r>
    <s v="U06150"/>
    <x v="25"/>
    <x v="0"/>
    <x v="2"/>
    <x v="1"/>
    <s v="Engineer"/>
    <n v="5040.5"/>
    <n v="4060.99"/>
    <n v="26469.48"/>
    <s v="No"/>
    <s v="None"/>
    <n v="0"/>
    <n v="0"/>
    <n v="0"/>
    <n v="0"/>
    <n v="0"/>
    <n v="487"/>
    <n v="0.44"/>
    <x v="2"/>
    <x v="110"/>
    <n v="0"/>
  </r>
  <r>
    <s v="U06169"/>
    <x v="25"/>
    <x v="1"/>
    <x v="3"/>
    <x v="2"/>
    <s v="Accountant"/>
    <n v="3763.8"/>
    <n v="2038.9"/>
    <n v="25681.96"/>
    <s v="No"/>
    <s v="None"/>
    <n v="0"/>
    <n v="0"/>
    <n v="0"/>
    <n v="0"/>
    <n v="0"/>
    <n v="457"/>
    <n v="0.56999999999999995"/>
    <x v="3"/>
    <x v="410"/>
    <n v="0"/>
  </r>
  <r>
    <s v="U06187"/>
    <x v="51"/>
    <x v="1"/>
    <x v="3"/>
    <x v="1"/>
    <s v="Driver"/>
    <n v="3808.71"/>
    <n v="2293.63"/>
    <n v="32325.82"/>
    <s v="No"/>
    <s v="None"/>
    <n v="0"/>
    <n v="0"/>
    <n v="0"/>
    <n v="0"/>
    <n v="0"/>
    <n v="577"/>
    <n v="0.71"/>
    <x v="3"/>
    <x v="269"/>
    <n v="0"/>
  </r>
  <r>
    <s v="U06192"/>
    <x v="28"/>
    <x v="1"/>
    <x v="0"/>
    <x v="2"/>
    <s v="Student"/>
    <n v="8673.0400000000009"/>
    <n v="4243.22"/>
    <n v="60994.64"/>
    <s v="No"/>
    <s v="None"/>
    <n v="0"/>
    <n v="0"/>
    <n v="0"/>
    <n v="0"/>
    <n v="0"/>
    <n v="702"/>
    <n v="0.59"/>
    <x v="4"/>
    <x v="411"/>
    <n v="0"/>
  </r>
  <r>
    <s v="U06208"/>
    <x v="39"/>
    <x v="1"/>
    <x v="3"/>
    <x v="1"/>
    <s v="Engineer"/>
    <n v="6189.88"/>
    <n v="4916.1899999999996"/>
    <n v="51216.7"/>
    <s v="No"/>
    <s v="None"/>
    <n v="0"/>
    <n v="0"/>
    <n v="0"/>
    <n v="0"/>
    <n v="0"/>
    <n v="624"/>
    <n v="0.69"/>
    <x v="2"/>
    <x v="412"/>
    <n v="0"/>
  </r>
  <r>
    <s v="U06271"/>
    <x v="40"/>
    <x v="0"/>
    <x v="4"/>
    <x v="1"/>
    <s v="Doctor"/>
    <n v="2122.9699999999998"/>
    <n v="1845.49"/>
    <n v="14531.86"/>
    <s v="No"/>
    <s v="None"/>
    <n v="0"/>
    <n v="0"/>
    <n v="0"/>
    <n v="0"/>
    <n v="0"/>
    <n v="574"/>
    <n v="0.56999999999999995"/>
    <x v="4"/>
    <x v="75"/>
    <n v="0"/>
  </r>
  <r>
    <s v="U06300"/>
    <x v="45"/>
    <x v="0"/>
    <x v="2"/>
    <x v="3"/>
    <s v="Driver"/>
    <n v="3350.49"/>
    <n v="1615.91"/>
    <n v="14864.12"/>
    <s v="No"/>
    <s v="None"/>
    <n v="0"/>
    <n v="0"/>
    <n v="0"/>
    <n v="0"/>
    <n v="0"/>
    <n v="558"/>
    <n v="0.37"/>
    <x v="4"/>
    <x v="294"/>
    <n v="0"/>
  </r>
  <r>
    <s v="U06348"/>
    <x v="37"/>
    <x v="1"/>
    <x v="3"/>
    <x v="1"/>
    <s v="Teacher"/>
    <n v="3698.75"/>
    <n v="3310.34"/>
    <n v="28291.42"/>
    <s v="Yes"/>
    <s v="Business"/>
    <n v="12304.78"/>
    <n v="240"/>
    <n v="297.93"/>
    <n v="28.96"/>
    <n v="0.08"/>
    <n v="392"/>
    <n v="0.64"/>
    <x v="1"/>
    <x v="413"/>
    <n v="0"/>
  </r>
  <r>
    <s v="U06358"/>
    <x v="43"/>
    <x v="1"/>
    <x v="1"/>
    <x v="1"/>
    <s v="Driver"/>
    <n v="5418.6"/>
    <n v="3847.91"/>
    <n v="22986.44"/>
    <s v="No"/>
    <s v="None"/>
    <n v="0"/>
    <n v="0"/>
    <n v="0"/>
    <n v="0"/>
    <n v="0"/>
    <n v="449"/>
    <n v="0.35"/>
    <x v="2"/>
    <x v="414"/>
    <n v="0"/>
  </r>
  <r>
    <s v="U06369"/>
    <x v="28"/>
    <x v="1"/>
    <x v="3"/>
    <x v="1"/>
    <s v="Salesperson"/>
    <n v="7875.51"/>
    <n v="3892.4"/>
    <n v="90104.99"/>
    <s v="No"/>
    <s v="None"/>
    <n v="0"/>
    <n v="0"/>
    <n v="0"/>
    <n v="0"/>
    <n v="0"/>
    <n v="823"/>
    <n v="0.95"/>
    <x v="0"/>
    <x v="415"/>
    <n v="0"/>
  </r>
  <r>
    <s v="U06381"/>
    <x v="28"/>
    <x v="1"/>
    <x v="3"/>
    <x v="0"/>
    <s v="Driver"/>
    <n v="500"/>
    <n v="205.15"/>
    <n v="3181.46"/>
    <s v="No"/>
    <s v="None"/>
    <n v="0"/>
    <n v="0"/>
    <n v="0"/>
    <n v="0"/>
    <n v="0"/>
    <n v="507"/>
    <n v="0.53"/>
    <x v="2"/>
    <x v="416"/>
    <n v="0"/>
  </r>
  <r>
    <s v="U06435"/>
    <x v="3"/>
    <x v="0"/>
    <x v="1"/>
    <x v="1"/>
    <s v="Salesperson"/>
    <n v="6868.81"/>
    <n v="5227.03"/>
    <n v="68334.350000000006"/>
    <s v="Yes"/>
    <s v="Education"/>
    <n v="31149.14"/>
    <n v="240"/>
    <n v="517.95000000000005"/>
    <n v="19.54"/>
    <n v="0.08"/>
    <n v="846"/>
    <n v="0.83"/>
    <x v="2"/>
    <x v="417"/>
    <n v="0"/>
  </r>
  <r>
    <s v="U06441"/>
    <x v="28"/>
    <x v="1"/>
    <x v="2"/>
    <x v="1"/>
    <s v="Unemployed"/>
    <n v="2413.12"/>
    <n v="1235.82"/>
    <n v="12155"/>
    <s v="No"/>
    <s v="None"/>
    <n v="0"/>
    <n v="0"/>
    <n v="0"/>
    <n v="0"/>
    <n v="0"/>
    <n v="847"/>
    <n v="0.42"/>
    <x v="3"/>
    <x v="21"/>
    <n v="0"/>
  </r>
  <r>
    <s v="U06463"/>
    <x v="45"/>
    <x v="1"/>
    <x v="0"/>
    <x v="2"/>
    <s v="Accountant"/>
    <n v="4971.07"/>
    <n v="3781.27"/>
    <n v="52073.45"/>
    <s v="No"/>
    <s v="None"/>
    <n v="0"/>
    <n v="0"/>
    <n v="0"/>
    <n v="0"/>
    <n v="0"/>
    <n v="397"/>
    <n v="0.87"/>
    <x v="4"/>
    <x v="418"/>
    <n v="0"/>
  </r>
  <r>
    <s v="U06465"/>
    <x v="20"/>
    <x v="0"/>
    <x v="2"/>
    <x v="3"/>
    <s v="Doctor"/>
    <n v="4154.24"/>
    <n v="2693.12"/>
    <n v="6324.63"/>
    <s v="Yes"/>
    <s v="Car"/>
    <n v="21186.01"/>
    <n v="60"/>
    <n v="479.66"/>
    <n v="12.78"/>
    <n v="0.12"/>
    <n v="588"/>
    <n v="0.13"/>
    <x v="3"/>
    <x v="419"/>
    <n v="0"/>
  </r>
  <r>
    <s v="U06469"/>
    <x v="20"/>
    <x v="1"/>
    <x v="2"/>
    <x v="2"/>
    <s v="Manager"/>
    <n v="5123.3599999999997"/>
    <n v="1576.2"/>
    <n v="37742.239999999998"/>
    <s v="No"/>
    <s v="None"/>
    <n v="0"/>
    <n v="0"/>
    <n v="0"/>
    <n v="0"/>
    <n v="0"/>
    <n v="575"/>
    <n v="0.61"/>
    <x v="4"/>
    <x v="420"/>
    <n v="0"/>
  </r>
  <r>
    <s v="U06477"/>
    <x v="15"/>
    <x v="2"/>
    <x v="3"/>
    <x v="3"/>
    <s v="Manager"/>
    <n v="4289.0200000000004"/>
    <n v="3679.76"/>
    <n v="41436.36"/>
    <s v="No"/>
    <s v="None"/>
    <n v="0"/>
    <n v="0"/>
    <n v="0"/>
    <n v="0"/>
    <n v="0"/>
    <n v="595"/>
    <n v="0.81"/>
    <x v="2"/>
    <x v="421"/>
    <n v="0"/>
  </r>
  <r>
    <s v="U06491"/>
    <x v="33"/>
    <x v="1"/>
    <x v="2"/>
    <x v="1"/>
    <s v="Doctor"/>
    <n v="5989.66"/>
    <n v="3568.72"/>
    <n v="54968.55"/>
    <s v="No"/>
    <s v="None"/>
    <n v="0"/>
    <n v="0"/>
    <n v="0"/>
    <n v="0"/>
    <n v="0"/>
    <n v="689"/>
    <n v="0.76"/>
    <x v="2"/>
    <x v="422"/>
    <n v="0"/>
  </r>
  <r>
    <s v="U06513"/>
    <x v="11"/>
    <x v="1"/>
    <x v="3"/>
    <x v="1"/>
    <s v="Unemployed"/>
    <n v="4183.5"/>
    <n v="1850.29"/>
    <n v="42430.32"/>
    <s v="Yes"/>
    <s v="Business"/>
    <n v="286410.21000000002"/>
    <n v="240"/>
    <n v="4001.9"/>
    <n v="16.079999999999998"/>
    <n v="0.96"/>
    <n v="314"/>
    <n v="0.85"/>
    <x v="1"/>
    <x v="405"/>
    <n v="1"/>
  </r>
  <r>
    <s v="U06523"/>
    <x v="30"/>
    <x v="1"/>
    <x v="4"/>
    <x v="0"/>
    <s v="Accountant"/>
    <n v="5835.35"/>
    <n v="3190.44"/>
    <n v="43482.38"/>
    <s v="Yes"/>
    <s v="Education"/>
    <n v="405635.99"/>
    <n v="300"/>
    <n v="9067.8700000000008"/>
    <n v="26.79"/>
    <n v="1.55"/>
    <n v="529"/>
    <n v="0.62"/>
    <x v="0"/>
    <x v="423"/>
    <n v="1"/>
  </r>
  <r>
    <s v="U06531"/>
    <x v="1"/>
    <x v="1"/>
    <x v="2"/>
    <x v="1"/>
    <s v="Unemployed"/>
    <n v="5524.93"/>
    <n v="2173.48"/>
    <n v="47640.76"/>
    <s v="No"/>
    <s v="None"/>
    <n v="0"/>
    <n v="0"/>
    <n v="0"/>
    <n v="0"/>
    <n v="0"/>
    <n v="642"/>
    <n v="0.72"/>
    <x v="3"/>
    <x v="424"/>
    <n v="0"/>
  </r>
  <r>
    <s v="U06539"/>
    <x v="37"/>
    <x v="1"/>
    <x v="3"/>
    <x v="1"/>
    <s v="Engineer"/>
    <n v="6832.91"/>
    <n v="4304.09"/>
    <n v="71320.479999999996"/>
    <s v="No"/>
    <s v="None"/>
    <n v="0"/>
    <n v="0"/>
    <n v="0"/>
    <n v="0"/>
    <n v="0"/>
    <n v="390"/>
    <n v="0.87"/>
    <x v="2"/>
    <x v="334"/>
    <n v="0"/>
  </r>
  <r>
    <s v="U06552"/>
    <x v="35"/>
    <x v="0"/>
    <x v="3"/>
    <x v="1"/>
    <s v="Teacher"/>
    <n v="4149.1000000000004"/>
    <n v="3414.63"/>
    <n v="28250.48"/>
    <s v="No"/>
    <s v="None"/>
    <n v="0"/>
    <n v="0"/>
    <n v="0"/>
    <n v="0"/>
    <n v="0"/>
    <n v="756"/>
    <n v="0.56999999999999995"/>
    <x v="3"/>
    <x v="425"/>
    <n v="0"/>
  </r>
  <r>
    <s v="U06569"/>
    <x v="23"/>
    <x v="0"/>
    <x v="0"/>
    <x v="1"/>
    <s v="Student"/>
    <n v="5167.2700000000004"/>
    <n v="2521.81"/>
    <n v="56294.54"/>
    <s v="No"/>
    <s v="None"/>
    <n v="0"/>
    <n v="0"/>
    <n v="0"/>
    <n v="0"/>
    <n v="0"/>
    <n v="655"/>
    <n v="0.91"/>
    <x v="1"/>
    <x v="426"/>
    <n v="0"/>
  </r>
  <r>
    <s v="U06578"/>
    <x v="14"/>
    <x v="0"/>
    <x v="3"/>
    <x v="2"/>
    <s v="Doctor"/>
    <n v="3404.29"/>
    <n v="1097.67"/>
    <n v="32675.919999999998"/>
    <s v="Yes"/>
    <s v="Home"/>
    <n v="128645.9"/>
    <n v="300"/>
    <n v="1378.75"/>
    <n v="12.25"/>
    <n v="0.41"/>
    <n v="487"/>
    <n v="0.8"/>
    <x v="4"/>
    <x v="427"/>
    <n v="1"/>
  </r>
  <r>
    <s v="U06593"/>
    <x v="18"/>
    <x v="1"/>
    <x v="2"/>
    <x v="0"/>
    <s v="Engineer"/>
    <n v="4577.76"/>
    <n v="2757.36"/>
    <n v="12343.22"/>
    <s v="No"/>
    <s v="None"/>
    <n v="0"/>
    <n v="0"/>
    <n v="0"/>
    <n v="0"/>
    <n v="0"/>
    <n v="794"/>
    <n v="0.22"/>
    <x v="2"/>
    <x v="428"/>
    <n v="0"/>
  </r>
  <r>
    <s v="U06615"/>
    <x v="40"/>
    <x v="1"/>
    <x v="2"/>
    <x v="1"/>
    <s v="Student"/>
    <n v="3991.47"/>
    <n v="1368.79"/>
    <n v="13123.68"/>
    <s v="No"/>
    <s v="None"/>
    <n v="0"/>
    <n v="0"/>
    <n v="0"/>
    <n v="0"/>
    <n v="0"/>
    <n v="342"/>
    <n v="0.27"/>
    <x v="2"/>
    <x v="107"/>
    <n v="0"/>
  </r>
  <r>
    <s v="U06621"/>
    <x v="41"/>
    <x v="1"/>
    <x v="0"/>
    <x v="2"/>
    <s v="Manager"/>
    <n v="8298.33"/>
    <n v="3554.51"/>
    <n v="93804.45"/>
    <s v="Yes"/>
    <s v="Car"/>
    <n v="195169.29"/>
    <n v="180"/>
    <n v="4242.21"/>
    <n v="25.49"/>
    <n v="0.51"/>
    <n v="752"/>
    <n v="0.94"/>
    <x v="4"/>
    <x v="105"/>
    <n v="1"/>
  </r>
  <r>
    <s v="U06636"/>
    <x v="46"/>
    <x v="0"/>
    <x v="3"/>
    <x v="1"/>
    <s v="Engineer"/>
    <n v="5515.91"/>
    <n v="4065.74"/>
    <n v="51530.93"/>
    <s v="No"/>
    <s v="None"/>
    <n v="0"/>
    <n v="0"/>
    <n v="0"/>
    <n v="0"/>
    <n v="0"/>
    <n v="658"/>
    <n v="0.78"/>
    <x v="2"/>
    <x v="429"/>
    <n v="0"/>
  </r>
  <r>
    <s v="U06646"/>
    <x v="19"/>
    <x v="0"/>
    <x v="3"/>
    <x v="1"/>
    <s v="Salesperson"/>
    <n v="500"/>
    <n v="366.2"/>
    <n v="1977.02"/>
    <s v="No"/>
    <s v="None"/>
    <n v="0"/>
    <n v="0"/>
    <n v="0"/>
    <n v="0"/>
    <n v="0"/>
    <n v="466"/>
    <n v="0.33"/>
    <x v="2"/>
    <x v="430"/>
    <n v="0"/>
  </r>
  <r>
    <s v="U06653"/>
    <x v="43"/>
    <x v="1"/>
    <x v="3"/>
    <x v="1"/>
    <s v="Engineer"/>
    <n v="3549.35"/>
    <n v="1085.0999999999999"/>
    <n v="35895.919999999998"/>
    <s v="Yes"/>
    <s v="Business"/>
    <n v="126138.73"/>
    <n v="36"/>
    <n v="4206.5"/>
    <n v="12.28"/>
    <n v="1.19"/>
    <n v="609"/>
    <n v="0.84"/>
    <x v="2"/>
    <x v="91"/>
    <n v="1"/>
  </r>
  <r>
    <s v="U06654"/>
    <x v="39"/>
    <x v="0"/>
    <x v="3"/>
    <x v="1"/>
    <s v="Manager"/>
    <n v="5386.46"/>
    <n v="3581.75"/>
    <n v="44269.5"/>
    <s v="No"/>
    <s v="None"/>
    <n v="0"/>
    <n v="0"/>
    <n v="0"/>
    <n v="0"/>
    <n v="0"/>
    <n v="741"/>
    <n v="0.68"/>
    <x v="4"/>
    <x v="431"/>
    <n v="0"/>
  </r>
  <r>
    <s v="U06670"/>
    <x v="51"/>
    <x v="0"/>
    <x v="2"/>
    <x v="1"/>
    <s v="Teacher"/>
    <n v="8029.36"/>
    <n v="4267.34"/>
    <n v="72652.78"/>
    <s v="No"/>
    <s v="None"/>
    <n v="0"/>
    <n v="0"/>
    <n v="0"/>
    <n v="0"/>
    <n v="0"/>
    <n v="350"/>
    <n v="0.75"/>
    <x v="3"/>
    <x v="287"/>
    <n v="0"/>
  </r>
  <r>
    <s v="U06678"/>
    <x v="39"/>
    <x v="0"/>
    <x v="3"/>
    <x v="1"/>
    <s v="Student"/>
    <n v="4869.8599999999997"/>
    <n v="2475.25"/>
    <n v="48224.13"/>
    <s v="No"/>
    <s v="None"/>
    <n v="0"/>
    <n v="0"/>
    <n v="0"/>
    <n v="0"/>
    <n v="0"/>
    <n v="628"/>
    <n v="0.83"/>
    <x v="0"/>
    <x v="432"/>
    <n v="0"/>
  </r>
  <r>
    <s v="U06679"/>
    <x v="8"/>
    <x v="0"/>
    <x v="3"/>
    <x v="1"/>
    <s v="Teacher"/>
    <n v="3399.89"/>
    <n v="1909.36"/>
    <n v="22348.42"/>
    <s v="No"/>
    <s v="None"/>
    <n v="0"/>
    <n v="0"/>
    <n v="0"/>
    <n v="0"/>
    <n v="0"/>
    <n v="365"/>
    <n v="0.55000000000000004"/>
    <x v="4"/>
    <x v="433"/>
    <n v="0"/>
  </r>
  <r>
    <s v="U06722"/>
    <x v="4"/>
    <x v="0"/>
    <x v="3"/>
    <x v="3"/>
    <s v="Driver"/>
    <n v="4166.5200000000004"/>
    <n v="3532.93"/>
    <n v="44326.37"/>
    <s v="No"/>
    <s v="None"/>
    <n v="0"/>
    <n v="0"/>
    <n v="0"/>
    <n v="0"/>
    <n v="0"/>
    <n v="685"/>
    <n v="0.89"/>
    <x v="0"/>
    <x v="60"/>
    <n v="0"/>
  </r>
  <r>
    <s v="U06739"/>
    <x v="29"/>
    <x v="1"/>
    <x v="2"/>
    <x v="3"/>
    <s v="Salesperson"/>
    <n v="4745.38"/>
    <n v="3464.9"/>
    <n v="43074.33"/>
    <s v="Yes"/>
    <s v="Home"/>
    <n v="402063.97"/>
    <n v="240"/>
    <n v="3081.1"/>
    <n v="6.85"/>
    <n v="0.65"/>
    <n v="705"/>
    <n v="0.76"/>
    <x v="3"/>
    <x v="434"/>
    <n v="1"/>
  </r>
  <r>
    <s v="U06748"/>
    <x v="16"/>
    <x v="1"/>
    <x v="2"/>
    <x v="1"/>
    <s v="Student"/>
    <n v="3003.05"/>
    <n v="1057.6099999999999"/>
    <n v="26716.85"/>
    <s v="No"/>
    <s v="None"/>
    <n v="0"/>
    <n v="0"/>
    <n v="0"/>
    <n v="0"/>
    <n v="0"/>
    <n v="385"/>
    <n v="0.74"/>
    <x v="3"/>
    <x v="253"/>
    <n v="0"/>
  </r>
  <r>
    <s v="U06781"/>
    <x v="7"/>
    <x v="1"/>
    <x v="3"/>
    <x v="1"/>
    <s v="Engineer"/>
    <n v="3645.42"/>
    <n v="3216.81"/>
    <n v="15159.43"/>
    <s v="No"/>
    <s v="None"/>
    <n v="0"/>
    <n v="0"/>
    <n v="0"/>
    <n v="0"/>
    <n v="0"/>
    <n v="686"/>
    <n v="0.35"/>
    <x v="1"/>
    <x v="295"/>
    <n v="0"/>
  </r>
  <r>
    <s v="U06783"/>
    <x v="4"/>
    <x v="0"/>
    <x v="2"/>
    <x v="3"/>
    <s v="Accountant"/>
    <n v="5305.52"/>
    <n v="1714.98"/>
    <n v="20487.61"/>
    <s v="Yes"/>
    <s v="Car"/>
    <n v="82008.83"/>
    <n v="12"/>
    <n v="7672.8"/>
    <n v="21.93"/>
    <n v="1.45"/>
    <n v="751"/>
    <n v="0.32"/>
    <x v="0"/>
    <x v="435"/>
    <n v="1"/>
  </r>
  <r>
    <s v="U06822"/>
    <x v="25"/>
    <x v="1"/>
    <x v="0"/>
    <x v="1"/>
    <s v="Manager"/>
    <n v="4382.3900000000003"/>
    <n v="3376.12"/>
    <n v="13202.49"/>
    <s v="No"/>
    <s v="None"/>
    <n v="0"/>
    <n v="0"/>
    <n v="0"/>
    <n v="0"/>
    <n v="0"/>
    <n v="743"/>
    <n v="0.25"/>
    <x v="3"/>
    <x v="436"/>
    <n v="0"/>
  </r>
  <r>
    <s v="U06823"/>
    <x v="19"/>
    <x v="1"/>
    <x v="2"/>
    <x v="1"/>
    <s v="Driver"/>
    <n v="2901.2"/>
    <n v="1048.21"/>
    <n v="21847.3"/>
    <s v="No"/>
    <s v="None"/>
    <n v="0"/>
    <n v="0"/>
    <n v="0"/>
    <n v="0"/>
    <n v="0"/>
    <n v="331"/>
    <n v="0.63"/>
    <x v="1"/>
    <x v="225"/>
    <n v="0"/>
  </r>
  <r>
    <s v="U06840"/>
    <x v="47"/>
    <x v="0"/>
    <x v="2"/>
    <x v="2"/>
    <s v="Driver"/>
    <n v="1314.39"/>
    <n v="1119.33"/>
    <n v="9724.09"/>
    <s v="No"/>
    <s v="None"/>
    <n v="0"/>
    <n v="0"/>
    <n v="0"/>
    <n v="0"/>
    <n v="0"/>
    <n v="313"/>
    <n v="0.62"/>
    <x v="4"/>
    <x v="437"/>
    <n v="0"/>
  </r>
  <r>
    <s v="U06847"/>
    <x v="4"/>
    <x v="2"/>
    <x v="2"/>
    <x v="1"/>
    <s v="Unemployed"/>
    <n v="4511.6499999999996"/>
    <n v="2648.32"/>
    <n v="47445.3"/>
    <s v="Yes"/>
    <s v="Education"/>
    <n v="117939.3"/>
    <n v="24"/>
    <n v="6073.14"/>
    <n v="21.22"/>
    <n v="1.35"/>
    <n v="370"/>
    <n v="0.88"/>
    <x v="4"/>
    <x v="438"/>
    <n v="1"/>
  </r>
  <r>
    <s v="U06857"/>
    <x v="7"/>
    <x v="0"/>
    <x v="3"/>
    <x v="1"/>
    <s v="Doctor"/>
    <n v="5475.55"/>
    <n v="3647.53"/>
    <n v="21414.77"/>
    <s v="No"/>
    <s v="None"/>
    <n v="0"/>
    <n v="0"/>
    <n v="0"/>
    <n v="0"/>
    <n v="0"/>
    <n v="341"/>
    <n v="0.33"/>
    <x v="2"/>
    <x v="439"/>
    <n v="0"/>
  </r>
  <r>
    <s v="U06870"/>
    <x v="19"/>
    <x v="1"/>
    <x v="0"/>
    <x v="2"/>
    <s v="Student"/>
    <n v="5430.12"/>
    <n v="3836.83"/>
    <n v="21784.1"/>
    <s v="Yes"/>
    <s v="Car"/>
    <n v="22354.95"/>
    <n v="60"/>
    <n v="469.39"/>
    <n v="9.49"/>
    <n v="0.09"/>
    <n v="517"/>
    <n v="0.33"/>
    <x v="2"/>
    <x v="440"/>
    <n v="0"/>
  </r>
  <r>
    <s v="U06877"/>
    <x v="0"/>
    <x v="0"/>
    <x v="2"/>
    <x v="1"/>
    <s v="Engineer"/>
    <n v="4170.87"/>
    <n v="2233.3200000000002"/>
    <n v="48631.43"/>
    <s v="No"/>
    <s v="None"/>
    <n v="0"/>
    <n v="0"/>
    <n v="0"/>
    <n v="0"/>
    <n v="0"/>
    <n v="721"/>
    <n v="0.97"/>
    <x v="3"/>
    <x v="200"/>
    <n v="0"/>
  </r>
  <r>
    <s v="U06914"/>
    <x v="2"/>
    <x v="0"/>
    <x v="2"/>
    <x v="1"/>
    <s v="Student"/>
    <n v="5140.67"/>
    <n v="3042.25"/>
    <n v="60365.5"/>
    <s v="No"/>
    <s v="None"/>
    <n v="0"/>
    <n v="0"/>
    <n v="0"/>
    <n v="0"/>
    <n v="0"/>
    <n v="503"/>
    <n v="0.98"/>
    <x v="2"/>
    <x v="435"/>
    <n v="0"/>
  </r>
  <r>
    <s v="U06917"/>
    <x v="30"/>
    <x v="1"/>
    <x v="2"/>
    <x v="0"/>
    <s v="Salesperson"/>
    <n v="4865.0200000000004"/>
    <n v="2934.28"/>
    <n v="18393.54"/>
    <s v="No"/>
    <s v="None"/>
    <n v="0"/>
    <n v="0"/>
    <n v="0"/>
    <n v="0"/>
    <n v="0"/>
    <n v="325"/>
    <n v="0.32"/>
    <x v="4"/>
    <x v="441"/>
    <n v="0"/>
  </r>
  <r>
    <s v="U06924"/>
    <x v="20"/>
    <x v="1"/>
    <x v="2"/>
    <x v="1"/>
    <s v="Driver"/>
    <n v="3926.91"/>
    <n v="1995.74"/>
    <n v="18621.22"/>
    <s v="No"/>
    <s v="None"/>
    <n v="0"/>
    <n v="0"/>
    <n v="0"/>
    <n v="0"/>
    <n v="0"/>
    <n v="379"/>
    <n v="0.4"/>
    <x v="1"/>
    <x v="442"/>
    <n v="0"/>
  </r>
  <r>
    <s v="U06960"/>
    <x v="37"/>
    <x v="1"/>
    <x v="2"/>
    <x v="3"/>
    <s v="Unemployed"/>
    <n v="3595.45"/>
    <n v="2961.22"/>
    <n v="15540.74"/>
    <s v="No"/>
    <s v="None"/>
    <n v="0"/>
    <n v="0"/>
    <n v="0"/>
    <n v="0"/>
    <n v="0"/>
    <n v="647"/>
    <n v="0.36"/>
    <x v="4"/>
    <x v="443"/>
    <n v="0"/>
  </r>
  <r>
    <s v="U06966"/>
    <x v="8"/>
    <x v="0"/>
    <x v="0"/>
    <x v="1"/>
    <s v="Engineer"/>
    <n v="5172.5600000000004"/>
    <n v="3651.3"/>
    <n v="34639.06"/>
    <s v="Yes"/>
    <s v="Business"/>
    <n v="453854.54"/>
    <n v="120"/>
    <n v="7753.24"/>
    <n v="16.53"/>
    <n v="1.5"/>
    <n v="822"/>
    <n v="0.56000000000000005"/>
    <x v="3"/>
    <x v="186"/>
    <n v="1"/>
  </r>
  <r>
    <s v="U07034"/>
    <x v="5"/>
    <x v="0"/>
    <x v="2"/>
    <x v="2"/>
    <s v="Doctor"/>
    <n v="1750.05"/>
    <n v="1458.03"/>
    <n v="6348.22"/>
    <s v="No"/>
    <s v="None"/>
    <n v="0"/>
    <n v="0"/>
    <n v="0"/>
    <n v="0"/>
    <n v="0"/>
    <n v="615"/>
    <n v="0.3"/>
    <x v="2"/>
    <x v="375"/>
    <n v="0"/>
  </r>
  <r>
    <s v="U07047"/>
    <x v="20"/>
    <x v="0"/>
    <x v="0"/>
    <x v="2"/>
    <s v="Teacher"/>
    <n v="5081.7700000000004"/>
    <n v="4247.25"/>
    <n v="47516.73"/>
    <s v="No"/>
    <s v="None"/>
    <n v="0"/>
    <n v="0"/>
    <n v="0"/>
    <n v="0"/>
    <n v="0"/>
    <n v="839"/>
    <n v="0.78"/>
    <x v="1"/>
    <x v="444"/>
    <n v="0"/>
  </r>
  <r>
    <s v="U07073"/>
    <x v="4"/>
    <x v="0"/>
    <x v="3"/>
    <x v="0"/>
    <s v="Engineer"/>
    <n v="2993.49"/>
    <n v="2154.5"/>
    <n v="13851.66"/>
    <s v="No"/>
    <s v="None"/>
    <n v="0"/>
    <n v="0"/>
    <n v="0"/>
    <n v="0"/>
    <n v="0"/>
    <n v="700"/>
    <n v="0.39"/>
    <x v="3"/>
    <x v="445"/>
    <n v="0"/>
  </r>
  <r>
    <s v="U07077"/>
    <x v="7"/>
    <x v="1"/>
    <x v="2"/>
    <x v="1"/>
    <s v="Engineer"/>
    <n v="2160.58"/>
    <n v="887.6"/>
    <n v="16451.38"/>
    <s v="No"/>
    <s v="None"/>
    <n v="0"/>
    <n v="0"/>
    <n v="0"/>
    <n v="0"/>
    <n v="0"/>
    <n v="751"/>
    <n v="0.63"/>
    <x v="2"/>
    <x v="214"/>
    <n v="0"/>
  </r>
  <r>
    <s v="U07091"/>
    <x v="27"/>
    <x v="1"/>
    <x v="0"/>
    <x v="1"/>
    <s v="Engineer"/>
    <n v="3579.69"/>
    <n v="3036.01"/>
    <n v="10775.12"/>
    <s v="No"/>
    <s v="None"/>
    <n v="0"/>
    <n v="0"/>
    <n v="0"/>
    <n v="0"/>
    <n v="0"/>
    <n v="424"/>
    <n v="0.25"/>
    <x v="2"/>
    <x v="446"/>
    <n v="0"/>
  </r>
  <r>
    <s v="U07108"/>
    <x v="6"/>
    <x v="0"/>
    <x v="3"/>
    <x v="1"/>
    <s v="Accountant"/>
    <n v="2314.0300000000002"/>
    <n v="1551.57"/>
    <n v="13032.89"/>
    <s v="No"/>
    <s v="None"/>
    <n v="0"/>
    <n v="0"/>
    <n v="0"/>
    <n v="0"/>
    <n v="0"/>
    <n v="698"/>
    <n v="0.47"/>
    <x v="3"/>
    <x v="447"/>
    <n v="0"/>
  </r>
  <r>
    <s v="U07122"/>
    <x v="28"/>
    <x v="1"/>
    <x v="2"/>
    <x v="1"/>
    <s v="Manager"/>
    <n v="4683.51"/>
    <n v="3371.09"/>
    <n v="15939.62"/>
    <s v="No"/>
    <s v="None"/>
    <n v="0"/>
    <n v="0"/>
    <n v="0"/>
    <n v="0"/>
    <n v="0"/>
    <n v="643"/>
    <n v="0.28000000000000003"/>
    <x v="0"/>
    <x v="448"/>
    <n v="0"/>
  </r>
  <r>
    <s v="U07123"/>
    <x v="11"/>
    <x v="0"/>
    <x v="3"/>
    <x v="1"/>
    <s v="Accountant"/>
    <n v="4316.6099999999997"/>
    <n v="2789.35"/>
    <n v="25082.95"/>
    <s v="Yes"/>
    <s v="Home"/>
    <n v="466878.4"/>
    <n v="120"/>
    <n v="6074.57"/>
    <n v="9.6300000000000008"/>
    <n v="1.41"/>
    <n v="601"/>
    <n v="0.48"/>
    <x v="1"/>
    <x v="449"/>
    <n v="1"/>
  </r>
  <r>
    <s v="U07130"/>
    <x v="2"/>
    <x v="0"/>
    <x v="3"/>
    <x v="1"/>
    <s v="Doctor"/>
    <n v="3912.45"/>
    <n v="2322.35"/>
    <n v="12322.04"/>
    <s v="No"/>
    <s v="None"/>
    <n v="0"/>
    <n v="0"/>
    <n v="0"/>
    <n v="0"/>
    <n v="0"/>
    <n v="682"/>
    <n v="0.26"/>
    <x v="0"/>
    <x v="450"/>
    <n v="0"/>
  </r>
  <r>
    <s v="U07154"/>
    <x v="47"/>
    <x v="1"/>
    <x v="0"/>
    <x v="1"/>
    <s v="Doctor"/>
    <n v="6339.32"/>
    <n v="4159.84"/>
    <n v="42859.54"/>
    <s v="Yes"/>
    <s v="Education"/>
    <n v="80938.34"/>
    <n v="360"/>
    <n v="670.56"/>
    <n v="9.33"/>
    <n v="0.11"/>
    <n v="606"/>
    <n v="0.56000000000000005"/>
    <x v="0"/>
    <x v="451"/>
    <n v="0"/>
  </r>
  <r>
    <s v="U07165"/>
    <x v="15"/>
    <x v="1"/>
    <x v="3"/>
    <x v="1"/>
    <s v="Driver"/>
    <n v="6447.82"/>
    <n v="5300.07"/>
    <n v="16036.71"/>
    <s v="No"/>
    <s v="None"/>
    <n v="0"/>
    <n v="0"/>
    <n v="0"/>
    <n v="0"/>
    <n v="0"/>
    <n v="403"/>
    <n v="0.21"/>
    <x v="4"/>
    <x v="452"/>
    <n v="0"/>
  </r>
  <r>
    <s v="U07167"/>
    <x v="41"/>
    <x v="1"/>
    <x v="0"/>
    <x v="1"/>
    <s v="Accountant"/>
    <n v="2374.2199999999998"/>
    <n v="813.56"/>
    <n v="6690.27"/>
    <s v="Yes"/>
    <s v="Home"/>
    <n v="182672.3"/>
    <n v="240"/>
    <n v="1306.6099999999999"/>
    <n v="5.98"/>
    <n v="0.55000000000000004"/>
    <n v="638"/>
    <n v="0.23"/>
    <x v="0"/>
    <x v="453"/>
    <n v="1"/>
  </r>
  <r>
    <s v="U07177"/>
    <x v="20"/>
    <x v="1"/>
    <x v="2"/>
    <x v="1"/>
    <s v="Manager"/>
    <n v="7644.4"/>
    <n v="5849.75"/>
    <n v="54035.79"/>
    <s v="Yes"/>
    <s v="Car"/>
    <n v="324319.17"/>
    <n v="180"/>
    <n v="2794.95"/>
    <n v="6.33"/>
    <n v="0.37"/>
    <n v="539"/>
    <n v="0.59"/>
    <x v="2"/>
    <x v="454"/>
    <n v="0"/>
  </r>
  <r>
    <s v="U07200"/>
    <x v="18"/>
    <x v="1"/>
    <x v="3"/>
    <x v="1"/>
    <s v="Manager"/>
    <n v="3875.1"/>
    <n v="1311.49"/>
    <n v="17237.04"/>
    <s v="No"/>
    <s v="None"/>
    <n v="0"/>
    <n v="0"/>
    <n v="0"/>
    <n v="0"/>
    <n v="0"/>
    <n v="575"/>
    <n v="0.37"/>
    <x v="0"/>
    <x v="455"/>
    <n v="0"/>
  </r>
  <r>
    <s v="U07207"/>
    <x v="51"/>
    <x v="0"/>
    <x v="0"/>
    <x v="1"/>
    <s v="Teacher"/>
    <n v="4141.55"/>
    <n v="1861.28"/>
    <n v="33541.57"/>
    <s v="No"/>
    <s v="None"/>
    <n v="0"/>
    <n v="0"/>
    <n v="0"/>
    <n v="0"/>
    <n v="0"/>
    <n v="813"/>
    <n v="0.67"/>
    <x v="1"/>
    <x v="456"/>
    <n v="0"/>
  </r>
  <r>
    <s v="U07219"/>
    <x v="30"/>
    <x v="1"/>
    <x v="2"/>
    <x v="1"/>
    <s v="Unemployed"/>
    <n v="5477.22"/>
    <n v="3356.17"/>
    <n v="18994.05"/>
    <s v="Yes"/>
    <s v="Home"/>
    <n v="86835.98"/>
    <n v="120"/>
    <n v="1060.92"/>
    <n v="8.16"/>
    <n v="0.19"/>
    <n v="474"/>
    <n v="0.28999999999999998"/>
    <x v="4"/>
    <x v="457"/>
    <n v="0"/>
  </r>
  <r>
    <s v="U07272"/>
    <x v="16"/>
    <x v="0"/>
    <x v="3"/>
    <x v="2"/>
    <s v="Unemployed"/>
    <n v="3906.32"/>
    <n v="3141.03"/>
    <n v="15466.33"/>
    <s v="Yes"/>
    <s v="Home"/>
    <n v="37735.32"/>
    <n v="120"/>
    <n v="706.39"/>
    <n v="19.079999999999998"/>
    <n v="0.18"/>
    <n v="328"/>
    <n v="0.33"/>
    <x v="3"/>
    <x v="458"/>
    <n v="0"/>
  </r>
  <r>
    <s v="U07285"/>
    <x v="33"/>
    <x v="0"/>
    <x v="2"/>
    <x v="1"/>
    <s v="Driver"/>
    <n v="2740.96"/>
    <n v="1643.32"/>
    <n v="24572.15"/>
    <s v="Yes"/>
    <s v="Business"/>
    <n v="96763.32"/>
    <n v="300"/>
    <n v="1937.98"/>
    <n v="23.97"/>
    <n v="0.71"/>
    <n v="663"/>
    <n v="0.75"/>
    <x v="4"/>
    <x v="132"/>
    <n v="1"/>
  </r>
  <r>
    <s v="U07293"/>
    <x v="2"/>
    <x v="1"/>
    <x v="1"/>
    <x v="2"/>
    <s v="Engineer"/>
    <n v="3236.06"/>
    <n v="2194.08"/>
    <n v="28556.11"/>
    <s v="No"/>
    <s v="None"/>
    <n v="0"/>
    <n v="0"/>
    <n v="0"/>
    <n v="0"/>
    <n v="0"/>
    <n v="816"/>
    <n v="0.74"/>
    <x v="1"/>
    <x v="459"/>
    <n v="0"/>
  </r>
  <r>
    <s v="U07309"/>
    <x v="24"/>
    <x v="1"/>
    <x v="2"/>
    <x v="1"/>
    <s v="Accountant"/>
    <n v="3358.44"/>
    <n v="2597.31"/>
    <n v="9940.89"/>
    <s v="No"/>
    <s v="None"/>
    <n v="0"/>
    <n v="0"/>
    <n v="0"/>
    <n v="0"/>
    <n v="0"/>
    <n v="733"/>
    <n v="0.25"/>
    <x v="0"/>
    <x v="460"/>
    <n v="0"/>
  </r>
  <r>
    <s v="U07332"/>
    <x v="13"/>
    <x v="1"/>
    <x v="2"/>
    <x v="1"/>
    <s v="Student"/>
    <n v="2381.21"/>
    <n v="1081.1099999999999"/>
    <n v="19862.5"/>
    <s v="No"/>
    <s v="None"/>
    <n v="0"/>
    <n v="0"/>
    <n v="0"/>
    <n v="0"/>
    <n v="0"/>
    <n v="681"/>
    <n v="0.7"/>
    <x v="1"/>
    <x v="461"/>
    <n v="0"/>
  </r>
  <r>
    <s v="U07350"/>
    <x v="12"/>
    <x v="0"/>
    <x v="0"/>
    <x v="2"/>
    <s v="Accountant"/>
    <n v="6068.72"/>
    <n v="3200.58"/>
    <n v="47148.28"/>
    <s v="No"/>
    <s v="None"/>
    <n v="0"/>
    <n v="0"/>
    <n v="0"/>
    <n v="0"/>
    <n v="0"/>
    <n v="685"/>
    <n v="0.65"/>
    <x v="4"/>
    <x v="462"/>
    <n v="0"/>
  </r>
  <r>
    <s v="U07358"/>
    <x v="3"/>
    <x v="0"/>
    <x v="3"/>
    <x v="2"/>
    <s v="Engineer"/>
    <n v="3979.57"/>
    <n v="2734.83"/>
    <n v="33523.019999999997"/>
    <s v="No"/>
    <s v="None"/>
    <n v="0"/>
    <n v="0"/>
    <n v="0"/>
    <n v="0"/>
    <n v="0"/>
    <n v="666"/>
    <n v="0.7"/>
    <x v="3"/>
    <x v="463"/>
    <n v="0"/>
  </r>
  <r>
    <s v="U07371"/>
    <x v="38"/>
    <x v="0"/>
    <x v="4"/>
    <x v="1"/>
    <s v="Manager"/>
    <n v="5453.18"/>
    <n v="4568.8500000000004"/>
    <n v="28407.15"/>
    <s v="No"/>
    <s v="None"/>
    <n v="0"/>
    <n v="0"/>
    <n v="0"/>
    <n v="0"/>
    <n v="0"/>
    <n v="794"/>
    <n v="0.43"/>
    <x v="1"/>
    <x v="136"/>
    <n v="0"/>
  </r>
  <r>
    <s v="U07383"/>
    <x v="46"/>
    <x v="0"/>
    <x v="2"/>
    <x v="2"/>
    <s v="Student"/>
    <n v="4827"/>
    <n v="1727.59"/>
    <n v="54889.16"/>
    <s v="No"/>
    <s v="None"/>
    <n v="0"/>
    <n v="0"/>
    <n v="0"/>
    <n v="0"/>
    <n v="0"/>
    <n v="490"/>
    <n v="0.95"/>
    <x v="3"/>
    <x v="419"/>
    <n v="0"/>
  </r>
  <r>
    <s v="U07388"/>
    <x v="36"/>
    <x v="0"/>
    <x v="2"/>
    <x v="1"/>
    <s v="Teacher"/>
    <n v="2551.0300000000002"/>
    <n v="1922.51"/>
    <n v="24172.880000000001"/>
    <s v="No"/>
    <s v="None"/>
    <n v="0"/>
    <n v="0"/>
    <n v="0"/>
    <n v="0"/>
    <n v="0"/>
    <n v="625"/>
    <n v="0.79"/>
    <x v="2"/>
    <x v="381"/>
    <n v="0"/>
  </r>
  <r>
    <s v="U07393"/>
    <x v="1"/>
    <x v="1"/>
    <x v="3"/>
    <x v="1"/>
    <s v="Student"/>
    <n v="2271.38"/>
    <n v="2003.32"/>
    <n v="13913.58"/>
    <s v="No"/>
    <s v="None"/>
    <n v="0"/>
    <n v="0"/>
    <n v="0"/>
    <n v="0"/>
    <n v="0"/>
    <n v="721"/>
    <n v="0.51"/>
    <x v="0"/>
    <x v="464"/>
    <n v="0"/>
  </r>
  <r>
    <s v="U07395"/>
    <x v="41"/>
    <x v="1"/>
    <x v="3"/>
    <x v="1"/>
    <s v="Salesperson"/>
    <n v="3559.47"/>
    <n v="1571.97"/>
    <n v="38831.99"/>
    <s v="No"/>
    <s v="None"/>
    <n v="0"/>
    <n v="0"/>
    <n v="0"/>
    <n v="0"/>
    <n v="0"/>
    <n v="408"/>
    <n v="0.91"/>
    <x v="4"/>
    <x v="320"/>
    <n v="0"/>
  </r>
  <r>
    <s v="U07402"/>
    <x v="30"/>
    <x v="0"/>
    <x v="3"/>
    <x v="1"/>
    <s v="Salesperson"/>
    <n v="2416.89"/>
    <n v="1477.82"/>
    <n v="9690.2999999999993"/>
    <s v="No"/>
    <s v="None"/>
    <n v="0"/>
    <n v="0"/>
    <n v="0"/>
    <n v="0"/>
    <n v="0"/>
    <n v="441"/>
    <n v="0.33"/>
    <x v="4"/>
    <x v="465"/>
    <n v="0"/>
  </r>
  <r>
    <s v="U07419"/>
    <x v="48"/>
    <x v="1"/>
    <x v="2"/>
    <x v="0"/>
    <s v="Teacher"/>
    <n v="6209.44"/>
    <n v="1923.82"/>
    <n v="50436.07"/>
    <s v="Yes"/>
    <s v="Education"/>
    <n v="397494.39"/>
    <n v="360"/>
    <n v="9640.9699999999993"/>
    <n v="29.1"/>
    <n v="1.55"/>
    <n v="594"/>
    <n v="0.68"/>
    <x v="3"/>
    <x v="466"/>
    <n v="1"/>
  </r>
  <r>
    <s v="U07426"/>
    <x v="17"/>
    <x v="1"/>
    <x v="3"/>
    <x v="1"/>
    <s v="Accountant"/>
    <n v="2889.96"/>
    <n v="2430.91"/>
    <n v="15406.32"/>
    <s v="Yes"/>
    <s v="Education"/>
    <n v="42014.14"/>
    <n v="180"/>
    <n v="778.55"/>
    <n v="21.3"/>
    <n v="0.27"/>
    <n v="508"/>
    <n v="0.44"/>
    <x v="4"/>
    <x v="467"/>
    <n v="0"/>
  </r>
  <r>
    <s v="U07431"/>
    <x v="46"/>
    <x v="1"/>
    <x v="0"/>
    <x v="0"/>
    <s v="Accountant"/>
    <n v="4686.96"/>
    <n v="1910.19"/>
    <n v="37379.589999999997"/>
    <s v="No"/>
    <s v="None"/>
    <n v="0"/>
    <n v="0"/>
    <n v="0"/>
    <n v="0"/>
    <n v="0"/>
    <n v="439"/>
    <n v="0.66"/>
    <x v="0"/>
    <x v="292"/>
    <n v="0"/>
  </r>
  <r>
    <s v="U07460"/>
    <x v="30"/>
    <x v="0"/>
    <x v="2"/>
    <x v="1"/>
    <s v="Salesperson"/>
    <n v="8261.77"/>
    <n v="3666.51"/>
    <n v="85693.11"/>
    <s v="No"/>
    <s v="None"/>
    <n v="0"/>
    <n v="0"/>
    <n v="0"/>
    <n v="0"/>
    <n v="0"/>
    <n v="825"/>
    <n v="0.86"/>
    <x v="4"/>
    <x v="468"/>
    <n v="0"/>
  </r>
  <r>
    <s v="U07465"/>
    <x v="21"/>
    <x v="0"/>
    <x v="1"/>
    <x v="2"/>
    <s v="Unemployed"/>
    <n v="983.36"/>
    <n v="429.83"/>
    <n v="8040.62"/>
    <s v="No"/>
    <s v="None"/>
    <n v="0"/>
    <n v="0"/>
    <n v="0"/>
    <n v="0"/>
    <n v="0"/>
    <n v="757"/>
    <n v="0.68"/>
    <x v="1"/>
    <x v="469"/>
    <n v="0"/>
  </r>
  <r>
    <s v="U07468"/>
    <x v="3"/>
    <x v="1"/>
    <x v="2"/>
    <x v="2"/>
    <s v="Engineer"/>
    <n v="1004.64"/>
    <n v="654.67999999999995"/>
    <n v="11699.09"/>
    <s v="No"/>
    <s v="None"/>
    <n v="0"/>
    <n v="0"/>
    <n v="0"/>
    <n v="0"/>
    <n v="0"/>
    <n v="762"/>
    <n v="0.97"/>
    <x v="2"/>
    <x v="249"/>
    <n v="0"/>
  </r>
  <r>
    <s v="U07474"/>
    <x v="29"/>
    <x v="1"/>
    <x v="3"/>
    <x v="1"/>
    <s v="Driver"/>
    <n v="6582.54"/>
    <n v="4449.91"/>
    <n v="73056.649999999994"/>
    <s v="No"/>
    <s v="None"/>
    <n v="0"/>
    <n v="0"/>
    <n v="0"/>
    <n v="0"/>
    <n v="0"/>
    <n v="305"/>
    <n v="0.92"/>
    <x v="4"/>
    <x v="470"/>
    <n v="0"/>
  </r>
  <r>
    <s v="U07489"/>
    <x v="4"/>
    <x v="1"/>
    <x v="2"/>
    <x v="0"/>
    <s v="Teacher"/>
    <n v="4994.82"/>
    <n v="4119.87"/>
    <n v="38257.279999999999"/>
    <s v="Yes"/>
    <s v="Car"/>
    <n v="31874.18"/>
    <n v="36"/>
    <n v="1240.33"/>
    <n v="23.39"/>
    <n v="0.25"/>
    <n v="836"/>
    <n v="0.64"/>
    <x v="2"/>
    <x v="471"/>
    <n v="0"/>
  </r>
  <r>
    <s v="U07499"/>
    <x v="8"/>
    <x v="1"/>
    <x v="3"/>
    <x v="0"/>
    <s v="Driver"/>
    <n v="3261.03"/>
    <n v="2476.3000000000002"/>
    <n v="14442.64"/>
    <s v="Yes"/>
    <s v="Business"/>
    <n v="23398.240000000002"/>
    <n v="12"/>
    <n v="2201.4499999999998"/>
    <n v="23.02"/>
    <n v="0.68"/>
    <n v="610"/>
    <n v="0.37"/>
    <x v="2"/>
    <x v="69"/>
    <n v="1"/>
  </r>
  <r>
    <s v="U07501"/>
    <x v="19"/>
    <x v="1"/>
    <x v="3"/>
    <x v="1"/>
    <s v="Unemployed"/>
    <n v="4628.71"/>
    <n v="2058.34"/>
    <n v="18426.45"/>
    <s v="No"/>
    <s v="None"/>
    <n v="0"/>
    <n v="0"/>
    <n v="0"/>
    <n v="0"/>
    <n v="0"/>
    <n v="495"/>
    <n v="0.33"/>
    <x v="2"/>
    <x v="472"/>
    <n v="0"/>
  </r>
  <r>
    <s v="U07502"/>
    <x v="35"/>
    <x v="1"/>
    <x v="0"/>
    <x v="3"/>
    <s v="Driver"/>
    <n v="3850.96"/>
    <n v="3411.84"/>
    <n v="9720.98"/>
    <s v="Yes"/>
    <s v="Education"/>
    <n v="274504.24"/>
    <n v="240"/>
    <n v="4525.84"/>
    <n v="19.36"/>
    <n v="1.18"/>
    <n v="824"/>
    <n v="0.21"/>
    <x v="3"/>
    <x v="473"/>
    <n v="1"/>
  </r>
  <r>
    <s v="U07506"/>
    <x v="44"/>
    <x v="1"/>
    <x v="3"/>
    <x v="3"/>
    <s v="Teacher"/>
    <n v="3267.13"/>
    <n v="2581.4"/>
    <n v="22311.09"/>
    <s v="Yes"/>
    <s v="Business"/>
    <n v="223963.01"/>
    <n v="180"/>
    <n v="1642.07"/>
    <n v="3.87"/>
    <n v="0.5"/>
    <n v="777"/>
    <n v="0.56999999999999995"/>
    <x v="4"/>
    <x v="348"/>
    <n v="1"/>
  </r>
  <r>
    <s v="U07524"/>
    <x v="44"/>
    <x v="0"/>
    <x v="0"/>
    <x v="1"/>
    <s v="Unemployed"/>
    <n v="6021.99"/>
    <n v="5327.27"/>
    <n v="17767.64"/>
    <s v="No"/>
    <s v="None"/>
    <n v="0"/>
    <n v="0"/>
    <n v="0"/>
    <n v="0"/>
    <n v="0"/>
    <n v="361"/>
    <n v="0.25"/>
    <x v="4"/>
    <x v="474"/>
    <n v="0"/>
  </r>
  <r>
    <s v="U07526"/>
    <x v="29"/>
    <x v="0"/>
    <x v="0"/>
    <x v="3"/>
    <s v="Salesperson"/>
    <n v="5407.1"/>
    <n v="3139.97"/>
    <n v="62495.67"/>
    <s v="No"/>
    <s v="None"/>
    <n v="0"/>
    <n v="0"/>
    <n v="0"/>
    <n v="0"/>
    <n v="0"/>
    <n v="786"/>
    <n v="0.96"/>
    <x v="2"/>
    <x v="475"/>
    <n v="0"/>
  </r>
  <r>
    <s v="U07534"/>
    <x v="45"/>
    <x v="0"/>
    <x v="1"/>
    <x v="1"/>
    <s v="Driver"/>
    <n v="6712.16"/>
    <n v="5193.66"/>
    <n v="51733.05"/>
    <s v="Yes"/>
    <s v="Business"/>
    <n v="361907.16"/>
    <n v="60"/>
    <n v="10726.67"/>
    <n v="25.49"/>
    <n v="1.6"/>
    <n v="377"/>
    <n v="0.64"/>
    <x v="1"/>
    <x v="476"/>
    <n v="1"/>
  </r>
  <r>
    <s v="U07537"/>
    <x v="2"/>
    <x v="1"/>
    <x v="2"/>
    <x v="1"/>
    <s v="Student"/>
    <n v="4551.91"/>
    <n v="3525.14"/>
    <n v="19798.939999999999"/>
    <s v="No"/>
    <s v="None"/>
    <n v="0"/>
    <n v="0"/>
    <n v="0"/>
    <n v="0"/>
    <n v="0"/>
    <n v="713"/>
    <n v="0.36"/>
    <x v="3"/>
    <x v="477"/>
    <n v="0"/>
  </r>
  <r>
    <s v="U07553"/>
    <x v="13"/>
    <x v="2"/>
    <x v="2"/>
    <x v="2"/>
    <s v="Manager"/>
    <n v="768.53"/>
    <n v="607.53"/>
    <n v="5297.38"/>
    <s v="No"/>
    <s v="None"/>
    <n v="0"/>
    <n v="0"/>
    <n v="0"/>
    <n v="0"/>
    <n v="0"/>
    <n v="633"/>
    <n v="0.56999999999999995"/>
    <x v="1"/>
    <x v="266"/>
    <n v="0"/>
  </r>
  <r>
    <s v="U07565"/>
    <x v="51"/>
    <x v="0"/>
    <x v="2"/>
    <x v="2"/>
    <s v="Salesperson"/>
    <n v="4809.57"/>
    <n v="2666.5"/>
    <n v="9550.16"/>
    <s v="No"/>
    <s v="None"/>
    <n v="0"/>
    <n v="0"/>
    <n v="0"/>
    <n v="0"/>
    <n v="0"/>
    <n v="477"/>
    <n v="0.17"/>
    <x v="0"/>
    <x v="478"/>
    <n v="0"/>
  </r>
  <r>
    <s v="U07577"/>
    <x v="5"/>
    <x v="0"/>
    <x v="3"/>
    <x v="1"/>
    <s v="Doctor"/>
    <n v="7900.27"/>
    <n v="6958.29"/>
    <n v="63242.25"/>
    <s v="Yes"/>
    <s v="Home"/>
    <n v="108075.35"/>
    <n v="24"/>
    <n v="4946.32"/>
    <n v="9.18"/>
    <n v="0.63"/>
    <n v="657"/>
    <n v="0.67"/>
    <x v="4"/>
    <x v="416"/>
    <n v="1"/>
  </r>
  <r>
    <s v="U07586"/>
    <x v="30"/>
    <x v="0"/>
    <x v="0"/>
    <x v="1"/>
    <s v="Manager"/>
    <n v="739.36"/>
    <n v="514.89"/>
    <n v="6008.16"/>
    <s v="No"/>
    <s v="None"/>
    <n v="0"/>
    <n v="0"/>
    <n v="0"/>
    <n v="0"/>
    <n v="0"/>
    <n v="734"/>
    <n v="0.68"/>
    <x v="2"/>
    <x v="479"/>
    <n v="0"/>
  </r>
  <r>
    <s v="U07589"/>
    <x v="30"/>
    <x v="1"/>
    <x v="3"/>
    <x v="0"/>
    <s v="Accountant"/>
    <n v="6614.95"/>
    <n v="2192.7199999999998"/>
    <n v="36381.879999999997"/>
    <s v="No"/>
    <s v="None"/>
    <n v="0"/>
    <n v="0"/>
    <n v="0"/>
    <n v="0"/>
    <n v="0"/>
    <n v="689"/>
    <n v="0.46"/>
    <x v="4"/>
    <x v="480"/>
    <n v="0"/>
  </r>
  <r>
    <s v="U07613"/>
    <x v="38"/>
    <x v="0"/>
    <x v="2"/>
    <x v="0"/>
    <s v="Teacher"/>
    <n v="4041.73"/>
    <n v="2114.63"/>
    <n v="18011.07"/>
    <s v="No"/>
    <s v="None"/>
    <n v="0"/>
    <n v="0"/>
    <n v="0"/>
    <n v="0"/>
    <n v="0"/>
    <n v="794"/>
    <n v="0.37"/>
    <x v="2"/>
    <x v="481"/>
    <n v="0"/>
  </r>
  <r>
    <s v="U07627"/>
    <x v="26"/>
    <x v="1"/>
    <x v="0"/>
    <x v="0"/>
    <s v="Accountant"/>
    <n v="1959.7"/>
    <n v="1178.82"/>
    <n v="16658.830000000002"/>
    <s v="Yes"/>
    <s v="Education"/>
    <n v="11336.23"/>
    <n v="360"/>
    <n v="252.61"/>
    <n v="26.73"/>
    <n v="0.13"/>
    <n v="363"/>
    <n v="0.71"/>
    <x v="4"/>
    <x v="462"/>
    <n v="0"/>
  </r>
  <r>
    <s v="U07633"/>
    <x v="37"/>
    <x v="1"/>
    <x v="1"/>
    <x v="2"/>
    <s v="Salesperson"/>
    <n v="5902.22"/>
    <n v="4206.1099999999997"/>
    <n v="47921.29"/>
    <s v="No"/>
    <s v="None"/>
    <n v="0"/>
    <n v="0"/>
    <n v="0"/>
    <n v="0"/>
    <n v="0"/>
    <n v="363"/>
    <n v="0.68"/>
    <x v="1"/>
    <x v="482"/>
    <n v="0"/>
  </r>
  <r>
    <s v="U07634"/>
    <x v="22"/>
    <x v="1"/>
    <x v="1"/>
    <x v="1"/>
    <s v="Accountant"/>
    <n v="3048.23"/>
    <n v="2673.74"/>
    <n v="4425.3999999999996"/>
    <s v="No"/>
    <s v="None"/>
    <n v="0"/>
    <n v="0"/>
    <n v="0"/>
    <n v="0"/>
    <n v="0"/>
    <n v="499"/>
    <n v="0.12"/>
    <x v="3"/>
    <x v="483"/>
    <n v="0"/>
  </r>
  <r>
    <s v="U07647"/>
    <x v="16"/>
    <x v="0"/>
    <x v="2"/>
    <x v="1"/>
    <s v="Engineer"/>
    <n v="3356.13"/>
    <n v="1863.92"/>
    <n v="16404.93"/>
    <s v="No"/>
    <s v="None"/>
    <n v="0"/>
    <n v="0"/>
    <n v="0"/>
    <n v="0"/>
    <n v="0"/>
    <n v="471"/>
    <n v="0.41"/>
    <x v="4"/>
    <x v="484"/>
    <n v="0"/>
  </r>
  <r>
    <s v="U07648"/>
    <x v="8"/>
    <x v="1"/>
    <x v="0"/>
    <x v="2"/>
    <s v="Manager"/>
    <n v="4464.57"/>
    <n v="3585.74"/>
    <n v="45873.49"/>
    <s v="Yes"/>
    <s v="Car"/>
    <n v="271177.23"/>
    <n v="180"/>
    <n v="1897.58"/>
    <n v="3.19"/>
    <n v="0.43"/>
    <n v="525"/>
    <n v="0.86"/>
    <x v="3"/>
    <x v="485"/>
    <n v="1"/>
  </r>
  <r>
    <s v="U07651"/>
    <x v="13"/>
    <x v="1"/>
    <x v="2"/>
    <x v="0"/>
    <s v="Teacher"/>
    <n v="2174.62"/>
    <n v="1068.48"/>
    <n v="5997.79"/>
    <s v="No"/>
    <s v="None"/>
    <n v="0"/>
    <n v="0"/>
    <n v="0"/>
    <n v="0"/>
    <n v="0"/>
    <n v="710"/>
    <n v="0.23"/>
    <x v="2"/>
    <x v="486"/>
    <n v="0"/>
  </r>
  <r>
    <s v="U07664"/>
    <x v="31"/>
    <x v="0"/>
    <x v="0"/>
    <x v="1"/>
    <s v="Manager"/>
    <n v="6383.24"/>
    <n v="2402.06"/>
    <n v="39642.79"/>
    <s v="Yes"/>
    <s v="Education"/>
    <n v="34850.67"/>
    <n v="24"/>
    <n v="1767.63"/>
    <n v="19.64"/>
    <n v="0.28000000000000003"/>
    <n v="658"/>
    <n v="0.52"/>
    <x v="0"/>
    <x v="487"/>
    <n v="0"/>
  </r>
  <r>
    <s v="U07672"/>
    <x v="6"/>
    <x v="0"/>
    <x v="2"/>
    <x v="1"/>
    <s v="Student"/>
    <n v="4816.03"/>
    <n v="2101.88"/>
    <n v="13025.01"/>
    <s v="Yes"/>
    <s v="Business"/>
    <n v="50452.61"/>
    <n v="60"/>
    <n v="1043.4000000000001"/>
    <n v="8.84"/>
    <n v="0.22"/>
    <n v="762"/>
    <n v="0.23"/>
    <x v="0"/>
    <x v="488"/>
    <n v="0"/>
  </r>
  <r>
    <s v="U07695"/>
    <x v="33"/>
    <x v="2"/>
    <x v="3"/>
    <x v="1"/>
    <s v="Engineer"/>
    <n v="1967.84"/>
    <n v="1735.78"/>
    <n v="3553.98"/>
    <s v="No"/>
    <s v="None"/>
    <n v="0"/>
    <n v="0"/>
    <n v="0"/>
    <n v="0"/>
    <n v="0"/>
    <n v="422"/>
    <n v="0.15"/>
    <x v="1"/>
    <x v="489"/>
    <n v="0"/>
  </r>
  <r>
    <s v="U07703"/>
    <x v="22"/>
    <x v="1"/>
    <x v="2"/>
    <x v="1"/>
    <s v="Doctor"/>
    <n v="2017.88"/>
    <n v="1410.15"/>
    <n v="21366"/>
    <s v="Yes"/>
    <s v="Business"/>
    <n v="154776.21"/>
    <n v="60"/>
    <n v="3297.68"/>
    <n v="10.119999999999999"/>
    <n v="1.63"/>
    <n v="328"/>
    <n v="0.88"/>
    <x v="2"/>
    <x v="490"/>
    <n v="1"/>
  </r>
  <r>
    <s v="U07705"/>
    <x v="40"/>
    <x v="1"/>
    <x v="0"/>
    <x v="1"/>
    <s v="Accountant"/>
    <n v="6275.55"/>
    <n v="5596.28"/>
    <n v="13864.23"/>
    <s v="No"/>
    <s v="None"/>
    <n v="0"/>
    <n v="0"/>
    <n v="0"/>
    <n v="0"/>
    <n v="0"/>
    <n v="327"/>
    <n v="0.18"/>
    <x v="1"/>
    <x v="491"/>
    <n v="0"/>
  </r>
  <r>
    <s v="U07709"/>
    <x v="34"/>
    <x v="0"/>
    <x v="2"/>
    <x v="2"/>
    <s v="Salesperson"/>
    <n v="7686.83"/>
    <n v="6802.32"/>
    <n v="28359.23"/>
    <s v="Yes"/>
    <s v="Car"/>
    <n v="413063.46"/>
    <n v="300"/>
    <n v="4550.1499999999996"/>
    <n v="12.65"/>
    <n v="0.59"/>
    <n v="456"/>
    <n v="0.31"/>
    <x v="3"/>
    <x v="492"/>
    <n v="1"/>
  </r>
  <r>
    <s v="U07719"/>
    <x v="31"/>
    <x v="1"/>
    <x v="4"/>
    <x v="2"/>
    <s v="Doctor"/>
    <n v="1985.24"/>
    <n v="711.75"/>
    <n v="4851.03"/>
    <s v="No"/>
    <s v="None"/>
    <n v="0"/>
    <n v="0"/>
    <n v="0"/>
    <n v="0"/>
    <n v="0"/>
    <n v="435"/>
    <n v="0.2"/>
    <x v="0"/>
    <x v="203"/>
    <n v="0"/>
  </r>
  <r>
    <s v="U07741"/>
    <x v="19"/>
    <x v="0"/>
    <x v="3"/>
    <x v="1"/>
    <s v="Unemployed"/>
    <n v="6202.68"/>
    <n v="5261.59"/>
    <n v="11494.88"/>
    <s v="No"/>
    <s v="None"/>
    <n v="0"/>
    <n v="0"/>
    <n v="0"/>
    <n v="0"/>
    <n v="0"/>
    <n v="306"/>
    <n v="0.15"/>
    <x v="3"/>
    <x v="493"/>
    <n v="0"/>
  </r>
  <r>
    <s v="U07760"/>
    <x v="45"/>
    <x v="0"/>
    <x v="3"/>
    <x v="2"/>
    <s v="Engineer"/>
    <n v="2088.2199999999998"/>
    <n v="1426.57"/>
    <n v="17838.62"/>
    <s v="No"/>
    <s v="None"/>
    <n v="0"/>
    <n v="0"/>
    <n v="0"/>
    <n v="0"/>
    <n v="0"/>
    <n v="847"/>
    <n v="0.71"/>
    <x v="2"/>
    <x v="52"/>
    <n v="0"/>
  </r>
  <r>
    <s v="U07762"/>
    <x v="14"/>
    <x v="1"/>
    <x v="3"/>
    <x v="0"/>
    <s v="Teacher"/>
    <n v="3795.57"/>
    <n v="2827.84"/>
    <n v="23819.52"/>
    <s v="No"/>
    <s v="None"/>
    <n v="0"/>
    <n v="0"/>
    <n v="0"/>
    <n v="0"/>
    <n v="0"/>
    <n v="369"/>
    <n v="0.52"/>
    <x v="3"/>
    <x v="494"/>
    <n v="0"/>
  </r>
  <r>
    <s v="U07799"/>
    <x v="15"/>
    <x v="0"/>
    <x v="2"/>
    <x v="1"/>
    <s v="Engineer"/>
    <n v="5198.74"/>
    <n v="3569.55"/>
    <n v="26860.400000000001"/>
    <s v="No"/>
    <s v="None"/>
    <n v="0"/>
    <n v="0"/>
    <n v="0"/>
    <n v="0"/>
    <n v="0"/>
    <n v="674"/>
    <n v="0.43"/>
    <x v="1"/>
    <x v="495"/>
    <n v="0"/>
  </r>
  <r>
    <s v="U07813"/>
    <x v="42"/>
    <x v="1"/>
    <x v="3"/>
    <x v="1"/>
    <s v="Student"/>
    <n v="6548.67"/>
    <n v="5343.82"/>
    <n v="63276.3"/>
    <s v="No"/>
    <s v="None"/>
    <n v="0"/>
    <n v="0"/>
    <n v="0"/>
    <n v="0"/>
    <n v="0"/>
    <n v="662"/>
    <n v="0.81"/>
    <x v="0"/>
    <x v="496"/>
    <n v="0"/>
  </r>
  <r>
    <s v="U07824"/>
    <x v="8"/>
    <x v="1"/>
    <x v="2"/>
    <x v="1"/>
    <s v="Engineer"/>
    <n v="6493.94"/>
    <n v="3921.9"/>
    <n v="36853.040000000001"/>
    <s v="Yes"/>
    <s v="Education"/>
    <n v="273552.94"/>
    <n v="120"/>
    <n v="6248.23"/>
    <n v="25.13"/>
    <n v="0.96"/>
    <n v="647"/>
    <n v="0.47"/>
    <x v="3"/>
    <x v="497"/>
    <n v="1"/>
  </r>
  <r>
    <s v="U07842"/>
    <x v="22"/>
    <x v="0"/>
    <x v="0"/>
    <x v="0"/>
    <s v="Teacher"/>
    <n v="1934.51"/>
    <n v="1487.21"/>
    <n v="20834.87"/>
    <s v="Yes"/>
    <s v="Education"/>
    <n v="244057.15"/>
    <n v="300"/>
    <n v="2763.59"/>
    <n v="13.06"/>
    <n v="1.43"/>
    <n v="813"/>
    <n v="0.9"/>
    <x v="3"/>
    <x v="393"/>
    <n v="1"/>
  </r>
  <r>
    <s v="U07847"/>
    <x v="43"/>
    <x v="1"/>
    <x v="3"/>
    <x v="2"/>
    <s v="Driver"/>
    <n v="3011.5"/>
    <n v="2543.21"/>
    <n v="4899.0200000000004"/>
    <s v="Yes"/>
    <s v="Education"/>
    <n v="251200.97"/>
    <n v="360"/>
    <n v="3100.1"/>
    <n v="14.62"/>
    <n v="1.03"/>
    <n v="345"/>
    <n v="0.14000000000000001"/>
    <x v="1"/>
    <x v="282"/>
    <n v="1"/>
  </r>
  <r>
    <s v="U07852"/>
    <x v="50"/>
    <x v="0"/>
    <x v="0"/>
    <x v="1"/>
    <s v="Driver"/>
    <n v="6814.11"/>
    <n v="4085.66"/>
    <n v="42020.71"/>
    <s v="No"/>
    <s v="None"/>
    <n v="0"/>
    <n v="0"/>
    <n v="0"/>
    <n v="0"/>
    <n v="0"/>
    <n v="393"/>
    <n v="0.51"/>
    <x v="4"/>
    <x v="498"/>
    <n v="0"/>
  </r>
  <r>
    <s v="U07854"/>
    <x v="44"/>
    <x v="1"/>
    <x v="4"/>
    <x v="0"/>
    <s v="Doctor"/>
    <n v="5585.92"/>
    <n v="1908.76"/>
    <n v="14992.59"/>
    <s v="No"/>
    <s v="None"/>
    <n v="0"/>
    <n v="0"/>
    <n v="0"/>
    <n v="0"/>
    <n v="0"/>
    <n v="682"/>
    <n v="0.22"/>
    <x v="2"/>
    <x v="469"/>
    <n v="0"/>
  </r>
  <r>
    <s v="U07856"/>
    <x v="2"/>
    <x v="0"/>
    <x v="3"/>
    <x v="2"/>
    <s v="Student"/>
    <n v="3532.4"/>
    <n v="2313.02"/>
    <n v="37641.370000000003"/>
    <s v="Yes"/>
    <s v="Business"/>
    <n v="379151.94"/>
    <n v="240"/>
    <n v="2546.4299999999998"/>
    <n v="5.21"/>
    <n v="0.72"/>
    <n v="406"/>
    <n v="0.89"/>
    <x v="0"/>
    <x v="53"/>
    <n v="1"/>
  </r>
  <r>
    <s v="U07858"/>
    <x v="3"/>
    <x v="0"/>
    <x v="0"/>
    <x v="1"/>
    <s v="Accountant"/>
    <n v="5598.07"/>
    <n v="4623.3"/>
    <n v="49454.73"/>
    <s v="No"/>
    <s v="None"/>
    <n v="0"/>
    <n v="0"/>
    <n v="0"/>
    <n v="0"/>
    <n v="0"/>
    <n v="794"/>
    <n v="0.74"/>
    <x v="4"/>
    <x v="499"/>
    <n v="0"/>
  </r>
  <r>
    <s v="U07865"/>
    <x v="22"/>
    <x v="0"/>
    <x v="2"/>
    <x v="1"/>
    <s v="Engineer"/>
    <n v="4365.25"/>
    <n v="3243.51"/>
    <n v="25174.47"/>
    <s v="Yes"/>
    <s v="Education"/>
    <n v="444497"/>
    <n v="120"/>
    <n v="6524.56"/>
    <n v="12.57"/>
    <n v="1.49"/>
    <n v="467"/>
    <n v="0.48"/>
    <x v="3"/>
    <x v="219"/>
    <n v="1"/>
  </r>
  <r>
    <s v="U07889"/>
    <x v="37"/>
    <x v="1"/>
    <x v="2"/>
    <x v="1"/>
    <s v="Doctor"/>
    <n v="3966.88"/>
    <n v="1979.65"/>
    <n v="45763.47"/>
    <s v="Yes"/>
    <s v="Business"/>
    <n v="418363.08"/>
    <n v="360"/>
    <n v="4181.3599999999997"/>
    <n v="11.62"/>
    <n v="1.05"/>
    <n v="576"/>
    <n v="0.96"/>
    <x v="2"/>
    <x v="500"/>
    <n v="1"/>
  </r>
  <r>
    <s v="U07894"/>
    <x v="25"/>
    <x v="0"/>
    <x v="2"/>
    <x v="1"/>
    <s v="Teacher"/>
    <n v="4275.79"/>
    <n v="1640.16"/>
    <n v="5435.48"/>
    <s v="No"/>
    <s v="None"/>
    <n v="0"/>
    <n v="0"/>
    <n v="0"/>
    <n v="0"/>
    <n v="0"/>
    <n v="692"/>
    <n v="0.11"/>
    <x v="0"/>
    <x v="501"/>
    <n v="0"/>
  </r>
  <r>
    <s v="U07898"/>
    <x v="49"/>
    <x v="0"/>
    <x v="0"/>
    <x v="3"/>
    <s v="Salesperson"/>
    <n v="4407.34"/>
    <n v="1385.34"/>
    <n v="21678.48"/>
    <s v="No"/>
    <s v="None"/>
    <n v="0"/>
    <n v="0"/>
    <n v="0"/>
    <n v="0"/>
    <n v="0"/>
    <n v="592"/>
    <n v="0.41"/>
    <x v="4"/>
    <x v="451"/>
    <n v="0"/>
  </r>
  <r>
    <s v="U07962"/>
    <x v="28"/>
    <x v="1"/>
    <x v="0"/>
    <x v="1"/>
    <s v="Teacher"/>
    <n v="3390.79"/>
    <n v="2232.7600000000002"/>
    <n v="10894.15"/>
    <s v="No"/>
    <s v="None"/>
    <n v="0"/>
    <n v="0"/>
    <n v="0"/>
    <n v="0"/>
    <n v="0"/>
    <n v="756"/>
    <n v="0.27"/>
    <x v="1"/>
    <x v="502"/>
    <n v="0"/>
  </r>
  <r>
    <s v="U07963"/>
    <x v="34"/>
    <x v="1"/>
    <x v="2"/>
    <x v="1"/>
    <s v="Engineer"/>
    <n v="4031.33"/>
    <n v="2399.6"/>
    <n v="23121.19"/>
    <s v="No"/>
    <s v="None"/>
    <n v="0"/>
    <n v="0"/>
    <n v="0"/>
    <n v="0"/>
    <n v="0"/>
    <n v="835"/>
    <n v="0.48"/>
    <x v="1"/>
    <x v="490"/>
    <n v="0"/>
  </r>
  <r>
    <s v="U07973"/>
    <x v="41"/>
    <x v="0"/>
    <x v="3"/>
    <x v="1"/>
    <s v="Salesperson"/>
    <n v="4866.9799999999996"/>
    <n v="1761.23"/>
    <n v="20981.040000000001"/>
    <s v="No"/>
    <s v="None"/>
    <n v="0"/>
    <n v="0"/>
    <n v="0"/>
    <n v="0"/>
    <n v="0"/>
    <n v="427"/>
    <n v="0.36"/>
    <x v="0"/>
    <x v="503"/>
    <n v="0"/>
  </r>
  <r>
    <s v="U08000"/>
    <x v="8"/>
    <x v="0"/>
    <x v="3"/>
    <x v="1"/>
    <s v="Teacher"/>
    <n v="1389.36"/>
    <n v="978.81"/>
    <n v="9231.43"/>
    <s v="No"/>
    <s v="None"/>
    <n v="0"/>
    <n v="0"/>
    <n v="0"/>
    <n v="0"/>
    <n v="0"/>
    <n v="469"/>
    <n v="0.55000000000000004"/>
    <x v="2"/>
    <x v="504"/>
    <n v="0"/>
  </r>
  <r>
    <s v="U08020"/>
    <x v="50"/>
    <x v="0"/>
    <x v="2"/>
    <x v="1"/>
    <s v="Accountant"/>
    <n v="6896.1"/>
    <n v="2443.9299999999998"/>
    <n v="16676.900000000001"/>
    <s v="Yes"/>
    <s v="Education"/>
    <n v="465559.79"/>
    <n v="180"/>
    <n v="10483.1"/>
    <n v="26.49"/>
    <n v="1.52"/>
    <n v="686"/>
    <n v="0.2"/>
    <x v="1"/>
    <x v="505"/>
    <n v="1"/>
  </r>
  <r>
    <s v="U08026"/>
    <x v="37"/>
    <x v="1"/>
    <x v="4"/>
    <x v="1"/>
    <s v="Doctor"/>
    <n v="2781.73"/>
    <n v="840.52"/>
    <n v="9633.98"/>
    <s v="No"/>
    <s v="None"/>
    <n v="0"/>
    <n v="0"/>
    <n v="0"/>
    <n v="0"/>
    <n v="0"/>
    <n v="813"/>
    <n v="0.28999999999999998"/>
    <x v="3"/>
    <x v="506"/>
    <n v="0"/>
  </r>
  <r>
    <s v="U08032"/>
    <x v="45"/>
    <x v="0"/>
    <x v="3"/>
    <x v="0"/>
    <s v="Teacher"/>
    <n v="3100.4"/>
    <n v="2784.48"/>
    <n v="31923.11"/>
    <s v="No"/>
    <s v="None"/>
    <n v="0"/>
    <n v="0"/>
    <n v="0"/>
    <n v="0"/>
    <n v="0"/>
    <n v="726"/>
    <n v="0.86"/>
    <x v="1"/>
    <x v="507"/>
    <n v="0"/>
  </r>
  <r>
    <s v="U08036"/>
    <x v="17"/>
    <x v="0"/>
    <x v="2"/>
    <x v="2"/>
    <s v="Doctor"/>
    <n v="5183.0200000000004"/>
    <n v="3237.03"/>
    <n v="44553.2"/>
    <s v="No"/>
    <s v="None"/>
    <n v="0"/>
    <n v="0"/>
    <n v="0"/>
    <n v="0"/>
    <n v="0"/>
    <n v="473"/>
    <n v="0.72"/>
    <x v="4"/>
    <x v="39"/>
    <n v="0"/>
  </r>
  <r>
    <s v="U08050"/>
    <x v="28"/>
    <x v="1"/>
    <x v="3"/>
    <x v="1"/>
    <s v="Salesperson"/>
    <n v="3165.52"/>
    <n v="1054.1600000000001"/>
    <n v="16494.560000000001"/>
    <s v="No"/>
    <s v="None"/>
    <n v="0"/>
    <n v="0"/>
    <n v="0"/>
    <n v="0"/>
    <n v="0"/>
    <n v="552"/>
    <n v="0.43"/>
    <x v="3"/>
    <x v="508"/>
    <n v="0"/>
  </r>
  <r>
    <s v="U08067"/>
    <x v="10"/>
    <x v="1"/>
    <x v="3"/>
    <x v="0"/>
    <s v="Engineer"/>
    <n v="3076.67"/>
    <n v="2140.92"/>
    <n v="23787.46"/>
    <s v="Yes"/>
    <s v="Car"/>
    <n v="304733.07"/>
    <n v="240"/>
    <n v="3842.65"/>
    <n v="14.24"/>
    <n v="1.25"/>
    <n v="676"/>
    <n v="0.64"/>
    <x v="1"/>
    <x v="58"/>
    <n v="1"/>
  </r>
  <r>
    <s v="U08078"/>
    <x v="14"/>
    <x v="0"/>
    <x v="2"/>
    <x v="2"/>
    <s v="Salesperson"/>
    <n v="4143.59"/>
    <n v="2940.97"/>
    <n v="37593.32"/>
    <s v="No"/>
    <s v="None"/>
    <n v="0"/>
    <n v="0"/>
    <n v="0"/>
    <n v="0"/>
    <n v="0"/>
    <n v="365"/>
    <n v="0.76"/>
    <x v="0"/>
    <x v="509"/>
    <n v="0"/>
  </r>
  <r>
    <s v="U08090"/>
    <x v="31"/>
    <x v="1"/>
    <x v="4"/>
    <x v="2"/>
    <s v="Accountant"/>
    <n v="2501.09"/>
    <n v="1349.16"/>
    <n v="16592.71"/>
    <s v="Yes"/>
    <s v="Education"/>
    <n v="290927.34999999998"/>
    <n v="120"/>
    <n v="4539.8900000000003"/>
    <n v="14.13"/>
    <n v="1.82"/>
    <n v="774"/>
    <n v="0.55000000000000004"/>
    <x v="0"/>
    <x v="510"/>
    <n v="1"/>
  </r>
  <r>
    <s v="U08093"/>
    <x v="45"/>
    <x v="2"/>
    <x v="2"/>
    <x v="2"/>
    <s v="Salesperson"/>
    <n v="6835.11"/>
    <n v="3935.71"/>
    <n v="67050.320000000007"/>
    <s v="Yes"/>
    <s v="Car"/>
    <n v="226277.84"/>
    <n v="180"/>
    <n v="5057.92"/>
    <n v="26.28"/>
    <n v="0.74"/>
    <n v="701"/>
    <n v="0.82"/>
    <x v="3"/>
    <x v="107"/>
    <n v="1"/>
  </r>
  <r>
    <s v="U08100"/>
    <x v="4"/>
    <x v="1"/>
    <x v="3"/>
    <x v="1"/>
    <s v="Accountant"/>
    <n v="2338.06"/>
    <n v="982.45"/>
    <n v="15602.21"/>
    <s v="No"/>
    <s v="None"/>
    <n v="0"/>
    <n v="0"/>
    <n v="0"/>
    <n v="0"/>
    <n v="0"/>
    <n v="670"/>
    <n v="0.56000000000000005"/>
    <x v="0"/>
    <x v="31"/>
    <n v="0"/>
  </r>
  <r>
    <s v="U08110"/>
    <x v="2"/>
    <x v="1"/>
    <x v="2"/>
    <x v="1"/>
    <s v="Salesperson"/>
    <n v="1777.78"/>
    <n v="792.56"/>
    <n v="13792.65"/>
    <s v="Yes"/>
    <s v="Business"/>
    <n v="162944.4"/>
    <n v="360"/>
    <n v="2391.9499999999998"/>
    <n v="17.52"/>
    <n v="1.35"/>
    <n v="467"/>
    <n v="0.65"/>
    <x v="2"/>
    <x v="511"/>
    <n v="1"/>
  </r>
  <r>
    <s v="U08112"/>
    <x v="51"/>
    <x v="0"/>
    <x v="2"/>
    <x v="3"/>
    <s v="Teacher"/>
    <n v="3372.9"/>
    <n v="2675.82"/>
    <n v="23431.67"/>
    <s v="No"/>
    <s v="None"/>
    <n v="0"/>
    <n v="0"/>
    <n v="0"/>
    <n v="0"/>
    <n v="0"/>
    <n v="477"/>
    <n v="0.57999999999999996"/>
    <x v="1"/>
    <x v="512"/>
    <n v="0"/>
  </r>
  <r>
    <s v="U08113"/>
    <x v="17"/>
    <x v="1"/>
    <x v="2"/>
    <x v="0"/>
    <s v="Accountant"/>
    <n v="3692.06"/>
    <n v="3114.76"/>
    <n v="17821.759999999998"/>
    <s v="No"/>
    <s v="None"/>
    <n v="0"/>
    <n v="0"/>
    <n v="0"/>
    <n v="0"/>
    <n v="0"/>
    <n v="376"/>
    <n v="0.4"/>
    <x v="2"/>
    <x v="513"/>
    <n v="0"/>
  </r>
  <r>
    <s v="U08121"/>
    <x v="29"/>
    <x v="1"/>
    <x v="2"/>
    <x v="2"/>
    <s v="Accountant"/>
    <n v="7290.23"/>
    <n v="3113.8"/>
    <n v="24642.71"/>
    <s v="Yes"/>
    <s v="Home"/>
    <n v="73735.929999999993"/>
    <n v="360"/>
    <n v="327.82"/>
    <n v="3.42"/>
    <n v="0.04"/>
    <n v="783"/>
    <n v="0.28000000000000003"/>
    <x v="4"/>
    <x v="514"/>
    <n v="0"/>
  </r>
  <r>
    <s v="U08134"/>
    <x v="21"/>
    <x v="0"/>
    <x v="3"/>
    <x v="1"/>
    <s v="Student"/>
    <n v="2269.11"/>
    <n v="1493.35"/>
    <n v="9608.16"/>
    <s v="No"/>
    <s v="None"/>
    <n v="0"/>
    <n v="0"/>
    <n v="0"/>
    <n v="0"/>
    <n v="0"/>
    <n v="430"/>
    <n v="0.35"/>
    <x v="2"/>
    <x v="515"/>
    <n v="0"/>
  </r>
  <r>
    <s v="U08150"/>
    <x v="20"/>
    <x v="0"/>
    <x v="3"/>
    <x v="1"/>
    <s v="Doctor"/>
    <n v="3792.25"/>
    <n v="1139.46"/>
    <n v="5513.04"/>
    <s v="No"/>
    <s v="None"/>
    <n v="0"/>
    <n v="0"/>
    <n v="0"/>
    <n v="0"/>
    <n v="0"/>
    <n v="509"/>
    <n v="0.12"/>
    <x v="1"/>
    <x v="138"/>
    <n v="0"/>
  </r>
  <r>
    <s v="U08192"/>
    <x v="23"/>
    <x v="0"/>
    <x v="1"/>
    <x v="1"/>
    <s v="Teacher"/>
    <n v="5255.79"/>
    <n v="3671.68"/>
    <n v="25000.98"/>
    <s v="Yes"/>
    <s v="Home"/>
    <n v="366631.04"/>
    <n v="300"/>
    <n v="7162.12"/>
    <n v="23.37"/>
    <n v="1.36"/>
    <n v="431"/>
    <n v="0.4"/>
    <x v="3"/>
    <x v="516"/>
    <n v="1"/>
  </r>
  <r>
    <s v="U08241"/>
    <x v="21"/>
    <x v="1"/>
    <x v="3"/>
    <x v="1"/>
    <s v="Driver"/>
    <n v="1985.78"/>
    <n v="1360.77"/>
    <n v="20150.150000000001"/>
    <s v="No"/>
    <s v="None"/>
    <n v="0"/>
    <n v="0"/>
    <n v="0"/>
    <n v="0"/>
    <n v="0"/>
    <n v="751"/>
    <n v="0.85"/>
    <x v="1"/>
    <x v="76"/>
    <n v="0"/>
  </r>
  <r>
    <s v="U08274"/>
    <x v="16"/>
    <x v="1"/>
    <x v="0"/>
    <x v="1"/>
    <s v="Accountant"/>
    <n v="2485.7600000000002"/>
    <n v="821.56"/>
    <n v="28724.26"/>
    <s v="No"/>
    <s v="None"/>
    <n v="0"/>
    <n v="0"/>
    <n v="0"/>
    <n v="0"/>
    <n v="0"/>
    <n v="652"/>
    <n v="0.96"/>
    <x v="1"/>
    <x v="517"/>
    <n v="0"/>
  </r>
  <r>
    <s v="U08317"/>
    <x v="23"/>
    <x v="1"/>
    <x v="2"/>
    <x v="0"/>
    <s v="Driver"/>
    <n v="6137.99"/>
    <n v="4149.7299999999996"/>
    <n v="32782.129999999997"/>
    <s v="No"/>
    <s v="None"/>
    <n v="0"/>
    <n v="0"/>
    <n v="0"/>
    <n v="0"/>
    <n v="0"/>
    <n v="569"/>
    <n v="0.45"/>
    <x v="3"/>
    <x v="518"/>
    <n v="0"/>
  </r>
  <r>
    <s v="U08323"/>
    <x v="10"/>
    <x v="1"/>
    <x v="2"/>
    <x v="1"/>
    <s v="Doctor"/>
    <n v="3184.91"/>
    <n v="959.04"/>
    <n v="27511.45"/>
    <s v="No"/>
    <s v="None"/>
    <n v="0"/>
    <n v="0"/>
    <n v="0"/>
    <n v="0"/>
    <n v="0"/>
    <n v="510"/>
    <n v="0.72"/>
    <x v="2"/>
    <x v="519"/>
    <n v="0"/>
  </r>
  <r>
    <s v="U08341"/>
    <x v="26"/>
    <x v="0"/>
    <x v="3"/>
    <x v="1"/>
    <s v="Driver"/>
    <n v="2132.0700000000002"/>
    <n v="1713.57"/>
    <n v="3835.24"/>
    <s v="No"/>
    <s v="None"/>
    <n v="0"/>
    <n v="0"/>
    <n v="0"/>
    <n v="0"/>
    <n v="0"/>
    <n v="354"/>
    <n v="0.15"/>
    <x v="2"/>
    <x v="137"/>
    <n v="0"/>
  </r>
  <r>
    <s v="U08358"/>
    <x v="5"/>
    <x v="0"/>
    <x v="3"/>
    <x v="1"/>
    <s v="Engineer"/>
    <n v="2784.76"/>
    <n v="1919.02"/>
    <n v="32887.269999999997"/>
    <s v="Yes"/>
    <s v="Home"/>
    <n v="213693.42"/>
    <n v="300"/>
    <n v="1499.45"/>
    <n v="6.92"/>
    <n v="0.54"/>
    <n v="682"/>
    <n v="0.98"/>
    <x v="1"/>
    <x v="78"/>
    <n v="1"/>
  </r>
  <r>
    <s v="U08361"/>
    <x v="49"/>
    <x v="0"/>
    <x v="4"/>
    <x v="1"/>
    <s v="Doctor"/>
    <n v="4614.38"/>
    <n v="3050.37"/>
    <n v="51705.33"/>
    <s v="Yes"/>
    <s v="Home"/>
    <n v="4734.6499999999996"/>
    <n v="180"/>
    <n v="54.41"/>
    <n v="11.2"/>
    <n v="0.01"/>
    <n v="676"/>
    <n v="0.93"/>
    <x v="2"/>
    <x v="520"/>
    <n v="0"/>
  </r>
  <r>
    <s v="U08370"/>
    <x v="10"/>
    <x v="0"/>
    <x v="3"/>
    <x v="1"/>
    <s v="Student"/>
    <n v="5831.46"/>
    <n v="5069.8900000000003"/>
    <n v="22593.65"/>
    <s v="Yes"/>
    <s v="Education"/>
    <n v="113322.29"/>
    <n v="120"/>
    <n v="1297.1500000000001"/>
    <n v="6.68"/>
    <n v="0.22"/>
    <n v="663"/>
    <n v="0.32"/>
    <x v="1"/>
    <x v="119"/>
    <n v="0"/>
  </r>
  <r>
    <s v="U08389"/>
    <x v="2"/>
    <x v="0"/>
    <x v="2"/>
    <x v="1"/>
    <s v="Engineer"/>
    <n v="2579.23"/>
    <n v="924.02"/>
    <n v="27262.37"/>
    <s v="No"/>
    <s v="None"/>
    <n v="0"/>
    <n v="0"/>
    <n v="0"/>
    <n v="0"/>
    <n v="0"/>
    <n v="785"/>
    <n v="0.88"/>
    <x v="1"/>
    <x v="521"/>
    <n v="0"/>
  </r>
  <r>
    <s v="U08421"/>
    <x v="38"/>
    <x v="0"/>
    <x v="4"/>
    <x v="3"/>
    <s v="Doctor"/>
    <n v="4035.37"/>
    <n v="3116.75"/>
    <n v="23137.35"/>
    <s v="Yes"/>
    <s v="Car"/>
    <n v="246640.57"/>
    <n v="360"/>
    <n v="4730.33"/>
    <n v="22.99"/>
    <n v="1.17"/>
    <n v="749"/>
    <n v="0.48"/>
    <x v="1"/>
    <x v="315"/>
    <n v="1"/>
  </r>
  <r>
    <s v="U08424"/>
    <x v="9"/>
    <x v="1"/>
    <x v="3"/>
    <x v="1"/>
    <s v="Student"/>
    <n v="3713.5"/>
    <n v="3142.6"/>
    <n v="16757.36"/>
    <s v="No"/>
    <s v="None"/>
    <n v="0"/>
    <n v="0"/>
    <n v="0"/>
    <n v="0"/>
    <n v="0"/>
    <n v="709"/>
    <n v="0.38"/>
    <x v="4"/>
    <x v="522"/>
    <n v="0"/>
  </r>
  <r>
    <s v="U08447"/>
    <x v="48"/>
    <x v="1"/>
    <x v="3"/>
    <x v="1"/>
    <s v="Teacher"/>
    <n v="4497.6499999999996"/>
    <n v="2099.96"/>
    <n v="30489.75"/>
    <s v="No"/>
    <s v="None"/>
    <n v="0"/>
    <n v="0"/>
    <n v="0"/>
    <n v="0"/>
    <n v="0"/>
    <n v="495"/>
    <n v="0.56000000000000005"/>
    <x v="4"/>
    <x v="523"/>
    <n v="0"/>
  </r>
  <r>
    <s v="U08452"/>
    <x v="29"/>
    <x v="1"/>
    <x v="2"/>
    <x v="3"/>
    <s v="Salesperson"/>
    <n v="4856.84"/>
    <n v="4018.67"/>
    <n v="6457.57"/>
    <s v="No"/>
    <s v="None"/>
    <n v="0"/>
    <n v="0"/>
    <n v="0"/>
    <n v="0"/>
    <n v="0"/>
    <n v="645"/>
    <n v="0.11"/>
    <x v="3"/>
    <x v="157"/>
    <n v="0"/>
  </r>
  <r>
    <s v="U08455"/>
    <x v="19"/>
    <x v="1"/>
    <x v="3"/>
    <x v="1"/>
    <s v="Salesperson"/>
    <n v="5295.38"/>
    <n v="2113.73"/>
    <n v="56723.63"/>
    <s v="No"/>
    <s v="None"/>
    <n v="0"/>
    <n v="0"/>
    <n v="0"/>
    <n v="0"/>
    <n v="0"/>
    <n v="658"/>
    <n v="0.89"/>
    <x v="2"/>
    <x v="494"/>
    <n v="0"/>
  </r>
  <r>
    <s v="U08456"/>
    <x v="33"/>
    <x v="1"/>
    <x v="3"/>
    <x v="2"/>
    <s v="Teacher"/>
    <n v="1454.19"/>
    <n v="545.94000000000005"/>
    <n v="11790.24"/>
    <s v="Yes"/>
    <s v="Car"/>
    <n v="57849.47"/>
    <n v="60"/>
    <n v="1272.26"/>
    <n v="11.5"/>
    <n v="0.87"/>
    <n v="676"/>
    <n v="0.68"/>
    <x v="2"/>
    <x v="524"/>
    <n v="1"/>
  </r>
  <r>
    <s v="U08465"/>
    <x v="5"/>
    <x v="0"/>
    <x v="3"/>
    <x v="1"/>
    <s v="Student"/>
    <n v="3277.46"/>
    <n v="2181.0500000000002"/>
    <n v="36800.46"/>
    <s v="Yes"/>
    <s v="Business"/>
    <n v="114017.25"/>
    <n v="120"/>
    <n v="1475.98"/>
    <n v="9.51"/>
    <n v="0.45"/>
    <n v="571"/>
    <n v="0.94"/>
    <x v="2"/>
    <x v="525"/>
    <n v="1"/>
  </r>
  <r>
    <s v="U08466"/>
    <x v="36"/>
    <x v="0"/>
    <x v="0"/>
    <x v="1"/>
    <s v="Accountant"/>
    <n v="2424.14"/>
    <n v="1969.19"/>
    <n v="20784.61"/>
    <s v="No"/>
    <s v="None"/>
    <n v="0"/>
    <n v="0"/>
    <n v="0"/>
    <n v="0"/>
    <n v="0"/>
    <n v="786"/>
    <n v="0.71"/>
    <x v="2"/>
    <x v="526"/>
    <n v="0"/>
  </r>
  <r>
    <s v="U08479"/>
    <x v="42"/>
    <x v="0"/>
    <x v="2"/>
    <x v="1"/>
    <s v="Accountant"/>
    <n v="3385.53"/>
    <n v="2363.8000000000002"/>
    <n v="24199.21"/>
    <s v="No"/>
    <s v="None"/>
    <n v="0"/>
    <n v="0"/>
    <n v="0"/>
    <n v="0"/>
    <n v="0"/>
    <n v="640"/>
    <n v="0.6"/>
    <x v="0"/>
    <x v="527"/>
    <n v="0"/>
  </r>
  <r>
    <s v="U08501"/>
    <x v="45"/>
    <x v="0"/>
    <x v="3"/>
    <x v="2"/>
    <s v="Teacher"/>
    <n v="4415.6400000000003"/>
    <n v="3970.64"/>
    <n v="24145.79"/>
    <s v="No"/>
    <s v="None"/>
    <n v="0"/>
    <n v="0"/>
    <n v="0"/>
    <n v="0"/>
    <n v="0"/>
    <n v="326"/>
    <n v="0.46"/>
    <x v="0"/>
    <x v="378"/>
    <n v="0"/>
  </r>
  <r>
    <s v="U08510"/>
    <x v="17"/>
    <x v="1"/>
    <x v="3"/>
    <x v="1"/>
    <s v="Accountant"/>
    <n v="3055.61"/>
    <n v="2307.6799999999998"/>
    <n v="27862.58"/>
    <s v="No"/>
    <s v="None"/>
    <n v="0"/>
    <n v="0"/>
    <n v="0"/>
    <n v="0"/>
    <n v="0"/>
    <n v="464"/>
    <n v="0.76"/>
    <x v="3"/>
    <x v="528"/>
    <n v="0"/>
  </r>
  <r>
    <s v="U08513"/>
    <x v="32"/>
    <x v="0"/>
    <x v="0"/>
    <x v="1"/>
    <s v="Salesperson"/>
    <n v="3057.12"/>
    <n v="1649.71"/>
    <n v="6681.15"/>
    <s v="No"/>
    <s v="None"/>
    <n v="0"/>
    <n v="0"/>
    <n v="0"/>
    <n v="0"/>
    <n v="0"/>
    <n v="363"/>
    <n v="0.18"/>
    <x v="0"/>
    <x v="529"/>
    <n v="0"/>
  </r>
  <r>
    <s v="U08527"/>
    <x v="51"/>
    <x v="1"/>
    <x v="3"/>
    <x v="1"/>
    <s v="Driver"/>
    <n v="7972.09"/>
    <n v="5966.7"/>
    <n v="66262.86"/>
    <s v="No"/>
    <s v="None"/>
    <n v="0"/>
    <n v="0"/>
    <n v="0"/>
    <n v="0"/>
    <n v="0"/>
    <n v="765"/>
    <n v="0.69"/>
    <x v="1"/>
    <x v="416"/>
    <n v="0"/>
  </r>
  <r>
    <s v="U08534"/>
    <x v="8"/>
    <x v="1"/>
    <x v="3"/>
    <x v="2"/>
    <s v="Driver"/>
    <n v="3894.9"/>
    <n v="1311.21"/>
    <n v="24817.82"/>
    <s v="No"/>
    <s v="None"/>
    <n v="0"/>
    <n v="0"/>
    <n v="0"/>
    <n v="0"/>
    <n v="0"/>
    <n v="326"/>
    <n v="0.53"/>
    <x v="2"/>
    <x v="530"/>
    <n v="0"/>
  </r>
  <r>
    <s v="U08536"/>
    <x v="35"/>
    <x v="0"/>
    <x v="3"/>
    <x v="1"/>
    <s v="Driver"/>
    <n v="7605.96"/>
    <n v="5703.53"/>
    <n v="53277.33"/>
    <s v="Yes"/>
    <s v="Home"/>
    <n v="172519.2"/>
    <n v="240"/>
    <n v="2951.12"/>
    <n v="20.149999999999999"/>
    <n v="0.39"/>
    <n v="691"/>
    <n v="0.57999999999999996"/>
    <x v="3"/>
    <x v="185"/>
    <n v="0"/>
  </r>
  <r>
    <s v="U08559"/>
    <x v="4"/>
    <x v="1"/>
    <x v="2"/>
    <x v="3"/>
    <s v="Salesperson"/>
    <n v="3430.84"/>
    <n v="1099.83"/>
    <n v="11220.29"/>
    <s v="No"/>
    <s v="None"/>
    <n v="0"/>
    <n v="0"/>
    <n v="0"/>
    <n v="0"/>
    <n v="0"/>
    <n v="407"/>
    <n v="0.27"/>
    <x v="2"/>
    <x v="215"/>
    <n v="0"/>
  </r>
  <r>
    <s v="U08582"/>
    <x v="2"/>
    <x v="1"/>
    <x v="3"/>
    <x v="1"/>
    <s v="Accountant"/>
    <n v="5435.33"/>
    <n v="1936.22"/>
    <n v="20659.310000000001"/>
    <s v="No"/>
    <s v="None"/>
    <n v="0"/>
    <n v="0"/>
    <n v="0"/>
    <n v="0"/>
    <n v="0"/>
    <n v="594"/>
    <n v="0.32"/>
    <x v="0"/>
    <x v="531"/>
    <n v="0"/>
  </r>
  <r>
    <s v="U08593"/>
    <x v="16"/>
    <x v="1"/>
    <x v="3"/>
    <x v="2"/>
    <s v="Salesperson"/>
    <n v="4936.03"/>
    <n v="2972.35"/>
    <n v="54838.11"/>
    <s v="Yes"/>
    <s v="Car"/>
    <n v="434290.73"/>
    <n v="360"/>
    <n v="8419.2000000000007"/>
    <n v="23.24"/>
    <n v="1.71"/>
    <n v="493"/>
    <n v="0.93"/>
    <x v="0"/>
    <x v="532"/>
    <n v="1"/>
  </r>
  <r>
    <s v="U08664"/>
    <x v="17"/>
    <x v="0"/>
    <x v="0"/>
    <x v="2"/>
    <s v="Salesperson"/>
    <n v="4035.47"/>
    <n v="2146.94"/>
    <n v="36230.660000000003"/>
    <s v="No"/>
    <s v="None"/>
    <n v="0"/>
    <n v="0"/>
    <n v="0"/>
    <n v="0"/>
    <n v="0"/>
    <n v="586"/>
    <n v="0.75"/>
    <x v="4"/>
    <x v="533"/>
    <n v="0"/>
  </r>
  <r>
    <s v="U08675"/>
    <x v="27"/>
    <x v="0"/>
    <x v="1"/>
    <x v="1"/>
    <s v="Manager"/>
    <n v="4310.91"/>
    <n v="1357.68"/>
    <n v="29932.68"/>
    <s v="Yes"/>
    <s v="Car"/>
    <n v="173197.67"/>
    <n v="36"/>
    <n v="6252.83"/>
    <n v="17.899999999999999"/>
    <n v="1.45"/>
    <n v="386"/>
    <n v="0.57999999999999996"/>
    <x v="2"/>
    <x v="281"/>
    <n v="1"/>
  </r>
  <r>
    <s v="U08687"/>
    <x v="22"/>
    <x v="0"/>
    <x v="0"/>
    <x v="3"/>
    <s v="Engineer"/>
    <n v="5589.64"/>
    <n v="1926.14"/>
    <n v="60386.89"/>
    <s v="No"/>
    <s v="None"/>
    <n v="0"/>
    <n v="0"/>
    <n v="0"/>
    <n v="0"/>
    <n v="0"/>
    <n v="330"/>
    <n v="0.9"/>
    <x v="2"/>
    <x v="370"/>
    <n v="0"/>
  </r>
  <r>
    <s v="U08698"/>
    <x v="0"/>
    <x v="1"/>
    <x v="0"/>
    <x v="1"/>
    <s v="Doctor"/>
    <n v="3971.99"/>
    <n v="2795.56"/>
    <n v="9609.08"/>
    <s v="No"/>
    <s v="None"/>
    <n v="0"/>
    <n v="0"/>
    <n v="0"/>
    <n v="0"/>
    <n v="0"/>
    <n v="847"/>
    <n v="0.2"/>
    <x v="1"/>
    <x v="211"/>
    <n v="0"/>
  </r>
  <r>
    <s v="U08701"/>
    <x v="36"/>
    <x v="2"/>
    <x v="2"/>
    <x v="1"/>
    <s v="Salesperson"/>
    <n v="2038.89"/>
    <n v="1462.49"/>
    <n v="21625.57"/>
    <s v="No"/>
    <s v="None"/>
    <n v="0"/>
    <n v="0"/>
    <n v="0"/>
    <n v="0"/>
    <n v="0"/>
    <n v="718"/>
    <n v="0.88"/>
    <x v="3"/>
    <x v="460"/>
    <n v="0"/>
  </r>
  <r>
    <s v="U08708"/>
    <x v="31"/>
    <x v="0"/>
    <x v="3"/>
    <x v="1"/>
    <s v="Salesperson"/>
    <n v="1848.11"/>
    <n v="607.36"/>
    <n v="7571.44"/>
    <s v="No"/>
    <s v="None"/>
    <n v="0"/>
    <n v="0"/>
    <n v="0"/>
    <n v="0"/>
    <n v="0"/>
    <n v="464"/>
    <n v="0.34"/>
    <x v="1"/>
    <x v="534"/>
    <n v="0"/>
  </r>
  <r>
    <s v="U08713"/>
    <x v="22"/>
    <x v="1"/>
    <x v="2"/>
    <x v="1"/>
    <s v="Manager"/>
    <n v="8123.77"/>
    <n v="6864.3"/>
    <n v="56328.79"/>
    <s v="Yes"/>
    <s v="Home"/>
    <n v="321268.77"/>
    <n v="300"/>
    <n v="5475.69"/>
    <n v="20.32"/>
    <n v="0.67"/>
    <n v="399"/>
    <n v="0.57999999999999996"/>
    <x v="1"/>
    <x v="535"/>
    <n v="1"/>
  </r>
  <r>
    <s v="U08747"/>
    <x v="10"/>
    <x v="0"/>
    <x v="3"/>
    <x v="2"/>
    <s v="Driver"/>
    <n v="7344.02"/>
    <n v="4495.8900000000003"/>
    <n v="78361.42"/>
    <s v="No"/>
    <s v="None"/>
    <n v="0"/>
    <n v="0"/>
    <n v="0"/>
    <n v="0"/>
    <n v="0"/>
    <n v="467"/>
    <n v="0.89"/>
    <x v="4"/>
    <x v="536"/>
    <n v="0"/>
  </r>
  <r>
    <s v="U08758"/>
    <x v="40"/>
    <x v="1"/>
    <x v="2"/>
    <x v="3"/>
    <s v="Salesperson"/>
    <n v="2373.19"/>
    <n v="1263.3900000000001"/>
    <n v="11114.07"/>
    <s v="No"/>
    <s v="None"/>
    <n v="0"/>
    <n v="0"/>
    <n v="0"/>
    <n v="0"/>
    <n v="0"/>
    <n v="731"/>
    <n v="0.39"/>
    <x v="0"/>
    <x v="537"/>
    <n v="0"/>
  </r>
  <r>
    <s v="U08762"/>
    <x v="16"/>
    <x v="0"/>
    <x v="2"/>
    <x v="3"/>
    <s v="Manager"/>
    <n v="7419.97"/>
    <n v="3678.22"/>
    <n v="82325.56"/>
    <s v="Yes"/>
    <s v="Business"/>
    <n v="40548.82"/>
    <n v="36"/>
    <n v="1241.8599999999999"/>
    <n v="6.45"/>
    <n v="0.17"/>
    <n v="418"/>
    <n v="0.92"/>
    <x v="1"/>
    <x v="435"/>
    <n v="0"/>
  </r>
  <r>
    <s v="U08767"/>
    <x v="19"/>
    <x v="0"/>
    <x v="3"/>
    <x v="1"/>
    <s v="Manager"/>
    <n v="3087.53"/>
    <n v="1845.79"/>
    <n v="5482.2"/>
    <s v="Yes"/>
    <s v="Car"/>
    <n v="482820.87"/>
    <n v="120"/>
    <n v="4763.12"/>
    <n v="3.45"/>
    <n v="1.54"/>
    <n v="338"/>
    <n v="0.15"/>
    <x v="4"/>
    <x v="519"/>
    <n v="1"/>
  </r>
  <r>
    <s v="U08819"/>
    <x v="39"/>
    <x v="0"/>
    <x v="3"/>
    <x v="1"/>
    <s v="Manager"/>
    <n v="5528.63"/>
    <n v="4676.97"/>
    <n v="52011.07"/>
    <s v="No"/>
    <s v="None"/>
    <n v="0"/>
    <n v="0"/>
    <n v="0"/>
    <n v="0"/>
    <n v="0"/>
    <n v="445"/>
    <n v="0.78"/>
    <x v="4"/>
    <x v="538"/>
    <n v="0"/>
  </r>
  <r>
    <s v="U08840"/>
    <x v="2"/>
    <x v="1"/>
    <x v="3"/>
    <x v="2"/>
    <s v="Doctor"/>
    <n v="7306.41"/>
    <n v="6539.14"/>
    <n v="63593.52"/>
    <s v="No"/>
    <s v="None"/>
    <n v="0"/>
    <n v="0"/>
    <n v="0"/>
    <n v="0"/>
    <n v="0"/>
    <n v="420"/>
    <n v="0.73"/>
    <x v="3"/>
    <x v="539"/>
    <n v="0"/>
  </r>
  <r>
    <s v="U08850"/>
    <x v="36"/>
    <x v="1"/>
    <x v="3"/>
    <x v="1"/>
    <s v="Engineer"/>
    <n v="3707.79"/>
    <n v="3044.91"/>
    <n v="20471.72"/>
    <s v="No"/>
    <s v="None"/>
    <n v="0"/>
    <n v="0"/>
    <n v="0"/>
    <n v="0"/>
    <n v="0"/>
    <n v="637"/>
    <n v="0.46"/>
    <x v="1"/>
    <x v="496"/>
    <n v="0"/>
  </r>
  <r>
    <s v="U08855"/>
    <x v="37"/>
    <x v="1"/>
    <x v="3"/>
    <x v="1"/>
    <s v="Accountant"/>
    <n v="4002.32"/>
    <n v="2569.0100000000002"/>
    <n v="10944.33"/>
    <s v="Yes"/>
    <s v="Home"/>
    <n v="125632.02"/>
    <n v="180"/>
    <n v="1169.6300000000001"/>
    <n v="7.57"/>
    <n v="0.28999999999999998"/>
    <n v="686"/>
    <n v="0.23"/>
    <x v="2"/>
    <x v="540"/>
    <n v="0"/>
  </r>
  <r>
    <s v="U08881"/>
    <x v="41"/>
    <x v="1"/>
    <x v="2"/>
    <x v="1"/>
    <s v="Manager"/>
    <n v="1914.19"/>
    <n v="1216.6500000000001"/>
    <n v="21497.06"/>
    <s v="Yes"/>
    <s v="Home"/>
    <n v="6354.86"/>
    <n v="300"/>
    <n v="87.3"/>
    <n v="16.190000000000001"/>
    <n v="0.05"/>
    <n v="350"/>
    <n v="0.94"/>
    <x v="1"/>
    <x v="541"/>
    <n v="0"/>
  </r>
  <r>
    <s v="U08914"/>
    <x v="49"/>
    <x v="0"/>
    <x v="2"/>
    <x v="0"/>
    <s v="Engineer"/>
    <n v="4618.8999999999996"/>
    <n v="4077.45"/>
    <n v="41057.51"/>
    <s v="Yes"/>
    <s v="Education"/>
    <n v="35816.559999999998"/>
    <n v="360"/>
    <n v="626.24"/>
    <n v="20.94"/>
    <n v="0.14000000000000001"/>
    <n v="605"/>
    <n v="0.74"/>
    <x v="4"/>
    <x v="542"/>
    <n v="0"/>
  </r>
  <r>
    <s v="U08931"/>
    <x v="5"/>
    <x v="0"/>
    <x v="4"/>
    <x v="1"/>
    <s v="Doctor"/>
    <n v="5419.76"/>
    <n v="3229.56"/>
    <n v="35507.589999999997"/>
    <s v="Yes"/>
    <s v="Car"/>
    <n v="249022.6"/>
    <n v="36"/>
    <n v="7603.99"/>
    <n v="6.25"/>
    <n v="1.4"/>
    <n v="844"/>
    <n v="0.55000000000000004"/>
    <x v="0"/>
    <x v="543"/>
    <n v="1"/>
  </r>
  <r>
    <s v="U08957"/>
    <x v="36"/>
    <x v="1"/>
    <x v="4"/>
    <x v="0"/>
    <s v="Salesperson"/>
    <n v="3533.27"/>
    <n v="2507.81"/>
    <n v="17443.349999999999"/>
    <s v="Yes"/>
    <s v="Car"/>
    <n v="79814.710000000006"/>
    <n v="300"/>
    <n v="1647.82"/>
    <n v="24.72"/>
    <n v="0.47"/>
    <n v="309"/>
    <n v="0.41"/>
    <x v="3"/>
    <x v="324"/>
    <n v="1"/>
  </r>
  <r>
    <s v="U08966"/>
    <x v="26"/>
    <x v="0"/>
    <x v="0"/>
    <x v="1"/>
    <s v="Student"/>
    <n v="1836.48"/>
    <n v="950.22"/>
    <n v="5187.1899999999996"/>
    <s v="No"/>
    <s v="None"/>
    <n v="0"/>
    <n v="0"/>
    <n v="0"/>
    <n v="0"/>
    <n v="0"/>
    <n v="489"/>
    <n v="0.24"/>
    <x v="2"/>
    <x v="8"/>
    <n v="0"/>
  </r>
  <r>
    <s v="U08968"/>
    <x v="7"/>
    <x v="0"/>
    <x v="2"/>
    <x v="1"/>
    <s v="Student"/>
    <n v="4357.7700000000004"/>
    <n v="2519.33"/>
    <n v="48288.92"/>
    <s v="Yes"/>
    <s v="Business"/>
    <n v="81855.350000000006"/>
    <n v="12"/>
    <n v="7574.01"/>
    <n v="19.78"/>
    <n v="1.74"/>
    <n v="521"/>
    <n v="0.92"/>
    <x v="0"/>
    <x v="544"/>
    <n v="1"/>
  </r>
  <r>
    <s v="U08985"/>
    <x v="28"/>
    <x v="1"/>
    <x v="2"/>
    <x v="1"/>
    <s v="Teacher"/>
    <n v="4643.33"/>
    <n v="3687.72"/>
    <n v="15911.27"/>
    <s v="No"/>
    <s v="None"/>
    <n v="0"/>
    <n v="0"/>
    <n v="0"/>
    <n v="0"/>
    <n v="0"/>
    <n v="310"/>
    <n v="0.28999999999999998"/>
    <x v="0"/>
    <x v="545"/>
    <n v="0"/>
  </r>
  <r>
    <s v="U09005"/>
    <x v="30"/>
    <x v="0"/>
    <x v="2"/>
    <x v="1"/>
    <s v="Teacher"/>
    <n v="8753.06"/>
    <n v="4576.1899999999996"/>
    <n v="45793.89"/>
    <s v="No"/>
    <s v="None"/>
    <n v="0"/>
    <n v="0"/>
    <n v="0"/>
    <n v="0"/>
    <n v="0"/>
    <n v="418"/>
    <n v="0.44"/>
    <x v="1"/>
    <x v="112"/>
    <n v="0"/>
  </r>
  <r>
    <s v="U09018"/>
    <x v="2"/>
    <x v="1"/>
    <x v="2"/>
    <x v="1"/>
    <s v="Doctor"/>
    <n v="5593.53"/>
    <n v="4253.99"/>
    <n v="25254.33"/>
    <s v="No"/>
    <s v="None"/>
    <n v="0"/>
    <n v="0"/>
    <n v="0"/>
    <n v="0"/>
    <n v="0"/>
    <n v="538"/>
    <n v="0.38"/>
    <x v="4"/>
    <x v="78"/>
    <n v="0"/>
  </r>
  <r>
    <s v="U09049"/>
    <x v="33"/>
    <x v="0"/>
    <x v="3"/>
    <x v="1"/>
    <s v="Manager"/>
    <n v="1259.57"/>
    <n v="1115.32"/>
    <n v="10208.879999999999"/>
    <s v="No"/>
    <s v="None"/>
    <n v="0"/>
    <n v="0"/>
    <n v="0"/>
    <n v="0"/>
    <n v="0"/>
    <n v="400"/>
    <n v="0.68"/>
    <x v="4"/>
    <x v="546"/>
    <n v="0"/>
  </r>
  <r>
    <s v="U09055"/>
    <x v="17"/>
    <x v="0"/>
    <x v="0"/>
    <x v="1"/>
    <s v="Manager"/>
    <n v="4919.72"/>
    <n v="3680.27"/>
    <n v="36768.83"/>
    <s v="Yes"/>
    <s v="Car"/>
    <n v="492477.09"/>
    <n v="300"/>
    <n v="7614.95"/>
    <n v="18.36"/>
    <n v="1.55"/>
    <n v="850"/>
    <n v="0.62"/>
    <x v="3"/>
    <x v="547"/>
    <n v="1"/>
  </r>
  <r>
    <s v="U09077"/>
    <x v="23"/>
    <x v="0"/>
    <x v="0"/>
    <x v="1"/>
    <s v="Salesperson"/>
    <n v="4187.32"/>
    <n v="3175.46"/>
    <n v="23699.31"/>
    <s v="No"/>
    <s v="None"/>
    <n v="0"/>
    <n v="0"/>
    <n v="0"/>
    <n v="0"/>
    <n v="0"/>
    <n v="409"/>
    <n v="0.47"/>
    <x v="4"/>
    <x v="548"/>
    <n v="0"/>
  </r>
  <r>
    <s v="U09110"/>
    <x v="50"/>
    <x v="1"/>
    <x v="2"/>
    <x v="1"/>
    <s v="Salesperson"/>
    <n v="5932.22"/>
    <n v="3642.24"/>
    <n v="45644.12"/>
    <s v="No"/>
    <s v="None"/>
    <n v="0"/>
    <n v="0"/>
    <n v="0"/>
    <n v="0"/>
    <n v="0"/>
    <n v="609"/>
    <n v="0.64"/>
    <x v="3"/>
    <x v="549"/>
    <n v="0"/>
  </r>
  <r>
    <s v="U09148"/>
    <x v="3"/>
    <x v="1"/>
    <x v="3"/>
    <x v="1"/>
    <s v="Unemployed"/>
    <n v="4897.25"/>
    <n v="1567.39"/>
    <n v="36022.620000000003"/>
    <s v="No"/>
    <s v="None"/>
    <n v="0"/>
    <n v="0"/>
    <n v="0"/>
    <n v="0"/>
    <n v="0"/>
    <n v="720"/>
    <n v="0.61"/>
    <x v="3"/>
    <x v="550"/>
    <n v="0"/>
  </r>
  <r>
    <s v="U09157"/>
    <x v="2"/>
    <x v="1"/>
    <x v="1"/>
    <x v="2"/>
    <s v="Unemployed"/>
    <n v="2918.57"/>
    <n v="2392.52"/>
    <n v="18354.669999999998"/>
    <s v="No"/>
    <s v="None"/>
    <n v="0"/>
    <n v="0"/>
    <n v="0"/>
    <n v="0"/>
    <n v="0"/>
    <n v="767"/>
    <n v="0.52"/>
    <x v="3"/>
    <x v="315"/>
    <n v="0"/>
  </r>
  <r>
    <s v="U09167"/>
    <x v="27"/>
    <x v="1"/>
    <x v="3"/>
    <x v="3"/>
    <s v="Accountant"/>
    <n v="6884.79"/>
    <n v="5807.1"/>
    <n v="18319.34"/>
    <s v="No"/>
    <s v="None"/>
    <n v="0"/>
    <n v="0"/>
    <n v="0"/>
    <n v="0"/>
    <n v="0"/>
    <n v="378"/>
    <n v="0.22"/>
    <x v="1"/>
    <x v="551"/>
    <n v="0"/>
  </r>
  <r>
    <s v="U09183"/>
    <x v="10"/>
    <x v="1"/>
    <x v="0"/>
    <x v="2"/>
    <s v="Teacher"/>
    <n v="2194.8000000000002"/>
    <n v="838.83"/>
    <n v="22518.959999999999"/>
    <s v="No"/>
    <s v="None"/>
    <n v="0"/>
    <n v="0"/>
    <n v="0"/>
    <n v="0"/>
    <n v="0"/>
    <n v="320"/>
    <n v="0.86"/>
    <x v="1"/>
    <x v="552"/>
    <n v="0"/>
  </r>
  <r>
    <s v="U09194"/>
    <x v="21"/>
    <x v="1"/>
    <x v="2"/>
    <x v="3"/>
    <s v="Doctor"/>
    <n v="5714.59"/>
    <n v="3152.79"/>
    <n v="28928.16"/>
    <s v="No"/>
    <s v="None"/>
    <n v="0"/>
    <n v="0"/>
    <n v="0"/>
    <n v="0"/>
    <n v="0"/>
    <n v="641"/>
    <n v="0.42"/>
    <x v="0"/>
    <x v="553"/>
    <n v="0"/>
  </r>
  <r>
    <s v="U09227"/>
    <x v="42"/>
    <x v="0"/>
    <x v="3"/>
    <x v="2"/>
    <s v="Accountant"/>
    <n v="3679.09"/>
    <n v="1897.45"/>
    <n v="20880.990000000002"/>
    <s v="No"/>
    <s v="None"/>
    <n v="0"/>
    <n v="0"/>
    <n v="0"/>
    <n v="0"/>
    <n v="0"/>
    <n v="325"/>
    <n v="0.47"/>
    <x v="0"/>
    <x v="56"/>
    <n v="0"/>
  </r>
  <r>
    <s v="U09229"/>
    <x v="33"/>
    <x v="1"/>
    <x v="3"/>
    <x v="3"/>
    <s v="Teacher"/>
    <n v="5178.04"/>
    <n v="2750.45"/>
    <n v="55437.1"/>
    <s v="No"/>
    <s v="None"/>
    <n v="0"/>
    <n v="0"/>
    <n v="0"/>
    <n v="0"/>
    <n v="0"/>
    <n v="538"/>
    <n v="0.89"/>
    <x v="3"/>
    <x v="11"/>
    <n v="0"/>
  </r>
  <r>
    <s v="U09233"/>
    <x v="19"/>
    <x v="0"/>
    <x v="1"/>
    <x v="3"/>
    <s v="Teacher"/>
    <n v="5926.31"/>
    <n v="3909.48"/>
    <n v="39436.449999999997"/>
    <s v="Yes"/>
    <s v="Education"/>
    <n v="145755.04999999999"/>
    <n v="24"/>
    <n v="6860.52"/>
    <n v="11.99"/>
    <n v="1.1599999999999999"/>
    <n v="761"/>
    <n v="0.55000000000000004"/>
    <x v="0"/>
    <x v="554"/>
    <n v="1"/>
  </r>
  <r>
    <s v="U09243"/>
    <x v="31"/>
    <x v="0"/>
    <x v="3"/>
    <x v="1"/>
    <s v="Doctor"/>
    <n v="7439.96"/>
    <n v="2694.61"/>
    <n v="34717.07"/>
    <s v="No"/>
    <s v="None"/>
    <n v="0"/>
    <n v="0"/>
    <n v="0"/>
    <n v="0"/>
    <n v="0"/>
    <n v="346"/>
    <n v="0.39"/>
    <x v="0"/>
    <x v="555"/>
    <n v="0"/>
  </r>
  <r>
    <s v="U09263"/>
    <x v="48"/>
    <x v="1"/>
    <x v="2"/>
    <x v="1"/>
    <s v="Manager"/>
    <n v="5169.96"/>
    <n v="4619.83"/>
    <n v="34289.99"/>
    <s v="No"/>
    <s v="None"/>
    <n v="0"/>
    <n v="0"/>
    <n v="0"/>
    <n v="0"/>
    <n v="0"/>
    <n v="391"/>
    <n v="0.55000000000000004"/>
    <x v="2"/>
    <x v="410"/>
    <n v="0"/>
  </r>
  <r>
    <s v="U09284"/>
    <x v="17"/>
    <x v="1"/>
    <x v="0"/>
    <x v="2"/>
    <s v="Student"/>
    <n v="7735.17"/>
    <n v="2686.51"/>
    <n v="9669.1200000000008"/>
    <s v="Yes"/>
    <s v="Car"/>
    <n v="444784.6"/>
    <n v="180"/>
    <n v="3459.68"/>
    <n v="4.75"/>
    <n v="0.45"/>
    <n v="559"/>
    <n v="0.1"/>
    <x v="0"/>
    <x v="556"/>
    <n v="1"/>
  </r>
  <r>
    <s v="U09295"/>
    <x v="45"/>
    <x v="1"/>
    <x v="2"/>
    <x v="2"/>
    <s v="Student"/>
    <n v="2865.71"/>
    <n v="1153.96"/>
    <n v="24540.66"/>
    <s v="No"/>
    <s v="None"/>
    <n v="0"/>
    <n v="0"/>
    <n v="0"/>
    <n v="0"/>
    <n v="0"/>
    <n v="383"/>
    <n v="0.71"/>
    <x v="4"/>
    <x v="24"/>
    <n v="0"/>
  </r>
  <r>
    <s v="U09349"/>
    <x v="21"/>
    <x v="1"/>
    <x v="3"/>
    <x v="1"/>
    <s v="Student"/>
    <n v="2621.99"/>
    <n v="2162.7800000000002"/>
    <n v="8920.23"/>
    <s v="No"/>
    <s v="None"/>
    <n v="0"/>
    <n v="0"/>
    <n v="0"/>
    <n v="0"/>
    <n v="0"/>
    <n v="538"/>
    <n v="0.28000000000000003"/>
    <x v="0"/>
    <x v="557"/>
    <n v="0"/>
  </r>
  <r>
    <s v="U09357"/>
    <x v="17"/>
    <x v="0"/>
    <x v="1"/>
    <x v="1"/>
    <s v="Accountant"/>
    <n v="3930.54"/>
    <n v="3331.77"/>
    <n v="38370.959999999999"/>
    <s v="No"/>
    <s v="None"/>
    <n v="0"/>
    <n v="0"/>
    <n v="0"/>
    <n v="0"/>
    <n v="0"/>
    <n v="831"/>
    <n v="0.81"/>
    <x v="0"/>
    <x v="558"/>
    <n v="0"/>
  </r>
  <r>
    <s v="U09367"/>
    <x v="23"/>
    <x v="0"/>
    <x v="0"/>
    <x v="2"/>
    <s v="Manager"/>
    <n v="4929"/>
    <n v="4019.84"/>
    <n v="20874"/>
    <s v="No"/>
    <s v="None"/>
    <n v="0"/>
    <n v="0"/>
    <n v="0"/>
    <n v="0"/>
    <n v="0"/>
    <n v="656"/>
    <n v="0.35"/>
    <x v="1"/>
    <x v="559"/>
    <n v="0"/>
  </r>
  <r>
    <s v="U09398"/>
    <x v="15"/>
    <x v="1"/>
    <x v="3"/>
    <x v="1"/>
    <s v="Engineer"/>
    <n v="3003.19"/>
    <n v="1468.91"/>
    <n v="17724.57"/>
    <s v="Yes"/>
    <s v="Education"/>
    <n v="140432.25"/>
    <n v="240"/>
    <n v="1329.25"/>
    <n v="9.7200000000000006"/>
    <n v="0.44"/>
    <n v="815"/>
    <n v="0.49"/>
    <x v="2"/>
    <x v="560"/>
    <n v="1"/>
  </r>
  <r>
    <s v="U09435"/>
    <x v="44"/>
    <x v="0"/>
    <x v="2"/>
    <x v="2"/>
    <s v="Driver"/>
    <n v="3647"/>
    <n v="1870.65"/>
    <n v="12172.42"/>
    <s v="No"/>
    <s v="None"/>
    <n v="0"/>
    <n v="0"/>
    <n v="0"/>
    <n v="0"/>
    <n v="0"/>
    <n v="770"/>
    <n v="0.28000000000000003"/>
    <x v="4"/>
    <x v="561"/>
    <n v="0"/>
  </r>
  <r>
    <s v="U09439"/>
    <x v="13"/>
    <x v="0"/>
    <x v="4"/>
    <x v="0"/>
    <s v="Teacher"/>
    <n v="4888.5200000000004"/>
    <n v="4163.8599999999997"/>
    <n v="37902.480000000003"/>
    <s v="No"/>
    <s v="None"/>
    <n v="0"/>
    <n v="0"/>
    <n v="0"/>
    <n v="0"/>
    <n v="0"/>
    <n v="572"/>
    <n v="0.65"/>
    <x v="4"/>
    <x v="465"/>
    <n v="0"/>
  </r>
  <r>
    <s v="U09443"/>
    <x v="21"/>
    <x v="0"/>
    <x v="0"/>
    <x v="1"/>
    <s v="Unemployed"/>
    <n v="5469.14"/>
    <n v="2535.8000000000002"/>
    <n v="16723.62"/>
    <s v="No"/>
    <s v="None"/>
    <n v="0"/>
    <n v="0"/>
    <n v="0"/>
    <n v="0"/>
    <n v="0"/>
    <n v="806"/>
    <n v="0.25"/>
    <x v="1"/>
    <x v="229"/>
    <n v="0"/>
  </r>
  <r>
    <s v="U09449"/>
    <x v="44"/>
    <x v="0"/>
    <x v="3"/>
    <x v="1"/>
    <s v="Doctor"/>
    <n v="7347.77"/>
    <n v="6323.46"/>
    <n v="73218.27"/>
    <s v="No"/>
    <s v="None"/>
    <n v="0"/>
    <n v="0"/>
    <n v="0"/>
    <n v="0"/>
    <n v="0"/>
    <n v="672"/>
    <n v="0.83"/>
    <x v="3"/>
    <x v="562"/>
    <n v="0"/>
  </r>
  <r>
    <s v="U09459"/>
    <x v="4"/>
    <x v="0"/>
    <x v="3"/>
    <x v="0"/>
    <s v="Student"/>
    <n v="2624.16"/>
    <n v="813.3"/>
    <n v="20446.45"/>
    <s v="No"/>
    <s v="None"/>
    <n v="0"/>
    <n v="0"/>
    <n v="0"/>
    <n v="0"/>
    <n v="0"/>
    <n v="690"/>
    <n v="0.65"/>
    <x v="3"/>
    <x v="563"/>
    <n v="0"/>
  </r>
  <r>
    <s v="U09464"/>
    <x v="0"/>
    <x v="0"/>
    <x v="2"/>
    <x v="2"/>
    <s v="Engineer"/>
    <n v="5149"/>
    <n v="2808.63"/>
    <n v="9324.6200000000008"/>
    <s v="No"/>
    <s v="None"/>
    <n v="0"/>
    <n v="0"/>
    <n v="0"/>
    <n v="0"/>
    <n v="0"/>
    <n v="412"/>
    <n v="0.15"/>
    <x v="1"/>
    <x v="53"/>
    <n v="0"/>
  </r>
  <r>
    <s v="U09518"/>
    <x v="50"/>
    <x v="0"/>
    <x v="1"/>
    <x v="0"/>
    <s v="Doctor"/>
    <n v="7448.77"/>
    <n v="2624"/>
    <n v="20200.599999999999"/>
    <s v="Yes"/>
    <s v="Home"/>
    <n v="332003.15999999997"/>
    <n v="120"/>
    <n v="7032.73"/>
    <n v="22.75"/>
    <n v="0.94"/>
    <n v="782"/>
    <n v="0.23"/>
    <x v="3"/>
    <x v="564"/>
    <n v="1"/>
  </r>
  <r>
    <s v="U09532"/>
    <x v="14"/>
    <x v="1"/>
    <x v="3"/>
    <x v="2"/>
    <s v="Manager"/>
    <n v="6302.69"/>
    <n v="4888.83"/>
    <n v="39777.99"/>
    <s v="No"/>
    <s v="None"/>
    <n v="0"/>
    <n v="0"/>
    <n v="0"/>
    <n v="0"/>
    <n v="0"/>
    <n v="309"/>
    <n v="0.53"/>
    <x v="3"/>
    <x v="565"/>
    <n v="0"/>
  </r>
  <r>
    <s v="U09552"/>
    <x v="28"/>
    <x v="0"/>
    <x v="3"/>
    <x v="2"/>
    <s v="Manager"/>
    <n v="1326.08"/>
    <n v="665.12"/>
    <n v="10391.620000000001"/>
    <s v="No"/>
    <s v="None"/>
    <n v="0"/>
    <n v="0"/>
    <n v="0"/>
    <n v="0"/>
    <n v="0"/>
    <n v="613"/>
    <n v="0.65"/>
    <x v="4"/>
    <x v="566"/>
    <n v="0"/>
  </r>
  <r>
    <s v="U09607"/>
    <x v="34"/>
    <x v="0"/>
    <x v="4"/>
    <x v="1"/>
    <s v="Teacher"/>
    <n v="3760.11"/>
    <n v="2267.39"/>
    <n v="35515.85"/>
    <s v="Yes"/>
    <s v="Education"/>
    <n v="256935.94"/>
    <n v="180"/>
    <n v="2296.5"/>
    <n v="6.91"/>
    <n v="0.61"/>
    <n v="754"/>
    <n v="0.79"/>
    <x v="4"/>
    <x v="567"/>
    <n v="1"/>
  </r>
  <r>
    <s v="U09615"/>
    <x v="3"/>
    <x v="0"/>
    <x v="2"/>
    <x v="1"/>
    <s v="Engineer"/>
    <n v="1993.96"/>
    <n v="802.79"/>
    <n v="20709.7"/>
    <s v="No"/>
    <s v="None"/>
    <n v="0"/>
    <n v="0"/>
    <n v="0"/>
    <n v="0"/>
    <n v="0"/>
    <n v="638"/>
    <n v="0.87"/>
    <x v="4"/>
    <x v="568"/>
    <n v="0"/>
  </r>
  <r>
    <s v="U09621"/>
    <x v="18"/>
    <x v="0"/>
    <x v="4"/>
    <x v="1"/>
    <s v="Manager"/>
    <n v="10515.08"/>
    <n v="3417.52"/>
    <n v="116084.84"/>
    <s v="No"/>
    <s v="None"/>
    <n v="0"/>
    <n v="0"/>
    <n v="0"/>
    <n v="0"/>
    <n v="0"/>
    <n v="301"/>
    <n v="0.92"/>
    <x v="1"/>
    <x v="569"/>
    <n v="0"/>
  </r>
  <r>
    <s v="U09625"/>
    <x v="4"/>
    <x v="1"/>
    <x v="2"/>
    <x v="1"/>
    <s v="Salesperson"/>
    <n v="6284.81"/>
    <n v="4840.1899999999996"/>
    <n v="65744.800000000003"/>
    <s v="Yes"/>
    <s v="Home"/>
    <n v="330649.94"/>
    <n v="300"/>
    <n v="5224.1899999999996"/>
    <n v="18.78"/>
    <n v="0.83"/>
    <n v="478"/>
    <n v="0.87"/>
    <x v="0"/>
    <x v="16"/>
    <n v="1"/>
  </r>
  <r>
    <s v="U09629"/>
    <x v="34"/>
    <x v="1"/>
    <x v="2"/>
    <x v="1"/>
    <s v="Student"/>
    <n v="3534.93"/>
    <n v="1732.55"/>
    <n v="4733.1099999999997"/>
    <s v="No"/>
    <s v="None"/>
    <n v="0"/>
    <n v="0"/>
    <n v="0"/>
    <n v="0"/>
    <n v="0"/>
    <n v="488"/>
    <n v="0.11"/>
    <x v="4"/>
    <x v="508"/>
    <n v="0"/>
  </r>
  <r>
    <s v="U09636"/>
    <x v="19"/>
    <x v="0"/>
    <x v="3"/>
    <x v="1"/>
    <s v="Doctor"/>
    <n v="4292.55"/>
    <n v="1708.4"/>
    <n v="23314.32"/>
    <s v="No"/>
    <s v="None"/>
    <n v="0"/>
    <n v="0"/>
    <n v="0"/>
    <n v="0"/>
    <n v="0"/>
    <n v="355"/>
    <n v="0.45"/>
    <x v="3"/>
    <x v="570"/>
    <n v="0"/>
  </r>
  <r>
    <s v="U09639"/>
    <x v="15"/>
    <x v="1"/>
    <x v="3"/>
    <x v="1"/>
    <s v="Engineer"/>
    <n v="4161.6099999999997"/>
    <n v="3407.97"/>
    <n v="14062.8"/>
    <s v="Yes"/>
    <s v="Home"/>
    <n v="313704.2"/>
    <n v="240"/>
    <n v="5403.25"/>
    <n v="20.3"/>
    <n v="1.3"/>
    <n v="844"/>
    <n v="0.28000000000000003"/>
    <x v="1"/>
    <x v="571"/>
    <n v="1"/>
  </r>
  <r>
    <s v="U09642"/>
    <x v="0"/>
    <x v="0"/>
    <x v="3"/>
    <x v="1"/>
    <s v="Engineer"/>
    <n v="2164.2399999999998"/>
    <n v="669.51"/>
    <n v="11450.67"/>
    <s v="Yes"/>
    <s v="Education"/>
    <n v="208798.62"/>
    <n v="120"/>
    <n v="2195.29"/>
    <n v="4.8099999999999996"/>
    <n v="1.01"/>
    <n v="537"/>
    <n v="0.44"/>
    <x v="1"/>
    <x v="22"/>
    <n v="1"/>
  </r>
  <r>
    <s v="U09646"/>
    <x v="47"/>
    <x v="1"/>
    <x v="2"/>
    <x v="0"/>
    <s v="Unemployed"/>
    <n v="2851.01"/>
    <n v="1148.9100000000001"/>
    <n v="15149.97"/>
    <s v="No"/>
    <s v="None"/>
    <n v="0"/>
    <n v="0"/>
    <n v="0"/>
    <n v="0"/>
    <n v="0"/>
    <n v="507"/>
    <n v="0.44"/>
    <x v="3"/>
    <x v="572"/>
    <n v="0"/>
  </r>
  <r>
    <s v="U09670"/>
    <x v="24"/>
    <x v="1"/>
    <x v="2"/>
    <x v="1"/>
    <s v="Driver"/>
    <n v="4296.49"/>
    <n v="2674.76"/>
    <n v="25863.07"/>
    <s v="No"/>
    <s v="None"/>
    <n v="0"/>
    <n v="0"/>
    <n v="0"/>
    <n v="0"/>
    <n v="0"/>
    <n v="303"/>
    <n v="0.5"/>
    <x v="1"/>
    <x v="573"/>
    <n v="0"/>
  </r>
  <r>
    <s v="U09702"/>
    <x v="27"/>
    <x v="1"/>
    <x v="4"/>
    <x v="1"/>
    <s v="Driver"/>
    <n v="6544.01"/>
    <n v="2628.54"/>
    <n v="31461.62"/>
    <s v="No"/>
    <s v="None"/>
    <n v="0"/>
    <n v="0"/>
    <n v="0"/>
    <n v="0"/>
    <n v="0"/>
    <n v="850"/>
    <n v="0.4"/>
    <x v="4"/>
    <x v="574"/>
    <n v="0"/>
  </r>
  <r>
    <s v="U09709"/>
    <x v="43"/>
    <x v="0"/>
    <x v="3"/>
    <x v="1"/>
    <s v="Driver"/>
    <n v="5552.34"/>
    <n v="3687.47"/>
    <n v="45299.87"/>
    <s v="Yes"/>
    <s v="Home"/>
    <n v="185060.04"/>
    <n v="120"/>
    <n v="2483.66"/>
    <n v="10.37"/>
    <n v="0.45"/>
    <n v="307"/>
    <n v="0.68"/>
    <x v="2"/>
    <x v="219"/>
    <n v="1"/>
  </r>
  <r>
    <s v="U09711"/>
    <x v="19"/>
    <x v="1"/>
    <x v="3"/>
    <x v="2"/>
    <s v="Teacher"/>
    <n v="7410.66"/>
    <n v="5200.74"/>
    <n v="47102.78"/>
    <s v="Yes"/>
    <s v="Home"/>
    <n v="317516.45"/>
    <n v="120"/>
    <n v="7997.54"/>
    <n v="28.4"/>
    <n v="1.08"/>
    <n v="612"/>
    <n v="0.53"/>
    <x v="1"/>
    <x v="575"/>
    <n v="1"/>
  </r>
  <r>
    <s v="U09730"/>
    <x v="38"/>
    <x v="1"/>
    <x v="3"/>
    <x v="0"/>
    <s v="Manager"/>
    <n v="4051.17"/>
    <n v="2627.24"/>
    <n v="37623.03"/>
    <s v="No"/>
    <s v="None"/>
    <n v="0"/>
    <n v="0"/>
    <n v="0"/>
    <n v="0"/>
    <n v="0"/>
    <n v="793"/>
    <n v="0.77"/>
    <x v="2"/>
    <x v="576"/>
    <n v="0"/>
  </r>
  <r>
    <s v="U09731"/>
    <x v="32"/>
    <x v="1"/>
    <x v="3"/>
    <x v="0"/>
    <s v="Unemployed"/>
    <n v="7146.85"/>
    <n v="3174.75"/>
    <n v="45372.82"/>
    <s v="Yes"/>
    <s v="Business"/>
    <n v="5622.34"/>
    <n v="120"/>
    <n v="57.41"/>
    <n v="4.18"/>
    <n v="0.01"/>
    <n v="511"/>
    <n v="0.53"/>
    <x v="2"/>
    <x v="419"/>
    <n v="0"/>
  </r>
  <r>
    <s v="U09741"/>
    <x v="24"/>
    <x v="2"/>
    <x v="0"/>
    <x v="2"/>
    <s v="Accountant"/>
    <n v="5514.62"/>
    <n v="2414.31"/>
    <n v="60324.01"/>
    <s v="No"/>
    <s v="None"/>
    <n v="0"/>
    <n v="0"/>
    <n v="0"/>
    <n v="0"/>
    <n v="0"/>
    <n v="468"/>
    <n v="0.91"/>
    <x v="0"/>
    <x v="485"/>
    <n v="0"/>
  </r>
  <r>
    <s v="U09747"/>
    <x v="29"/>
    <x v="0"/>
    <x v="2"/>
    <x v="1"/>
    <s v="Unemployed"/>
    <n v="5888.03"/>
    <n v="4194.7"/>
    <n v="64106.33"/>
    <s v="No"/>
    <s v="None"/>
    <n v="0"/>
    <n v="0"/>
    <n v="0"/>
    <n v="0"/>
    <n v="0"/>
    <n v="378"/>
    <n v="0.91"/>
    <x v="3"/>
    <x v="577"/>
    <n v="0"/>
  </r>
  <r>
    <s v="U09755"/>
    <x v="30"/>
    <x v="2"/>
    <x v="3"/>
    <x v="1"/>
    <s v="Salesperson"/>
    <n v="5719.58"/>
    <n v="2071.7600000000002"/>
    <n v="21783.37"/>
    <s v="Yes"/>
    <s v="Education"/>
    <n v="291124.78000000003"/>
    <n v="60"/>
    <n v="8434.32"/>
    <n v="24.35"/>
    <n v="1.47"/>
    <n v="359"/>
    <n v="0.32"/>
    <x v="1"/>
    <x v="578"/>
    <n v="1"/>
  </r>
  <r>
    <s v="U09766"/>
    <x v="10"/>
    <x v="0"/>
    <x v="3"/>
    <x v="2"/>
    <s v="Engineer"/>
    <n v="3004.1"/>
    <n v="1832.87"/>
    <n v="16778.59"/>
    <s v="Yes"/>
    <s v="Home"/>
    <n v="319108.32"/>
    <n v="300"/>
    <n v="3370.36"/>
    <n v="12.04"/>
    <n v="1.1200000000000001"/>
    <n v="684"/>
    <n v="0.47"/>
    <x v="1"/>
    <x v="579"/>
    <n v="1"/>
  </r>
  <r>
    <s v="U09791"/>
    <x v="48"/>
    <x v="0"/>
    <x v="2"/>
    <x v="1"/>
    <s v="Engineer"/>
    <n v="6591.05"/>
    <n v="3934.81"/>
    <n v="51482.080000000002"/>
    <s v="No"/>
    <s v="None"/>
    <n v="0"/>
    <n v="0"/>
    <n v="0"/>
    <n v="0"/>
    <n v="0"/>
    <n v="766"/>
    <n v="0.65"/>
    <x v="2"/>
    <x v="131"/>
    <n v="0"/>
  </r>
  <r>
    <s v="U09802"/>
    <x v="44"/>
    <x v="0"/>
    <x v="0"/>
    <x v="2"/>
    <s v="Engineer"/>
    <n v="1113.93"/>
    <n v="564.41999999999996"/>
    <n v="12936.03"/>
    <s v="No"/>
    <s v="None"/>
    <n v="0"/>
    <n v="0"/>
    <n v="0"/>
    <n v="0"/>
    <n v="0"/>
    <n v="356"/>
    <n v="0.97"/>
    <x v="1"/>
    <x v="580"/>
    <n v="0"/>
  </r>
  <r>
    <s v="U09858"/>
    <x v="41"/>
    <x v="1"/>
    <x v="2"/>
    <x v="1"/>
    <s v="Driver"/>
    <n v="3512.59"/>
    <n v="2720.44"/>
    <n v="8688.81"/>
    <s v="Yes"/>
    <s v="Education"/>
    <n v="307399.05"/>
    <n v="240"/>
    <n v="3751.34"/>
    <n v="13.68"/>
    <n v="1.07"/>
    <n v="546"/>
    <n v="0.21"/>
    <x v="4"/>
    <x v="195"/>
    <n v="1"/>
  </r>
  <r>
    <s v="U09866"/>
    <x v="5"/>
    <x v="0"/>
    <x v="3"/>
    <x v="3"/>
    <s v="Engineer"/>
    <n v="1442.14"/>
    <n v="944.06"/>
    <n v="14374.93"/>
    <s v="No"/>
    <s v="None"/>
    <n v="0"/>
    <n v="0"/>
    <n v="0"/>
    <n v="0"/>
    <n v="0"/>
    <n v="375"/>
    <n v="0.83"/>
    <x v="1"/>
    <x v="581"/>
    <n v="0"/>
  </r>
  <r>
    <s v="U09871"/>
    <x v="35"/>
    <x v="1"/>
    <x v="2"/>
    <x v="1"/>
    <s v="Accountant"/>
    <n v="3360.84"/>
    <n v="2636.71"/>
    <n v="34367.480000000003"/>
    <s v="Yes"/>
    <s v="Home"/>
    <n v="299727.2"/>
    <n v="120"/>
    <n v="5037.6499999999996"/>
    <n v="16.09"/>
    <n v="1.5"/>
    <n v="622"/>
    <n v="0.85"/>
    <x v="2"/>
    <x v="582"/>
    <n v="1"/>
  </r>
  <r>
    <s v="U09881"/>
    <x v="24"/>
    <x v="0"/>
    <x v="1"/>
    <x v="0"/>
    <s v="Teacher"/>
    <n v="2777.07"/>
    <n v="1786.67"/>
    <n v="9030.66"/>
    <s v="No"/>
    <s v="None"/>
    <n v="0"/>
    <n v="0"/>
    <n v="0"/>
    <n v="0"/>
    <n v="0"/>
    <n v="403"/>
    <n v="0.27"/>
    <x v="2"/>
    <x v="583"/>
    <n v="0"/>
  </r>
  <r>
    <s v="U09887"/>
    <x v="33"/>
    <x v="1"/>
    <x v="3"/>
    <x v="2"/>
    <s v="Student"/>
    <n v="3571.05"/>
    <n v="3056.1"/>
    <n v="30380.43"/>
    <s v="Yes"/>
    <s v="Home"/>
    <n v="243333.22"/>
    <n v="300"/>
    <n v="5766.07"/>
    <n v="28.41"/>
    <n v="1.61"/>
    <n v="776"/>
    <n v="0.71"/>
    <x v="4"/>
    <x v="469"/>
    <n v="1"/>
  </r>
  <r>
    <s v="U09896"/>
    <x v="8"/>
    <x v="1"/>
    <x v="2"/>
    <x v="1"/>
    <s v="Engineer"/>
    <n v="5449.52"/>
    <n v="2783.66"/>
    <n v="32879.82"/>
    <s v="No"/>
    <s v="None"/>
    <n v="0"/>
    <n v="0"/>
    <n v="0"/>
    <n v="0"/>
    <n v="0"/>
    <n v="520"/>
    <n v="0.5"/>
    <x v="0"/>
    <x v="584"/>
    <n v="0"/>
  </r>
  <r>
    <s v="U09900"/>
    <x v="38"/>
    <x v="1"/>
    <x v="3"/>
    <x v="1"/>
    <s v="Salesperson"/>
    <n v="500"/>
    <n v="271.86"/>
    <n v="2977.61"/>
    <s v="No"/>
    <s v="None"/>
    <n v="0"/>
    <n v="0"/>
    <n v="0"/>
    <n v="0"/>
    <n v="0"/>
    <n v="363"/>
    <n v="0.5"/>
    <x v="0"/>
    <x v="585"/>
    <n v="0"/>
  </r>
  <r>
    <s v="U09922"/>
    <x v="44"/>
    <x v="1"/>
    <x v="3"/>
    <x v="1"/>
    <s v="Manager"/>
    <n v="4814.49"/>
    <n v="3308.24"/>
    <n v="28461.85"/>
    <s v="No"/>
    <s v="None"/>
    <n v="0"/>
    <n v="0"/>
    <n v="0"/>
    <n v="0"/>
    <n v="0"/>
    <n v="719"/>
    <n v="0.49"/>
    <x v="1"/>
    <x v="111"/>
    <n v="0"/>
  </r>
  <r>
    <s v="U09929"/>
    <x v="35"/>
    <x v="1"/>
    <x v="3"/>
    <x v="2"/>
    <s v="Driver"/>
    <n v="5428.77"/>
    <n v="3650.35"/>
    <n v="35478.19"/>
    <s v="No"/>
    <s v="None"/>
    <n v="0"/>
    <n v="0"/>
    <n v="0"/>
    <n v="0"/>
    <n v="0"/>
    <n v="825"/>
    <n v="0.54"/>
    <x v="1"/>
    <x v="586"/>
    <n v="0"/>
  </r>
  <r>
    <s v="U09936"/>
    <x v="1"/>
    <x v="1"/>
    <x v="3"/>
    <x v="1"/>
    <s v="Accountant"/>
    <n v="3870.9"/>
    <n v="3158.67"/>
    <n v="27757.81"/>
    <s v="No"/>
    <s v="None"/>
    <n v="0"/>
    <n v="0"/>
    <n v="0"/>
    <n v="0"/>
    <n v="0"/>
    <n v="798"/>
    <n v="0.6"/>
    <x v="1"/>
    <x v="587"/>
    <n v="0"/>
  </r>
  <r>
    <s v="U09963"/>
    <x v="5"/>
    <x v="0"/>
    <x v="3"/>
    <x v="3"/>
    <s v="Teacher"/>
    <n v="2217.19"/>
    <n v="1844.24"/>
    <n v="19111.86"/>
    <s v="No"/>
    <s v="None"/>
    <n v="0"/>
    <n v="0"/>
    <n v="0"/>
    <n v="0"/>
    <n v="0"/>
    <n v="373"/>
    <n v="0.72"/>
    <x v="0"/>
    <x v="588"/>
    <n v="0"/>
  </r>
  <r>
    <s v="U09967"/>
    <x v="27"/>
    <x v="1"/>
    <x v="3"/>
    <x v="1"/>
    <s v="Accountant"/>
    <n v="7805.26"/>
    <n v="4345.3"/>
    <n v="11013.59"/>
    <s v="No"/>
    <s v="None"/>
    <n v="0"/>
    <n v="0"/>
    <n v="0"/>
    <n v="0"/>
    <n v="0"/>
    <n v="812"/>
    <n v="0.12"/>
    <x v="3"/>
    <x v="589"/>
    <n v="0"/>
  </r>
  <r>
    <s v="U09968"/>
    <x v="27"/>
    <x v="0"/>
    <x v="3"/>
    <x v="1"/>
    <s v="Doctor"/>
    <n v="5203.67"/>
    <n v="1726.47"/>
    <n v="10451.290000000001"/>
    <s v="No"/>
    <s v="None"/>
    <n v="0"/>
    <n v="0"/>
    <n v="0"/>
    <n v="0"/>
    <n v="0"/>
    <n v="712"/>
    <n v="0.17"/>
    <x v="2"/>
    <x v="590"/>
    <n v="0"/>
  </r>
  <r>
    <s v="U09985"/>
    <x v="5"/>
    <x v="0"/>
    <x v="0"/>
    <x v="1"/>
    <s v="Accountant"/>
    <n v="6817.57"/>
    <n v="3781.26"/>
    <n v="24663.34"/>
    <s v="Yes"/>
    <s v="Education"/>
    <n v="227229"/>
    <n v="120"/>
    <n v="2691.32"/>
    <n v="7.45"/>
    <n v="0.39"/>
    <n v="421"/>
    <n v="0.3"/>
    <x v="2"/>
    <x v="591"/>
    <n v="0"/>
  </r>
  <r>
    <s v="U09986"/>
    <x v="16"/>
    <x v="0"/>
    <x v="2"/>
    <x v="1"/>
    <s v="Student"/>
    <n v="6031.1"/>
    <n v="4137.04"/>
    <n v="64223.69"/>
    <s v="No"/>
    <s v="None"/>
    <n v="0"/>
    <n v="0"/>
    <n v="0"/>
    <n v="0"/>
    <n v="0"/>
    <n v="312"/>
    <n v="0.89"/>
    <x v="1"/>
    <x v="592"/>
    <n v="0"/>
  </r>
  <r>
    <s v="U09992"/>
    <x v="2"/>
    <x v="1"/>
    <x v="0"/>
    <x v="2"/>
    <s v="Student"/>
    <n v="5026.1000000000004"/>
    <n v="4031.35"/>
    <n v="11941.21"/>
    <s v="Yes"/>
    <s v="Home"/>
    <n v="268918.63"/>
    <n v="360"/>
    <n v="5717.47"/>
    <n v="25.5"/>
    <n v="1.1399999999999999"/>
    <n v="560"/>
    <n v="0.2"/>
    <x v="2"/>
    <x v="593"/>
    <n v="1"/>
  </r>
  <r>
    <s v="U10020"/>
    <x v="48"/>
    <x v="0"/>
    <x v="2"/>
    <x v="1"/>
    <s v="Engineer"/>
    <n v="4487.79"/>
    <n v="2036.77"/>
    <n v="41008.42"/>
    <s v="No"/>
    <s v="None"/>
    <n v="0"/>
    <n v="0"/>
    <n v="0"/>
    <n v="0"/>
    <n v="0"/>
    <n v="790"/>
    <n v="0.76"/>
    <x v="0"/>
    <x v="114"/>
    <n v="0"/>
  </r>
  <r>
    <s v="U10033"/>
    <x v="36"/>
    <x v="1"/>
    <x v="3"/>
    <x v="0"/>
    <s v="Salesperson"/>
    <n v="3283.51"/>
    <n v="1733.24"/>
    <n v="19985.240000000002"/>
    <s v="No"/>
    <s v="None"/>
    <n v="0"/>
    <n v="0"/>
    <n v="0"/>
    <n v="0"/>
    <n v="0"/>
    <n v="302"/>
    <n v="0.51"/>
    <x v="0"/>
    <x v="594"/>
    <n v="0"/>
  </r>
  <r>
    <s v="U10037"/>
    <x v="51"/>
    <x v="0"/>
    <x v="3"/>
    <x v="1"/>
    <s v="Unemployed"/>
    <n v="500"/>
    <n v="192.93"/>
    <n v="4763.6400000000003"/>
    <s v="No"/>
    <s v="None"/>
    <n v="0"/>
    <n v="0"/>
    <n v="0"/>
    <n v="0"/>
    <n v="0"/>
    <n v="504"/>
    <n v="0.79"/>
    <x v="1"/>
    <x v="595"/>
    <n v="0"/>
  </r>
  <r>
    <s v="U10041"/>
    <x v="24"/>
    <x v="0"/>
    <x v="3"/>
    <x v="1"/>
    <s v="Accountant"/>
    <n v="5367.18"/>
    <n v="4222.88"/>
    <n v="53063.25"/>
    <s v="No"/>
    <s v="None"/>
    <n v="0"/>
    <n v="0"/>
    <n v="0"/>
    <n v="0"/>
    <n v="0"/>
    <n v="776"/>
    <n v="0.82"/>
    <x v="4"/>
    <x v="543"/>
    <n v="0"/>
  </r>
  <r>
    <s v="U10049"/>
    <x v="28"/>
    <x v="1"/>
    <x v="3"/>
    <x v="1"/>
    <s v="Manager"/>
    <n v="6317.98"/>
    <n v="2009.11"/>
    <n v="44525.71"/>
    <s v="Yes"/>
    <s v="Business"/>
    <n v="43229.91"/>
    <n v="360"/>
    <n v="798.7"/>
    <n v="22.14"/>
    <n v="0.13"/>
    <n v="836"/>
    <n v="0.59"/>
    <x v="0"/>
    <x v="131"/>
    <n v="0"/>
  </r>
  <r>
    <s v="U10058"/>
    <x v="0"/>
    <x v="0"/>
    <x v="3"/>
    <x v="2"/>
    <s v="Manager"/>
    <n v="6471.56"/>
    <n v="3392.09"/>
    <n v="18718.14"/>
    <s v="No"/>
    <s v="None"/>
    <n v="0"/>
    <n v="0"/>
    <n v="0"/>
    <n v="0"/>
    <n v="0"/>
    <n v="572"/>
    <n v="0.24"/>
    <x v="3"/>
    <x v="596"/>
    <n v="0"/>
  </r>
  <r>
    <s v="U10064"/>
    <x v="41"/>
    <x v="1"/>
    <x v="3"/>
    <x v="3"/>
    <s v="Doctor"/>
    <n v="4766.6400000000003"/>
    <n v="3751.01"/>
    <n v="52362.25"/>
    <s v="No"/>
    <s v="None"/>
    <n v="0"/>
    <n v="0"/>
    <n v="0"/>
    <n v="0"/>
    <n v="0"/>
    <n v="482"/>
    <n v="0.92"/>
    <x v="1"/>
    <x v="235"/>
    <n v="0"/>
  </r>
  <r>
    <s v="U10085"/>
    <x v="49"/>
    <x v="1"/>
    <x v="3"/>
    <x v="1"/>
    <s v="Engineer"/>
    <n v="5223.41"/>
    <n v="2609.9"/>
    <n v="41257.51"/>
    <s v="No"/>
    <s v="None"/>
    <n v="0"/>
    <n v="0"/>
    <n v="0"/>
    <n v="0"/>
    <n v="0"/>
    <n v="423"/>
    <n v="0.66"/>
    <x v="3"/>
    <x v="597"/>
    <n v="0"/>
  </r>
  <r>
    <s v="U10091"/>
    <x v="43"/>
    <x v="1"/>
    <x v="4"/>
    <x v="1"/>
    <s v="Unemployed"/>
    <n v="7804.08"/>
    <n v="6485.35"/>
    <n v="36002.620000000003"/>
    <s v="No"/>
    <s v="None"/>
    <n v="0"/>
    <n v="0"/>
    <n v="0"/>
    <n v="0"/>
    <n v="0"/>
    <n v="648"/>
    <n v="0.38"/>
    <x v="0"/>
    <x v="598"/>
    <n v="0"/>
  </r>
  <r>
    <s v="U10116"/>
    <x v="31"/>
    <x v="1"/>
    <x v="2"/>
    <x v="1"/>
    <s v="Unemployed"/>
    <n v="4831.82"/>
    <n v="1527.83"/>
    <n v="13655.51"/>
    <s v="No"/>
    <s v="None"/>
    <n v="0"/>
    <n v="0"/>
    <n v="0"/>
    <n v="0"/>
    <n v="0"/>
    <n v="300"/>
    <n v="0.24"/>
    <x v="1"/>
    <x v="522"/>
    <n v="0"/>
  </r>
  <r>
    <s v="U10155"/>
    <x v="36"/>
    <x v="0"/>
    <x v="2"/>
    <x v="2"/>
    <s v="Manager"/>
    <n v="3088.84"/>
    <n v="1750.17"/>
    <n v="5547.97"/>
    <s v="No"/>
    <s v="None"/>
    <n v="0"/>
    <n v="0"/>
    <n v="0"/>
    <n v="0"/>
    <n v="0"/>
    <n v="665"/>
    <n v="0.15"/>
    <x v="0"/>
    <x v="153"/>
    <n v="0"/>
  </r>
  <r>
    <s v="U10160"/>
    <x v="32"/>
    <x v="0"/>
    <x v="2"/>
    <x v="1"/>
    <s v="Driver"/>
    <n v="2698.59"/>
    <n v="849.14"/>
    <n v="29112.69"/>
    <s v="No"/>
    <s v="None"/>
    <n v="0"/>
    <n v="0"/>
    <n v="0"/>
    <n v="0"/>
    <n v="0"/>
    <n v="348"/>
    <n v="0.9"/>
    <x v="3"/>
    <x v="599"/>
    <n v="0"/>
  </r>
  <r>
    <s v="U10169"/>
    <x v="17"/>
    <x v="0"/>
    <x v="3"/>
    <x v="1"/>
    <s v="Driver"/>
    <n v="3232.77"/>
    <n v="1857.16"/>
    <n v="15834.96"/>
    <s v="Yes"/>
    <s v="Home"/>
    <n v="5327.33"/>
    <n v="36"/>
    <n v="179.19"/>
    <n v="12.88"/>
    <n v="0.06"/>
    <n v="491"/>
    <n v="0.41"/>
    <x v="3"/>
    <x v="600"/>
    <n v="0"/>
  </r>
  <r>
    <s v="U10178"/>
    <x v="35"/>
    <x v="0"/>
    <x v="0"/>
    <x v="1"/>
    <s v="Unemployed"/>
    <n v="4288.87"/>
    <n v="1565.92"/>
    <n v="37587.89"/>
    <s v="No"/>
    <s v="None"/>
    <n v="0"/>
    <n v="0"/>
    <n v="0"/>
    <n v="0"/>
    <n v="0"/>
    <n v="804"/>
    <n v="0.73"/>
    <x v="2"/>
    <x v="403"/>
    <n v="0"/>
  </r>
  <r>
    <s v="U10182"/>
    <x v="50"/>
    <x v="1"/>
    <x v="2"/>
    <x v="1"/>
    <s v="Salesperson"/>
    <n v="4523.9799999999996"/>
    <n v="1701.75"/>
    <n v="42339.98"/>
    <s v="No"/>
    <s v="None"/>
    <n v="0"/>
    <n v="0"/>
    <n v="0"/>
    <n v="0"/>
    <n v="0"/>
    <n v="518"/>
    <n v="0.78"/>
    <x v="3"/>
    <x v="50"/>
    <n v="0"/>
  </r>
  <r>
    <s v="U10193"/>
    <x v="12"/>
    <x v="0"/>
    <x v="3"/>
    <x v="1"/>
    <s v="Accountant"/>
    <n v="1639.27"/>
    <n v="849.96"/>
    <n v="4344.66"/>
    <s v="No"/>
    <s v="None"/>
    <n v="0"/>
    <n v="0"/>
    <n v="0"/>
    <n v="0"/>
    <n v="0"/>
    <n v="479"/>
    <n v="0.22"/>
    <x v="4"/>
    <x v="601"/>
    <n v="0"/>
  </r>
  <r>
    <s v="U10208"/>
    <x v="39"/>
    <x v="0"/>
    <x v="3"/>
    <x v="1"/>
    <s v="Doctor"/>
    <n v="5911.26"/>
    <n v="4974.21"/>
    <n v="51630.42"/>
    <s v="No"/>
    <s v="None"/>
    <n v="0"/>
    <n v="0"/>
    <n v="0"/>
    <n v="0"/>
    <n v="0"/>
    <n v="820"/>
    <n v="0.73"/>
    <x v="2"/>
    <x v="184"/>
    <n v="0"/>
  </r>
  <r>
    <s v="U10232"/>
    <x v="16"/>
    <x v="0"/>
    <x v="3"/>
    <x v="1"/>
    <s v="Student"/>
    <n v="5448.87"/>
    <n v="3935.67"/>
    <n v="31965.37"/>
    <s v="No"/>
    <s v="None"/>
    <n v="0"/>
    <n v="0"/>
    <n v="0"/>
    <n v="0"/>
    <n v="0"/>
    <n v="693"/>
    <n v="0.49"/>
    <x v="2"/>
    <x v="479"/>
    <n v="0"/>
  </r>
  <r>
    <s v="U10257"/>
    <x v="10"/>
    <x v="2"/>
    <x v="3"/>
    <x v="1"/>
    <s v="Doctor"/>
    <n v="785.89"/>
    <n v="339.93"/>
    <n v="4589.13"/>
    <s v="No"/>
    <s v="None"/>
    <n v="0"/>
    <n v="0"/>
    <n v="0"/>
    <n v="0"/>
    <n v="0"/>
    <n v="463"/>
    <n v="0.49"/>
    <x v="2"/>
    <x v="602"/>
    <n v="0"/>
  </r>
  <r>
    <s v="U10268"/>
    <x v="35"/>
    <x v="1"/>
    <x v="3"/>
    <x v="3"/>
    <s v="Teacher"/>
    <n v="2691.01"/>
    <n v="1133.53"/>
    <n v="15296.08"/>
    <s v="No"/>
    <s v="None"/>
    <n v="0"/>
    <n v="0"/>
    <n v="0"/>
    <n v="0"/>
    <n v="0"/>
    <n v="401"/>
    <n v="0.47"/>
    <x v="3"/>
    <x v="603"/>
    <n v="0"/>
  </r>
  <r>
    <s v="U10296"/>
    <x v="2"/>
    <x v="0"/>
    <x v="2"/>
    <x v="1"/>
    <s v="Engineer"/>
    <n v="3706.59"/>
    <n v="2922.54"/>
    <n v="34805.85"/>
    <s v="No"/>
    <s v="None"/>
    <n v="0"/>
    <n v="0"/>
    <n v="0"/>
    <n v="0"/>
    <n v="0"/>
    <n v="359"/>
    <n v="0.78"/>
    <x v="4"/>
    <x v="604"/>
    <n v="0"/>
  </r>
  <r>
    <s v="U10309"/>
    <x v="9"/>
    <x v="1"/>
    <x v="1"/>
    <x v="1"/>
    <s v="Accountant"/>
    <n v="3990.6"/>
    <n v="2759.03"/>
    <n v="6713.54"/>
    <s v="No"/>
    <s v="None"/>
    <n v="0"/>
    <n v="0"/>
    <n v="0"/>
    <n v="0"/>
    <n v="0"/>
    <n v="521"/>
    <n v="0.14000000000000001"/>
    <x v="3"/>
    <x v="605"/>
    <n v="0"/>
  </r>
  <r>
    <s v="U10317"/>
    <x v="28"/>
    <x v="1"/>
    <x v="2"/>
    <x v="1"/>
    <s v="Unemployed"/>
    <n v="6479.55"/>
    <n v="3301.16"/>
    <n v="55187.18"/>
    <s v="No"/>
    <s v="None"/>
    <n v="0"/>
    <n v="0"/>
    <n v="0"/>
    <n v="0"/>
    <n v="0"/>
    <n v="358"/>
    <n v="0.71"/>
    <x v="4"/>
    <x v="606"/>
    <n v="0"/>
  </r>
  <r>
    <s v="U10318"/>
    <x v="13"/>
    <x v="1"/>
    <x v="0"/>
    <x v="1"/>
    <s v="Unemployed"/>
    <n v="5183.91"/>
    <n v="3238.45"/>
    <n v="52477.96"/>
    <s v="No"/>
    <s v="None"/>
    <n v="0"/>
    <n v="0"/>
    <n v="0"/>
    <n v="0"/>
    <n v="0"/>
    <n v="417"/>
    <n v="0.84"/>
    <x v="0"/>
    <x v="607"/>
    <n v="0"/>
  </r>
  <r>
    <s v="U10332"/>
    <x v="45"/>
    <x v="0"/>
    <x v="3"/>
    <x v="1"/>
    <s v="Manager"/>
    <n v="1466.13"/>
    <n v="571.19000000000005"/>
    <n v="6200.95"/>
    <s v="No"/>
    <s v="None"/>
    <n v="0"/>
    <n v="0"/>
    <n v="0"/>
    <n v="0"/>
    <n v="0"/>
    <n v="844"/>
    <n v="0.35"/>
    <x v="1"/>
    <x v="608"/>
    <n v="0"/>
  </r>
  <r>
    <s v="U10349"/>
    <x v="28"/>
    <x v="1"/>
    <x v="2"/>
    <x v="1"/>
    <s v="Manager"/>
    <n v="5259.37"/>
    <n v="4345.05"/>
    <n v="19184.599999999999"/>
    <s v="Yes"/>
    <s v="Education"/>
    <n v="308378.62"/>
    <n v="60"/>
    <n v="9954.3799999999992"/>
    <n v="29.88"/>
    <n v="1.89"/>
    <n v="579"/>
    <n v="0.3"/>
    <x v="0"/>
    <x v="448"/>
    <n v="1"/>
  </r>
  <r>
    <s v="U10365"/>
    <x v="17"/>
    <x v="0"/>
    <x v="2"/>
    <x v="1"/>
    <s v="Driver"/>
    <n v="500"/>
    <n v="309.68"/>
    <n v="1143.93"/>
    <s v="No"/>
    <s v="None"/>
    <n v="0"/>
    <n v="0"/>
    <n v="0"/>
    <n v="0"/>
    <n v="0"/>
    <n v="532"/>
    <n v="0.19"/>
    <x v="1"/>
    <x v="608"/>
    <n v="0"/>
  </r>
  <r>
    <s v="U10369"/>
    <x v="15"/>
    <x v="0"/>
    <x v="2"/>
    <x v="2"/>
    <s v="Doctor"/>
    <n v="1612.52"/>
    <n v="827.89"/>
    <n v="4387.21"/>
    <s v="No"/>
    <s v="None"/>
    <n v="0"/>
    <n v="0"/>
    <n v="0"/>
    <n v="0"/>
    <n v="0"/>
    <n v="378"/>
    <n v="0.23"/>
    <x v="2"/>
    <x v="486"/>
    <n v="0"/>
  </r>
  <r>
    <s v="U10378"/>
    <x v="50"/>
    <x v="1"/>
    <x v="0"/>
    <x v="1"/>
    <s v="Engineer"/>
    <n v="6307.36"/>
    <n v="2789.62"/>
    <n v="70544.31"/>
    <s v="No"/>
    <s v="None"/>
    <n v="0"/>
    <n v="0"/>
    <n v="0"/>
    <n v="0"/>
    <n v="0"/>
    <n v="721"/>
    <n v="0.93"/>
    <x v="4"/>
    <x v="217"/>
    <n v="0"/>
  </r>
  <r>
    <s v="U10384"/>
    <x v="42"/>
    <x v="1"/>
    <x v="3"/>
    <x v="1"/>
    <s v="Teacher"/>
    <n v="4235"/>
    <n v="1480.41"/>
    <n v="28361.61"/>
    <s v="Yes"/>
    <s v="Home"/>
    <n v="110262.66"/>
    <n v="24"/>
    <n v="5719.13"/>
    <n v="21.98"/>
    <n v="1.35"/>
    <n v="736"/>
    <n v="0.56000000000000005"/>
    <x v="3"/>
    <x v="609"/>
    <n v="1"/>
  </r>
  <r>
    <s v="U10390"/>
    <x v="22"/>
    <x v="1"/>
    <x v="2"/>
    <x v="0"/>
    <s v="Manager"/>
    <n v="3086.66"/>
    <n v="2254.06"/>
    <n v="8271.56"/>
    <s v="Yes"/>
    <s v="Business"/>
    <n v="294815.59999999998"/>
    <n v="300"/>
    <n v="2745.78"/>
    <n v="10.32"/>
    <n v="0.89"/>
    <n v="622"/>
    <n v="0.22"/>
    <x v="3"/>
    <x v="153"/>
    <n v="1"/>
  </r>
  <r>
    <s v="U10404"/>
    <x v="21"/>
    <x v="1"/>
    <x v="3"/>
    <x v="2"/>
    <s v="Engineer"/>
    <n v="1402.57"/>
    <n v="1123.2"/>
    <n v="10366.82"/>
    <s v="No"/>
    <s v="None"/>
    <n v="0"/>
    <n v="0"/>
    <n v="0"/>
    <n v="0"/>
    <n v="0"/>
    <n v="742"/>
    <n v="0.62"/>
    <x v="0"/>
    <x v="610"/>
    <n v="0"/>
  </r>
  <r>
    <s v="U10415"/>
    <x v="8"/>
    <x v="0"/>
    <x v="3"/>
    <x v="1"/>
    <s v="Engineer"/>
    <n v="2941.38"/>
    <n v="953.87"/>
    <n v="23680.49"/>
    <s v="No"/>
    <s v="None"/>
    <n v="0"/>
    <n v="0"/>
    <n v="0"/>
    <n v="0"/>
    <n v="0"/>
    <n v="824"/>
    <n v="0.67"/>
    <x v="3"/>
    <x v="611"/>
    <n v="0"/>
  </r>
  <r>
    <s v="U10420"/>
    <x v="14"/>
    <x v="1"/>
    <x v="1"/>
    <x v="1"/>
    <s v="Driver"/>
    <n v="3732.77"/>
    <n v="2813.56"/>
    <n v="10836.1"/>
    <s v="Yes"/>
    <s v="Education"/>
    <n v="338873.86"/>
    <n v="60"/>
    <n v="6787.12"/>
    <n v="7.48"/>
    <n v="1.82"/>
    <n v="557"/>
    <n v="0.24"/>
    <x v="2"/>
    <x v="612"/>
    <n v="1"/>
  </r>
  <r>
    <s v="U10440"/>
    <x v="30"/>
    <x v="0"/>
    <x v="3"/>
    <x v="1"/>
    <s v="Teacher"/>
    <n v="1998.65"/>
    <n v="735.01"/>
    <n v="12654.61"/>
    <s v="No"/>
    <s v="None"/>
    <n v="0"/>
    <n v="0"/>
    <n v="0"/>
    <n v="0"/>
    <n v="0"/>
    <n v="696"/>
    <n v="0.53"/>
    <x v="2"/>
    <x v="62"/>
    <n v="0"/>
  </r>
  <r>
    <s v="U10458"/>
    <x v="36"/>
    <x v="1"/>
    <x v="2"/>
    <x v="2"/>
    <s v="Student"/>
    <n v="7057.54"/>
    <n v="3577.33"/>
    <n v="58140.93"/>
    <s v="No"/>
    <s v="None"/>
    <n v="0"/>
    <n v="0"/>
    <n v="0"/>
    <n v="0"/>
    <n v="0"/>
    <n v="526"/>
    <n v="0.69"/>
    <x v="2"/>
    <x v="480"/>
    <n v="0"/>
  </r>
  <r>
    <s v="U10463"/>
    <x v="0"/>
    <x v="0"/>
    <x v="0"/>
    <x v="3"/>
    <s v="Driver"/>
    <n v="9262.35"/>
    <n v="4355.2700000000004"/>
    <n v="108102.47"/>
    <s v="Yes"/>
    <s v="Car"/>
    <n v="209329.03"/>
    <n v="120"/>
    <n v="4812.3599999999997"/>
    <n v="25.34"/>
    <n v="0.52"/>
    <n v="746"/>
    <n v="0.97"/>
    <x v="0"/>
    <x v="537"/>
    <n v="1"/>
  </r>
  <r>
    <s v="U10495"/>
    <x v="48"/>
    <x v="1"/>
    <x v="0"/>
    <x v="1"/>
    <s v="Driver"/>
    <n v="4075.82"/>
    <n v="2878.91"/>
    <n v="35075.82"/>
    <s v="No"/>
    <s v="None"/>
    <n v="0"/>
    <n v="0"/>
    <n v="0"/>
    <n v="0"/>
    <n v="0"/>
    <n v="505"/>
    <n v="0.72"/>
    <x v="4"/>
    <x v="613"/>
    <n v="0"/>
  </r>
  <r>
    <s v="U10499"/>
    <x v="28"/>
    <x v="0"/>
    <x v="4"/>
    <x v="2"/>
    <s v="Engineer"/>
    <n v="5232.8900000000003"/>
    <n v="2473.73"/>
    <n v="37738.76"/>
    <s v="Yes"/>
    <s v="Education"/>
    <n v="172696.09"/>
    <n v="360"/>
    <n v="2087.3000000000002"/>
    <n v="14.3"/>
    <n v="0.4"/>
    <n v="789"/>
    <n v="0.6"/>
    <x v="3"/>
    <x v="614"/>
    <n v="0"/>
  </r>
  <r>
    <s v="U10510"/>
    <x v="19"/>
    <x v="1"/>
    <x v="2"/>
    <x v="2"/>
    <s v="Accountant"/>
    <n v="5002.58"/>
    <n v="3470.62"/>
    <n v="14292.22"/>
    <s v="No"/>
    <s v="None"/>
    <n v="0"/>
    <n v="0"/>
    <n v="0"/>
    <n v="0"/>
    <n v="0"/>
    <n v="521"/>
    <n v="0.24"/>
    <x v="4"/>
    <x v="288"/>
    <n v="0"/>
  </r>
  <r>
    <s v="U10523"/>
    <x v="0"/>
    <x v="0"/>
    <x v="0"/>
    <x v="1"/>
    <s v="Doctor"/>
    <n v="6191.72"/>
    <n v="4661.67"/>
    <n v="16714.07"/>
    <s v="No"/>
    <s v="None"/>
    <n v="0"/>
    <n v="0"/>
    <n v="0"/>
    <n v="0"/>
    <n v="0"/>
    <n v="455"/>
    <n v="0.22"/>
    <x v="2"/>
    <x v="399"/>
    <n v="0"/>
  </r>
  <r>
    <s v="U10568"/>
    <x v="31"/>
    <x v="0"/>
    <x v="3"/>
    <x v="1"/>
    <s v="Doctor"/>
    <n v="7070"/>
    <n v="2951.72"/>
    <n v="73800.5"/>
    <s v="Yes"/>
    <s v="Car"/>
    <n v="99139.199999999997"/>
    <n v="300"/>
    <n v="1983.94"/>
    <n v="23.95"/>
    <n v="0.28000000000000003"/>
    <n v="484"/>
    <n v="0.87"/>
    <x v="3"/>
    <x v="615"/>
    <n v="0"/>
  </r>
  <r>
    <s v="U10585"/>
    <x v="11"/>
    <x v="0"/>
    <x v="3"/>
    <x v="3"/>
    <s v="Student"/>
    <n v="3401.66"/>
    <n v="2920.17"/>
    <n v="27713.919999999998"/>
    <s v="No"/>
    <s v="None"/>
    <n v="0"/>
    <n v="0"/>
    <n v="0"/>
    <n v="0"/>
    <n v="0"/>
    <n v="620"/>
    <n v="0.68"/>
    <x v="1"/>
    <x v="616"/>
    <n v="0"/>
  </r>
  <r>
    <s v="U10586"/>
    <x v="0"/>
    <x v="0"/>
    <x v="3"/>
    <x v="1"/>
    <s v="Engineer"/>
    <n v="2075.08"/>
    <n v="944.86"/>
    <n v="6935.23"/>
    <s v="Yes"/>
    <s v="Business"/>
    <n v="85463.47"/>
    <n v="60"/>
    <n v="2060.19"/>
    <n v="15.6"/>
    <n v="0.99"/>
    <n v="357"/>
    <n v="0.28000000000000003"/>
    <x v="1"/>
    <x v="143"/>
    <n v="1"/>
  </r>
  <r>
    <s v="U10600"/>
    <x v="47"/>
    <x v="0"/>
    <x v="0"/>
    <x v="1"/>
    <s v="Accountant"/>
    <n v="2992.25"/>
    <n v="2567.5700000000002"/>
    <n v="22466.03"/>
    <s v="Yes"/>
    <s v="Home"/>
    <n v="37053.800000000003"/>
    <n v="36"/>
    <n v="1475.61"/>
    <n v="25.12"/>
    <n v="0.49"/>
    <n v="532"/>
    <n v="0.63"/>
    <x v="3"/>
    <x v="617"/>
    <n v="1"/>
  </r>
  <r>
    <s v="U10609"/>
    <x v="40"/>
    <x v="1"/>
    <x v="3"/>
    <x v="1"/>
    <s v="Engineer"/>
    <n v="1033.0899999999999"/>
    <n v="896.81"/>
    <n v="7208.76"/>
    <s v="No"/>
    <s v="None"/>
    <n v="0"/>
    <n v="0"/>
    <n v="0"/>
    <n v="0"/>
    <n v="0"/>
    <n v="354"/>
    <n v="0.57999999999999996"/>
    <x v="3"/>
    <x v="618"/>
    <n v="0"/>
  </r>
  <r>
    <s v="U10621"/>
    <x v="23"/>
    <x v="0"/>
    <x v="1"/>
    <x v="3"/>
    <s v="Accountant"/>
    <n v="4531.05"/>
    <n v="3489.58"/>
    <n v="15328.49"/>
    <s v="No"/>
    <s v="None"/>
    <n v="0"/>
    <n v="0"/>
    <n v="0"/>
    <n v="0"/>
    <n v="0"/>
    <n v="597"/>
    <n v="0.28000000000000003"/>
    <x v="4"/>
    <x v="619"/>
    <n v="0"/>
  </r>
  <r>
    <s v="U10626"/>
    <x v="50"/>
    <x v="0"/>
    <x v="2"/>
    <x v="1"/>
    <s v="Driver"/>
    <n v="4326.66"/>
    <n v="2354.8200000000002"/>
    <n v="13204.64"/>
    <s v="No"/>
    <s v="None"/>
    <n v="0"/>
    <n v="0"/>
    <n v="0"/>
    <n v="0"/>
    <n v="0"/>
    <n v="313"/>
    <n v="0.25"/>
    <x v="1"/>
    <x v="620"/>
    <n v="0"/>
  </r>
  <r>
    <s v="U10639"/>
    <x v="20"/>
    <x v="1"/>
    <x v="2"/>
    <x v="0"/>
    <s v="Accountant"/>
    <n v="7821.96"/>
    <n v="2933.2"/>
    <n v="15918.23"/>
    <s v="No"/>
    <s v="None"/>
    <n v="0"/>
    <n v="0"/>
    <n v="0"/>
    <n v="0"/>
    <n v="0"/>
    <n v="836"/>
    <n v="0.17"/>
    <x v="0"/>
    <x v="621"/>
    <n v="0"/>
  </r>
  <r>
    <s v="U10660"/>
    <x v="32"/>
    <x v="1"/>
    <x v="3"/>
    <x v="3"/>
    <s v="Student"/>
    <n v="521.79999999999995"/>
    <n v="287.26"/>
    <n v="4062.11"/>
    <s v="No"/>
    <s v="None"/>
    <n v="0"/>
    <n v="0"/>
    <n v="0"/>
    <n v="0"/>
    <n v="0"/>
    <n v="437"/>
    <n v="0.65"/>
    <x v="4"/>
    <x v="622"/>
    <n v="0"/>
  </r>
  <r>
    <s v="U10675"/>
    <x v="18"/>
    <x v="1"/>
    <x v="0"/>
    <x v="3"/>
    <s v="Teacher"/>
    <n v="3762.06"/>
    <n v="2237.9699999999998"/>
    <n v="42788.12"/>
    <s v="No"/>
    <s v="None"/>
    <n v="0"/>
    <n v="0"/>
    <n v="0"/>
    <n v="0"/>
    <n v="0"/>
    <n v="529"/>
    <n v="0.95"/>
    <x v="1"/>
    <x v="518"/>
    <n v="0"/>
  </r>
  <r>
    <s v="U10677"/>
    <x v="3"/>
    <x v="1"/>
    <x v="1"/>
    <x v="1"/>
    <s v="Manager"/>
    <n v="3565.54"/>
    <n v="2774.24"/>
    <n v="7262.85"/>
    <s v="No"/>
    <s v="None"/>
    <n v="0"/>
    <n v="0"/>
    <n v="0"/>
    <n v="0"/>
    <n v="0"/>
    <n v="796"/>
    <n v="0.17"/>
    <x v="2"/>
    <x v="602"/>
    <n v="0"/>
  </r>
  <r>
    <s v="U10693"/>
    <x v="48"/>
    <x v="1"/>
    <x v="3"/>
    <x v="2"/>
    <s v="Student"/>
    <n v="3917.43"/>
    <n v="2812.15"/>
    <n v="4890.8999999999996"/>
    <s v="Yes"/>
    <s v="Car"/>
    <n v="288972.84999999998"/>
    <n v="180"/>
    <n v="2618.42"/>
    <n v="7.13"/>
    <n v="0.67"/>
    <n v="684"/>
    <n v="0.1"/>
    <x v="2"/>
    <x v="623"/>
    <n v="1"/>
  </r>
  <r>
    <s v="U10712"/>
    <x v="35"/>
    <x v="0"/>
    <x v="3"/>
    <x v="3"/>
    <s v="Salesperson"/>
    <n v="5882.65"/>
    <n v="1925.97"/>
    <n v="40319"/>
    <s v="No"/>
    <s v="None"/>
    <n v="0"/>
    <n v="0"/>
    <n v="0"/>
    <n v="0"/>
    <n v="0"/>
    <n v="370"/>
    <n v="0.56999999999999995"/>
    <x v="3"/>
    <x v="146"/>
    <n v="0"/>
  </r>
  <r>
    <s v="U10739"/>
    <x v="41"/>
    <x v="1"/>
    <x v="3"/>
    <x v="2"/>
    <s v="Salesperson"/>
    <n v="6689.36"/>
    <n v="2347.59"/>
    <n v="11872.75"/>
    <s v="Yes"/>
    <s v="Education"/>
    <n v="402932.82"/>
    <n v="120"/>
    <n v="6106.87"/>
    <n v="13.38"/>
    <n v="0.91"/>
    <n v="692"/>
    <n v="0.15"/>
    <x v="2"/>
    <x v="624"/>
    <n v="1"/>
  </r>
  <r>
    <s v="U10753"/>
    <x v="41"/>
    <x v="0"/>
    <x v="0"/>
    <x v="1"/>
    <s v="Doctor"/>
    <n v="2579.06"/>
    <n v="1581.92"/>
    <n v="24051.06"/>
    <s v="No"/>
    <s v="None"/>
    <n v="0"/>
    <n v="0"/>
    <n v="0"/>
    <n v="0"/>
    <n v="0"/>
    <n v="382"/>
    <n v="0.78"/>
    <x v="2"/>
    <x v="625"/>
    <n v="0"/>
  </r>
  <r>
    <s v="U10755"/>
    <x v="38"/>
    <x v="0"/>
    <x v="2"/>
    <x v="3"/>
    <s v="Driver"/>
    <n v="6283.7"/>
    <n v="2025.62"/>
    <n v="69117.83"/>
    <s v="No"/>
    <s v="None"/>
    <n v="0"/>
    <n v="0"/>
    <n v="0"/>
    <n v="0"/>
    <n v="0"/>
    <n v="369"/>
    <n v="0.92"/>
    <x v="4"/>
    <x v="626"/>
    <n v="0"/>
  </r>
  <r>
    <s v="U10785"/>
    <x v="1"/>
    <x v="0"/>
    <x v="3"/>
    <x v="2"/>
    <s v="Teacher"/>
    <n v="2833.7"/>
    <n v="1328"/>
    <n v="24894.720000000001"/>
    <s v="No"/>
    <s v="None"/>
    <n v="0"/>
    <n v="0"/>
    <n v="0"/>
    <n v="0"/>
    <n v="0"/>
    <n v="641"/>
    <n v="0.73"/>
    <x v="4"/>
    <x v="477"/>
    <n v="0"/>
  </r>
  <r>
    <s v="U10791"/>
    <x v="45"/>
    <x v="0"/>
    <x v="0"/>
    <x v="0"/>
    <s v="Engineer"/>
    <n v="4682.54"/>
    <n v="3438.52"/>
    <n v="17219.900000000001"/>
    <s v="No"/>
    <s v="None"/>
    <n v="0"/>
    <n v="0"/>
    <n v="0"/>
    <n v="0"/>
    <n v="0"/>
    <n v="561"/>
    <n v="0.31"/>
    <x v="4"/>
    <x v="627"/>
    <n v="0"/>
  </r>
  <r>
    <s v="U10806"/>
    <x v="7"/>
    <x v="1"/>
    <x v="3"/>
    <x v="1"/>
    <s v="Unemployed"/>
    <n v="4673.88"/>
    <n v="3773.09"/>
    <n v="37290.080000000002"/>
    <s v="Yes"/>
    <s v="Car"/>
    <n v="102620.83"/>
    <n v="60"/>
    <n v="2972.48"/>
    <n v="24.34"/>
    <n v="0.64"/>
    <n v="656"/>
    <n v="0.66"/>
    <x v="1"/>
    <x v="252"/>
    <n v="1"/>
  </r>
  <r>
    <s v="U10816"/>
    <x v="44"/>
    <x v="1"/>
    <x v="0"/>
    <x v="1"/>
    <s v="Unemployed"/>
    <n v="3280.46"/>
    <n v="992.38"/>
    <n v="17735.12"/>
    <s v="No"/>
    <s v="None"/>
    <n v="0"/>
    <n v="0"/>
    <n v="0"/>
    <n v="0"/>
    <n v="0"/>
    <n v="753"/>
    <n v="0.45"/>
    <x v="3"/>
    <x v="628"/>
    <n v="0"/>
  </r>
  <r>
    <s v="U10850"/>
    <x v="33"/>
    <x v="0"/>
    <x v="2"/>
    <x v="3"/>
    <s v="Accountant"/>
    <n v="2459.81"/>
    <n v="751.53"/>
    <n v="15129.4"/>
    <s v="No"/>
    <s v="None"/>
    <n v="0"/>
    <n v="0"/>
    <n v="0"/>
    <n v="0"/>
    <n v="0"/>
    <n v="713"/>
    <n v="0.51"/>
    <x v="0"/>
    <x v="629"/>
    <n v="0"/>
  </r>
  <r>
    <s v="U10861"/>
    <x v="18"/>
    <x v="1"/>
    <x v="4"/>
    <x v="1"/>
    <s v="Accountant"/>
    <n v="4090.48"/>
    <n v="2758.02"/>
    <n v="17058.599999999999"/>
    <s v="No"/>
    <s v="None"/>
    <n v="0"/>
    <n v="0"/>
    <n v="0"/>
    <n v="0"/>
    <n v="0"/>
    <n v="599"/>
    <n v="0.35"/>
    <x v="3"/>
    <x v="34"/>
    <n v="0"/>
  </r>
  <r>
    <s v="U10874"/>
    <x v="43"/>
    <x v="0"/>
    <x v="1"/>
    <x v="2"/>
    <s v="Teacher"/>
    <n v="6356.4"/>
    <n v="4385.3900000000003"/>
    <n v="24089.63"/>
    <s v="No"/>
    <s v="None"/>
    <n v="0"/>
    <n v="0"/>
    <n v="0"/>
    <n v="0"/>
    <n v="0"/>
    <n v="642"/>
    <n v="0.32"/>
    <x v="4"/>
    <x v="45"/>
    <n v="0"/>
  </r>
  <r>
    <s v="U10889"/>
    <x v="21"/>
    <x v="0"/>
    <x v="2"/>
    <x v="1"/>
    <s v="Driver"/>
    <n v="7061.71"/>
    <n v="5672.76"/>
    <n v="36393.18"/>
    <s v="No"/>
    <s v="None"/>
    <n v="0"/>
    <n v="0"/>
    <n v="0"/>
    <n v="0"/>
    <n v="0"/>
    <n v="542"/>
    <n v="0.43"/>
    <x v="4"/>
    <x v="630"/>
    <n v="0"/>
  </r>
  <r>
    <s v="U10890"/>
    <x v="40"/>
    <x v="1"/>
    <x v="2"/>
    <x v="1"/>
    <s v="Teacher"/>
    <n v="5868.93"/>
    <n v="3311.44"/>
    <n v="47597.16"/>
    <s v="Yes"/>
    <s v="Car"/>
    <n v="353308.42"/>
    <n v="60"/>
    <n v="7498.07"/>
    <n v="9.9499999999999993"/>
    <n v="1.28"/>
    <n v="468"/>
    <n v="0.68"/>
    <x v="3"/>
    <x v="396"/>
    <n v="1"/>
  </r>
  <r>
    <s v="U10935"/>
    <x v="30"/>
    <x v="1"/>
    <x v="2"/>
    <x v="3"/>
    <s v="Salesperson"/>
    <n v="5333.62"/>
    <n v="2200.9299999999998"/>
    <n v="61912.35"/>
    <s v="Yes"/>
    <s v="Education"/>
    <n v="11948.4"/>
    <n v="60"/>
    <n v="359.72"/>
    <n v="26.28"/>
    <n v="7.0000000000000007E-2"/>
    <n v="800"/>
    <n v="0.97"/>
    <x v="2"/>
    <x v="426"/>
    <n v="0"/>
  </r>
  <r>
    <s v="U10956"/>
    <x v="46"/>
    <x v="1"/>
    <x v="0"/>
    <x v="1"/>
    <s v="Unemployed"/>
    <n v="5976.7"/>
    <n v="3962.99"/>
    <n v="44682.14"/>
    <s v="No"/>
    <s v="None"/>
    <n v="0"/>
    <n v="0"/>
    <n v="0"/>
    <n v="0"/>
    <n v="0"/>
    <n v="797"/>
    <n v="0.62"/>
    <x v="1"/>
    <x v="108"/>
    <n v="0"/>
  </r>
  <r>
    <s v="U10961"/>
    <x v="8"/>
    <x v="0"/>
    <x v="0"/>
    <x v="0"/>
    <s v="Accountant"/>
    <n v="2964.26"/>
    <n v="2197.9"/>
    <n v="6768.5"/>
    <s v="Yes"/>
    <s v="Education"/>
    <n v="164785.97"/>
    <n v="300"/>
    <n v="2287.2199999999998"/>
    <n v="16.37"/>
    <n v="0.77"/>
    <n v="697"/>
    <n v="0.19"/>
    <x v="1"/>
    <x v="631"/>
    <n v="1"/>
  </r>
  <r>
    <s v="U10981"/>
    <x v="6"/>
    <x v="0"/>
    <x v="0"/>
    <x v="1"/>
    <s v="Teacher"/>
    <n v="5758.07"/>
    <n v="1772.6"/>
    <n v="65588.87"/>
    <s v="No"/>
    <s v="None"/>
    <n v="0"/>
    <n v="0"/>
    <n v="0"/>
    <n v="0"/>
    <n v="0"/>
    <n v="391"/>
    <n v="0.95"/>
    <x v="1"/>
    <x v="595"/>
    <n v="0"/>
  </r>
  <r>
    <s v="U11005"/>
    <x v="35"/>
    <x v="0"/>
    <x v="2"/>
    <x v="0"/>
    <s v="Manager"/>
    <n v="1974.09"/>
    <n v="1606.35"/>
    <n v="23189.599999999999"/>
    <s v="No"/>
    <s v="None"/>
    <n v="0"/>
    <n v="0"/>
    <n v="0"/>
    <n v="0"/>
    <n v="0"/>
    <n v="327"/>
    <n v="0.98"/>
    <x v="2"/>
    <x v="535"/>
    <n v="0"/>
  </r>
  <r>
    <s v="U11024"/>
    <x v="46"/>
    <x v="0"/>
    <x v="3"/>
    <x v="3"/>
    <s v="Student"/>
    <n v="4193.3599999999997"/>
    <n v="1427.52"/>
    <n v="41164.22"/>
    <s v="No"/>
    <s v="None"/>
    <n v="0"/>
    <n v="0"/>
    <n v="0"/>
    <n v="0"/>
    <n v="0"/>
    <n v="820"/>
    <n v="0.82"/>
    <x v="3"/>
    <x v="489"/>
    <n v="0"/>
  </r>
  <r>
    <s v="U11028"/>
    <x v="10"/>
    <x v="0"/>
    <x v="0"/>
    <x v="1"/>
    <s v="Doctor"/>
    <n v="631.51"/>
    <n v="241.85"/>
    <n v="4740.6000000000004"/>
    <s v="No"/>
    <s v="None"/>
    <n v="0"/>
    <n v="0"/>
    <n v="0"/>
    <n v="0"/>
    <n v="0"/>
    <n v="798"/>
    <n v="0.63"/>
    <x v="0"/>
    <x v="458"/>
    <n v="0"/>
  </r>
  <r>
    <s v="U11030"/>
    <x v="23"/>
    <x v="2"/>
    <x v="2"/>
    <x v="2"/>
    <s v="Engineer"/>
    <n v="5881.65"/>
    <n v="3955.17"/>
    <n v="12368.64"/>
    <s v="No"/>
    <s v="None"/>
    <n v="0"/>
    <n v="0"/>
    <n v="0"/>
    <n v="0"/>
    <n v="0"/>
    <n v="332"/>
    <n v="0.18"/>
    <x v="3"/>
    <x v="632"/>
    <n v="0"/>
  </r>
  <r>
    <s v="U11061"/>
    <x v="46"/>
    <x v="0"/>
    <x v="2"/>
    <x v="1"/>
    <s v="Engineer"/>
    <n v="2451.2600000000002"/>
    <n v="1808.83"/>
    <n v="12868.12"/>
    <s v="No"/>
    <s v="None"/>
    <n v="0"/>
    <n v="0"/>
    <n v="0"/>
    <n v="0"/>
    <n v="0"/>
    <n v="339"/>
    <n v="0.44"/>
    <x v="1"/>
    <x v="183"/>
    <n v="0"/>
  </r>
  <r>
    <s v="U11064"/>
    <x v="45"/>
    <x v="1"/>
    <x v="3"/>
    <x v="1"/>
    <s v="Driver"/>
    <n v="3963.68"/>
    <n v="3300.08"/>
    <n v="12789.04"/>
    <s v="No"/>
    <s v="None"/>
    <n v="0"/>
    <n v="0"/>
    <n v="0"/>
    <n v="0"/>
    <n v="0"/>
    <n v="640"/>
    <n v="0.27"/>
    <x v="1"/>
    <x v="633"/>
    <n v="0"/>
  </r>
  <r>
    <s v="U11086"/>
    <x v="40"/>
    <x v="1"/>
    <x v="2"/>
    <x v="1"/>
    <s v="Teacher"/>
    <n v="635.61"/>
    <n v="214.25"/>
    <n v="4249.74"/>
    <s v="No"/>
    <s v="None"/>
    <n v="0"/>
    <n v="0"/>
    <n v="0"/>
    <n v="0"/>
    <n v="0"/>
    <n v="735"/>
    <n v="0.56000000000000005"/>
    <x v="1"/>
    <x v="634"/>
    <n v="0"/>
  </r>
  <r>
    <s v="U11099"/>
    <x v="48"/>
    <x v="1"/>
    <x v="0"/>
    <x v="1"/>
    <s v="Salesperson"/>
    <n v="2288.41"/>
    <n v="777"/>
    <n v="16426.060000000001"/>
    <s v="No"/>
    <s v="None"/>
    <n v="0"/>
    <n v="0"/>
    <n v="0"/>
    <n v="0"/>
    <n v="0"/>
    <n v="316"/>
    <n v="0.6"/>
    <x v="1"/>
    <x v="635"/>
    <n v="0"/>
  </r>
  <r>
    <s v="U11101"/>
    <x v="10"/>
    <x v="0"/>
    <x v="3"/>
    <x v="2"/>
    <s v="Student"/>
    <n v="6028.07"/>
    <n v="4567.78"/>
    <n v="55512.35"/>
    <s v="No"/>
    <s v="None"/>
    <n v="0"/>
    <n v="0"/>
    <n v="0"/>
    <n v="0"/>
    <n v="0"/>
    <n v="373"/>
    <n v="0.77"/>
    <x v="3"/>
    <x v="353"/>
    <n v="0"/>
  </r>
  <r>
    <s v="U11102"/>
    <x v="35"/>
    <x v="0"/>
    <x v="0"/>
    <x v="2"/>
    <s v="Driver"/>
    <n v="500"/>
    <n v="382.29"/>
    <n v="2714.23"/>
    <s v="No"/>
    <s v="None"/>
    <n v="0"/>
    <n v="0"/>
    <n v="0"/>
    <n v="0"/>
    <n v="0"/>
    <n v="832"/>
    <n v="0.45"/>
    <x v="1"/>
    <x v="204"/>
    <n v="0"/>
  </r>
  <r>
    <s v="U11129"/>
    <x v="4"/>
    <x v="1"/>
    <x v="3"/>
    <x v="1"/>
    <s v="Unemployed"/>
    <n v="1987.9"/>
    <n v="1592.6"/>
    <n v="9473.2000000000007"/>
    <s v="Yes"/>
    <s v="Education"/>
    <n v="59544.36"/>
    <n v="60"/>
    <n v="1750.15"/>
    <n v="25.07"/>
    <n v="0.88"/>
    <n v="586"/>
    <n v="0.4"/>
    <x v="4"/>
    <x v="636"/>
    <n v="1"/>
  </r>
  <r>
    <s v="U11137"/>
    <x v="49"/>
    <x v="1"/>
    <x v="3"/>
    <x v="1"/>
    <s v="Engineer"/>
    <n v="3119.75"/>
    <n v="1482.11"/>
    <n v="34926.75"/>
    <s v="No"/>
    <s v="None"/>
    <n v="0"/>
    <n v="0"/>
    <n v="0"/>
    <n v="0"/>
    <n v="0"/>
    <n v="348"/>
    <n v="0.93"/>
    <x v="4"/>
    <x v="280"/>
    <n v="0"/>
  </r>
  <r>
    <s v="U11140"/>
    <x v="49"/>
    <x v="1"/>
    <x v="3"/>
    <x v="1"/>
    <s v="Doctor"/>
    <n v="4502.1400000000003"/>
    <n v="2680.01"/>
    <n v="37022.82"/>
    <s v="No"/>
    <s v="None"/>
    <n v="0"/>
    <n v="0"/>
    <n v="0"/>
    <n v="0"/>
    <n v="0"/>
    <n v="421"/>
    <n v="0.69"/>
    <x v="4"/>
    <x v="301"/>
    <n v="0"/>
  </r>
  <r>
    <s v="U11147"/>
    <x v="0"/>
    <x v="1"/>
    <x v="2"/>
    <x v="2"/>
    <s v="Unemployed"/>
    <n v="3365.09"/>
    <n v="2987.95"/>
    <n v="37715.949999999997"/>
    <s v="No"/>
    <s v="None"/>
    <n v="0"/>
    <n v="0"/>
    <n v="0"/>
    <n v="0"/>
    <n v="0"/>
    <n v="711"/>
    <n v="0.93"/>
    <x v="0"/>
    <x v="637"/>
    <n v="0"/>
  </r>
  <r>
    <s v="U11165"/>
    <x v="39"/>
    <x v="1"/>
    <x v="3"/>
    <x v="1"/>
    <s v="Accountant"/>
    <n v="4295.17"/>
    <n v="1739.3"/>
    <n v="24472.5"/>
    <s v="No"/>
    <s v="None"/>
    <n v="0"/>
    <n v="0"/>
    <n v="0"/>
    <n v="0"/>
    <n v="0"/>
    <n v="708"/>
    <n v="0.47"/>
    <x v="0"/>
    <x v="638"/>
    <n v="0"/>
  </r>
  <r>
    <s v="U11189"/>
    <x v="47"/>
    <x v="0"/>
    <x v="3"/>
    <x v="1"/>
    <s v="Driver"/>
    <n v="4114.3"/>
    <n v="2991.61"/>
    <n v="34611.14"/>
    <s v="Yes"/>
    <s v="Business"/>
    <n v="239321.73"/>
    <n v="36"/>
    <n v="8069.46"/>
    <n v="13.05"/>
    <n v="1.96"/>
    <n v="412"/>
    <n v="0.7"/>
    <x v="2"/>
    <x v="639"/>
    <n v="1"/>
  </r>
  <r>
    <s v="U11192"/>
    <x v="13"/>
    <x v="1"/>
    <x v="2"/>
    <x v="1"/>
    <s v="Salesperson"/>
    <n v="4600.7299999999996"/>
    <n v="2120.5500000000002"/>
    <n v="8468.16"/>
    <s v="No"/>
    <s v="None"/>
    <n v="0"/>
    <n v="0"/>
    <n v="0"/>
    <n v="0"/>
    <n v="0"/>
    <n v="376"/>
    <n v="0.15"/>
    <x v="1"/>
    <x v="640"/>
    <n v="0"/>
  </r>
  <r>
    <s v="U11201"/>
    <x v="37"/>
    <x v="0"/>
    <x v="3"/>
    <x v="1"/>
    <s v="Engineer"/>
    <n v="3291.76"/>
    <n v="2595.2199999999998"/>
    <n v="15931.54"/>
    <s v="No"/>
    <s v="None"/>
    <n v="0"/>
    <n v="0"/>
    <n v="0"/>
    <n v="0"/>
    <n v="0"/>
    <n v="599"/>
    <n v="0.4"/>
    <x v="1"/>
    <x v="641"/>
    <n v="0"/>
  </r>
  <r>
    <s v="U11215"/>
    <x v="51"/>
    <x v="1"/>
    <x v="0"/>
    <x v="1"/>
    <s v="Driver"/>
    <n v="4901.08"/>
    <n v="3828.2"/>
    <n v="53416.93"/>
    <s v="No"/>
    <s v="None"/>
    <n v="0"/>
    <n v="0"/>
    <n v="0"/>
    <n v="0"/>
    <n v="0"/>
    <n v="332"/>
    <n v="0.91"/>
    <x v="4"/>
    <x v="180"/>
    <n v="0"/>
  </r>
  <r>
    <s v="U11224"/>
    <x v="28"/>
    <x v="0"/>
    <x v="2"/>
    <x v="1"/>
    <s v="Student"/>
    <n v="4035.31"/>
    <n v="1947.41"/>
    <n v="45494.720000000001"/>
    <s v="Yes"/>
    <s v="Car"/>
    <n v="100829.07"/>
    <n v="240"/>
    <n v="972.35"/>
    <n v="9.99"/>
    <n v="0.24"/>
    <n v="508"/>
    <n v="0.94"/>
    <x v="4"/>
    <x v="404"/>
    <n v="0"/>
  </r>
  <r>
    <s v="U11254"/>
    <x v="4"/>
    <x v="1"/>
    <x v="3"/>
    <x v="1"/>
    <s v="Salesperson"/>
    <n v="1999.24"/>
    <n v="788.25"/>
    <n v="18656.3"/>
    <s v="No"/>
    <s v="None"/>
    <n v="0"/>
    <n v="0"/>
    <n v="0"/>
    <n v="0"/>
    <n v="0"/>
    <n v="475"/>
    <n v="0.78"/>
    <x v="4"/>
    <x v="196"/>
    <n v="0"/>
  </r>
  <r>
    <s v="U11265"/>
    <x v="25"/>
    <x v="1"/>
    <x v="2"/>
    <x v="3"/>
    <s v="Doctor"/>
    <n v="2224.54"/>
    <n v="1614.04"/>
    <n v="16136.09"/>
    <s v="No"/>
    <s v="None"/>
    <n v="0"/>
    <n v="0"/>
    <n v="0"/>
    <n v="0"/>
    <n v="0"/>
    <n v="340"/>
    <n v="0.6"/>
    <x v="0"/>
    <x v="642"/>
    <n v="0"/>
  </r>
  <r>
    <s v="U11267"/>
    <x v="14"/>
    <x v="0"/>
    <x v="3"/>
    <x v="1"/>
    <s v="Driver"/>
    <n v="3029.12"/>
    <n v="1318.07"/>
    <n v="32988.910000000003"/>
    <s v="No"/>
    <s v="None"/>
    <n v="0"/>
    <n v="0"/>
    <n v="0"/>
    <n v="0"/>
    <n v="0"/>
    <n v="662"/>
    <n v="0.91"/>
    <x v="2"/>
    <x v="643"/>
    <n v="0"/>
  </r>
  <r>
    <s v="U11301"/>
    <x v="29"/>
    <x v="1"/>
    <x v="3"/>
    <x v="1"/>
    <s v="Accountant"/>
    <n v="6154.8"/>
    <n v="3961.87"/>
    <n v="54075.75"/>
    <s v="Yes"/>
    <s v="Business"/>
    <n v="490934.06"/>
    <n v="120"/>
    <n v="10889.28"/>
    <n v="24.19"/>
    <n v="1.77"/>
    <n v="541"/>
    <n v="0.73"/>
    <x v="3"/>
    <x v="349"/>
    <n v="1"/>
  </r>
  <r>
    <s v="U11317"/>
    <x v="44"/>
    <x v="1"/>
    <x v="3"/>
    <x v="1"/>
    <s v="Unemployed"/>
    <n v="7240.47"/>
    <n v="4642.8500000000004"/>
    <n v="46629.38"/>
    <s v="No"/>
    <s v="None"/>
    <n v="0"/>
    <n v="0"/>
    <n v="0"/>
    <n v="0"/>
    <n v="0"/>
    <n v="706"/>
    <n v="0.54"/>
    <x v="1"/>
    <x v="644"/>
    <n v="0"/>
  </r>
  <r>
    <s v="U11348"/>
    <x v="2"/>
    <x v="0"/>
    <x v="3"/>
    <x v="1"/>
    <s v="Unemployed"/>
    <n v="3142.6"/>
    <n v="1500.05"/>
    <n v="33220.86"/>
    <s v="Yes"/>
    <s v="Home"/>
    <n v="151883.16"/>
    <n v="120"/>
    <n v="2251.6799999999998"/>
    <n v="12.82"/>
    <n v="0.72"/>
    <n v="723"/>
    <n v="0.88"/>
    <x v="0"/>
    <x v="645"/>
    <n v="1"/>
  </r>
  <r>
    <s v="U11354"/>
    <x v="36"/>
    <x v="0"/>
    <x v="2"/>
    <x v="2"/>
    <s v="Teacher"/>
    <n v="4480.67"/>
    <n v="3803.13"/>
    <n v="38514.080000000002"/>
    <s v="Yes"/>
    <s v="Education"/>
    <n v="185783.16"/>
    <n v="120"/>
    <n v="2284.61"/>
    <n v="8.31"/>
    <n v="0.51"/>
    <n v="699"/>
    <n v="0.72"/>
    <x v="1"/>
    <x v="646"/>
    <n v="1"/>
  </r>
  <r>
    <s v="U11361"/>
    <x v="1"/>
    <x v="1"/>
    <x v="0"/>
    <x v="1"/>
    <s v="Doctor"/>
    <n v="7126.41"/>
    <n v="5217.84"/>
    <n v="34399.42"/>
    <s v="No"/>
    <s v="None"/>
    <n v="0"/>
    <n v="0"/>
    <n v="0"/>
    <n v="0"/>
    <n v="0"/>
    <n v="787"/>
    <n v="0.4"/>
    <x v="0"/>
    <x v="647"/>
    <n v="0"/>
  </r>
  <r>
    <s v="U11382"/>
    <x v="26"/>
    <x v="1"/>
    <x v="0"/>
    <x v="3"/>
    <s v="Teacher"/>
    <n v="7134.4"/>
    <n v="2640.15"/>
    <n v="57153.89"/>
    <s v="No"/>
    <s v="None"/>
    <n v="0"/>
    <n v="0"/>
    <n v="0"/>
    <n v="0"/>
    <n v="0"/>
    <n v="836"/>
    <n v="0.67"/>
    <x v="2"/>
    <x v="648"/>
    <n v="0"/>
  </r>
  <r>
    <s v="U11392"/>
    <x v="15"/>
    <x v="0"/>
    <x v="2"/>
    <x v="1"/>
    <s v="Student"/>
    <n v="4792.72"/>
    <n v="2147.11"/>
    <n v="5752.56"/>
    <s v="No"/>
    <s v="None"/>
    <n v="0"/>
    <n v="0"/>
    <n v="0"/>
    <n v="0"/>
    <n v="0"/>
    <n v="556"/>
    <n v="0.1"/>
    <x v="2"/>
    <x v="53"/>
    <n v="0"/>
  </r>
  <r>
    <s v="U11394"/>
    <x v="8"/>
    <x v="1"/>
    <x v="3"/>
    <x v="2"/>
    <s v="Driver"/>
    <n v="4827.79"/>
    <n v="3019.99"/>
    <n v="9920.5300000000007"/>
    <s v="No"/>
    <s v="None"/>
    <n v="0"/>
    <n v="0"/>
    <n v="0"/>
    <n v="0"/>
    <n v="0"/>
    <n v="688"/>
    <n v="0.17"/>
    <x v="2"/>
    <x v="649"/>
    <n v="0"/>
  </r>
  <r>
    <s v="U11434"/>
    <x v="9"/>
    <x v="1"/>
    <x v="0"/>
    <x v="1"/>
    <s v="Accountant"/>
    <n v="4711.63"/>
    <n v="1653.03"/>
    <n v="30894.7"/>
    <s v="Yes"/>
    <s v="Business"/>
    <n v="177924.78"/>
    <n v="180"/>
    <n v="2724.41"/>
    <n v="16.89"/>
    <n v="0.57999999999999996"/>
    <n v="639"/>
    <n v="0.55000000000000004"/>
    <x v="3"/>
    <x v="650"/>
    <n v="1"/>
  </r>
  <r>
    <s v="U11449"/>
    <x v="51"/>
    <x v="0"/>
    <x v="3"/>
    <x v="1"/>
    <s v="Student"/>
    <n v="8317.74"/>
    <n v="3000.43"/>
    <n v="16837.150000000001"/>
    <s v="No"/>
    <s v="None"/>
    <n v="0"/>
    <n v="0"/>
    <n v="0"/>
    <n v="0"/>
    <n v="0"/>
    <n v="637"/>
    <n v="0.17"/>
    <x v="3"/>
    <x v="651"/>
    <n v="0"/>
  </r>
  <r>
    <s v="U11463"/>
    <x v="30"/>
    <x v="0"/>
    <x v="0"/>
    <x v="0"/>
    <s v="Teacher"/>
    <n v="2005.69"/>
    <n v="764.91"/>
    <n v="23020.71"/>
    <s v="Yes"/>
    <s v="Car"/>
    <n v="170278.53"/>
    <n v="120"/>
    <n v="1813.57"/>
    <n v="5.09"/>
    <n v="0.9"/>
    <n v="670"/>
    <n v="0.96"/>
    <x v="2"/>
    <x v="228"/>
    <n v="1"/>
  </r>
  <r>
    <s v="U11475"/>
    <x v="37"/>
    <x v="1"/>
    <x v="2"/>
    <x v="1"/>
    <s v="Doctor"/>
    <n v="3931.13"/>
    <n v="3517.89"/>
    <n v="27478.23"/>
    <s v="Yes"/>
    <s v="Car"/>
    <n v="121532.65"/>
    <n v="120"/>
    <n v="3018.72"/>
    <n v="27.92"/>
    <n v="0.77"/>
    <n v="315"/>
    <n v="0.57999999999999996"/>
    <x v="3"/>
    <x v="223"/>
    <n v="1"/>
  </r>
  <r>
    <s v="U11476"/>
    <x v="43"/>
    <x v="1"/>
    <x v="2"/>
    <x v="1"/>
    <s v="Accountant"/>
    <n v="8078.99"/>
    <n v="6020.53"/>
    <n v="62859.75"/>
    <s v="Yes"/>
    <s v="Home"/>
    <n v="130756.12"/>
    <n v="120"/>
    <n v="1743.19"/>
    <n v="10.210000000000001"/>
    <n v="0.22"/>
    <n v="799"/>
    <n v="0.65"/>
    <x v="0"/>
    <x v="652"/>
    <n v="0"/>
  </r>
  <r>
    <s v="U11482"/>
    <x v="10"/>
    <x v="1"/>
    <x v="3"/>
    <x v="1"/>
    <s v="Unemployed"/>
    <n v="2572.92"/>
    <n v="1834.36"/>
    <n v="10221.32"/>
    <s v="Yes"/>
    <s v="Car"/>
    <n v="143515.12"/>
    <n v="60"/>
    <n v="3204.76"/>
    <n v="12.17"/>
    <n v="1.25"/>
    <n v="520"/>
    <n v="0.33"/>
    <x v="1"/>
    <x v="653"/>
    <n v="1"/>
  </r>
  <r>
    <s v="U11484"/>
    <x v="0"/>
    <x v="0"/>
    <x v="3"/>
    <x v="1"/>
    <s v="Accountant"/>
    <n v="1960.36"/>
    <n v="1738.95"/>
    <n v="8826.69"/>
    <s v="Yes"/>
    <s v="Home"/>
    <n v="118570.73"/>
    <n v="60"/>
    <n v="2971.71"/>
    <n v="17.39"/>
    <n v="1.52"/>
    <n v="649"/>
    <n v="0.38"/>
    <x v="3"/>
    <x v="654"/>
    <n v="1"/>
  </r>
  <r>
    <s v="U11489"/>
    <x v="0"/>
    <x v="0"/>
    <x v="2"/>
    <x v="1"/>
    <s v="Manager"/>
    <n v="5021.46"/>
    <n v="4479.13"/>
    <n v="15599.7"/>
    <s v="No"/>
    <s v="None"/>
    <n v="0"/>
    <n v="0"/>
    <n v="0"/>
    <n v="0"/>
    <n v="0"/>
    <n v="454"/>
    <n v="0.26"/>
    <x v="1"/>
    <x v="655"/>
    <n v="0"/>
  </r>
  <r>
    <s v="U11490"/>
    <x v="22"/>
    <x v="2"/>
    <x v="3"/>
    <x v="1"/>
    <s v="Doctor"/>
    <n v="5887.36"/>
    <n v="1887.33"/>
    <n v="11289.05"/>
    <s v="Yes"/>
    <s v="Car"/>
    <n v="316633.87"/>
    <n v="120"/>
    <n v="5197.97"/>
    <n v="15.46"/>
    <n v="0.88"/>
    <n v="321"/>
    <n v="0.16"/>
    <x v="4"/>
    <x v="656"/>
    <n v="1"/>
  </r>
  <r>
    <s v="U11495"/>
    <x v="46"/>
    <x v="1"/>
    <x v="4"/>
    <x v="1"/>
    <s v="Salesperson"/>
    <n v="5280.99"/>
    <n v="2813.89"/>
    <n v="22983.05"/>
    <s v="No"/>
    <s v="None"/>
    <n v="0"/>
    <n v="0"/>
    <n v="0"/>
    <n v="0"/>
    <n v="0"/>
    <n v="364"/>
    <n v="0.36"/>
    <x v="3"/>
    <x v="420"/>
    <n v="0"/>
  </r>
  <r>
    <s v="U11508"/>
    <x v="12"/>
    <x v="1"/>
    <x v="3"/>
    <x v="1"/>
    <s v="Student"/>
    <n v="7315.55"/>
    <n v="3062.89"/>
    <n v="11847.17"/>
    <s v="Yes"/>
    <s v="Car"/>
    <n v="216592.68"/>
    <n v="240"/>
    <n v="5109.3"/>
    <n v="28.2"/>
    <n v="0.7"/>
    <n v="708"/>
    <n v="0.13"/>
    <x v="4"/>
    <x v="657"/>
    <n v="1"/>
  </r>
  <r>
    <s v="U11524"/>
    <x v="5"/>
    <x v="0"/>
    <x v="2"/>
    <x v="2"/>
    <s v="Salesperson"/>
    <n v="6386.98"/>
    <n v="4119.28"/>
    <n v="65392.160000000003"/>
    <s v="Yes"/>
    <s v="Home"/>
    <n v="250238.71"/>
    <n v="240"/>
    <n v="2240.21"/>
    <n v="8.93"/>
    <n v="0.35"/>
    <n v="512"/>
    <n v="0.85"/>
    <x v="4"/>
    <x v="658"/>
    <n v="0"/>
  </r>
  <r>
    <s v="U11542"/>
    <x v="6"/>
    <x v="0"/>
    <x v="3"/>
    <x v="1"/>
    <s v="Teacher"/>
    <n v="3434.87"/>
    <n v="2713.17"/>
    <n v="38236.980000000003"/>
    <s v="No"/>
    <s v="None"/>
    <n v="0"/>
    <n v="0"/>
    <n v="0"/>
    <n v="0"/>
    <n v="0"/>
    <n v="533"/>
    <n v="0.93"/>
    <x v="0"/>
    <x v="659"/>
    <n v="0"/>
  </r>
  <r>
    <s v="U11546"/>
    <x v="35"/>
    <x v="0"/>
    <x v="3"/>
    <x v="1"/>
    <s v="Engineer"/>
    <n v="6324.34"/>
    <n v="3675.3"/>
    <n v="44301.2"/>
    <s v="Yes"/>
    <s v="Education"/>
    <n v="465060.14"/>
    <n v="360"/>
    <n v="10227.65"/>
    <n v="26.38"/>
    <n v="1.62"/>
    <n v="552"/>
    <n v="0.57999999999999996"/>
    <x v="0"/>
    <x v="319"/>
    <n v="1"/>
  </r>
  <r>
    <s v="U11548"/>
    <x v="11"/>
    <x v="0"/>
    <x v="3"/>
    <x v="3"/>
    <s v="Engineer"/>
    <n v="3623.04"/>
    <n v="2829.04"/>
    <n v="5871.44"/>
    <s v="Yes"/>
    <s v="Home"/>
    <n v="97843.6"/>
    <n v="120"/>
    <n v="1921.47"/>
    <n v="20.47"/>
    <n v="0.53"/>
    <n v="318"/>
    <n v="0.14000000000000001"/>
    <x v="3"/>
    <x v="463"/>
    <n v="1"/>
  </r>
  <r>
    <s v="U11549"/>
    <x v="7"/>
    <x v="2"/>
    <x v="0"/>
    <x v="1"/>
    <s v="Unemployed"/>
    <n v="2799.88"/>
    <n v="1190.49"/>
    <n v="32559.84"/>
    <s v="No"/>
    <s v="None"/>
    <n v="0"/>
    <n v="0"/>
    <n v="0"/>
    <n v="0"/>
    <n v="0"/>
    <n v="849"/>
    <n v="0.97"/>
    <x v="0"/>
    <x v="660"/>
    <n v="0"/>
  </r>
  <r>
    <s v="U11559"/>
    <x v="6"/>
    <x v="0"/>
    <x v="3"/>
    <x v="2"/>
    <s v="Driver"/>
    <n v="4985.8500000000004"/>
    <n v="3519.78"/>
    <n v="9187.98"/>
    <s v="No"/>
    <s v="None"/>
    <n v="0"/>
    <n v="0"/>
    <n v="0"/>
    <n v="0"/>
    <n v="0"/>
    <n v="750"/>
    <n v="0.15"/>
    <x v="4"/>
    <x v="661"/>
    <n v="0"/>
  </r>
  <r>
    <s v="U11564"/>
    <x v="38"/>
    <x v="0"/>
    <x v="3"/>
    <x v="1"/>
    <s v="Doctor"/>
    <n v="4210.78"/>
    <n v="1426.35"/>
    <n v="41358.959999999999"/>
    <s v="Yes"/>
    <s v="Business"/>
    <n v="96143.88"/>
    <n v="60"/>
    <n v="2930.62"/>
    <n v="26.91"/>
    <n v="0.7"/>
    <n v="393"/>
    <n v="0.82"/>
    <x v="3"/>
    <x v="662"/>
    <n v="1"/>
  </r>
  <r>
    <s v="U11571"/>
    <x v="47"/>
    <x v="0"/>
    <x v="3"/>
    <x v="1"/>
    <s v="Teacher"/>
    <n v="2680.26"/>
    <n v="2113.23"/>
    <n v="23331.59"/>
    <s v="No"/>
    <s v="None"/>
    <n v="0"/>
    <n v="0"/>
    <n v="0"/>
    <n v="0"/>
    <n v="0"/>
    <n v="562"/>
    <n v="0.73"/>
    <x v="0"/>
    <x v="663"/>
    <n v="0"/>
  </r>
  <r>
    <s v="U11574"/>
    <x v="17"/>
    <x v="2"/>
    <x v="0"/>
    <x v="1"/>
    <s v="Teacher"/>
    <n v="4493.8100000000004"/>
    <n v="2366.81"/>
    <n v="9434.26"/>
    <s v="No"/>
    <s v="None"/>
    <n v="0"/>
    <n v="0"/>
    <n v="0"/>
    <n v="0"/>
    <n v="0"/>
    <n v="653"/>
    <n v="0.17"/>
    <x v="3"/>
    <x v="664"/>
    <n v="0"/>
  </r>
  <r>
    <s v="U11575"/>
    <x v="50"/>
    <x v="1"/>
    <x v="0"/>
    <x v="3"/>
    <s v="Unemployed"/>
    <n v="4995.8100000000004"/>
    <n v="1529.82"/>
    <n v="37093.72"/>
    <s v="No"/>
    <s v="None"/>
    <n v="0"/>
    <n v="0"/>
    <n v="0"/>
    <n v="0"/>
    <n v="0"/>
    <n v="744"/>
    <n v="0.62"/>
    <x v="2"/>
    <x v="665"/>
    <n v="0"/>
  </r>
  <r>
    <s v="U11581"/>
    <x v="38"/>
    <x v="1"/>
    <x v="3"/>
    <x v="1"/>
    <s v="Doctor"/>
    <n v="6686.19"/>
    <n v="5759.94"/>
    <n v="34723.53"/>
    <s v="No"/>
    <s v="None"/>
    <n v="0"/>
    <n v="0"/>
    <n v="0"/>
    <n v="0"/>
    <n v="0"/>
    <n v="426"/>
    <n v="0.43"/>
    <x v="1"/>
    <x v="306"/>
    <n v="0"/>
  </r>
  <r>
    <s v="U11588"/>
    <x v="9"/>
    <x v="2"/>
    <x v="3"/>
    <x v="1"/>
    <s v="Manager"/>
    <n v="5481.91"/>
    <n v="4849.3"/>
    <n v="52768.68"/>
    <s v="No"/>
    <s v="None"/>
    <n v="0"/>
    <n v="0"/>
    <n v="0"/>
    <n v="0"/>
    <n v="0"/>
    <n v="416"/>
    <n v="0.8"/>
    <x v="1"/>
    <x v="126"/>
    <n v="0"/>
  </r>
  <r>
    <s v="U11594"/>
    <x v="6"/>
    <x v="0"/>
    <x v="0"/>
    <x v="2"/>
    <s v="Salesperson"/>
    <n v="500"/>
    <n v="282.05"/>
    <n v="1071.8399999999999"/>
    <s v="No"/>
    <s v="None"/>
    <n v="0"/>
    <n v="0"/>
    <n v="0"/>
    <n v="0"/>
    <n v="0"/>
    <n v="597"/>
    <n v="0.18"/>
    <x v="0"/>
    <x v="666"/>
    <n v="0"/>
  </r>
  <r>
    <s v="U11615"/>
    <x v="35"/>
    <x v="0"/>
    <x v="0"/>
    <x v="1"/>
    <s v="Driver"/>
    <n v="3464.29"/>
    <n v="1622.65"/>
    <n v="20633.38"/>
    <s v="Yes"/>
    <s v="Education"/>
    <n v="4647.25"/>
    <n v="120"/>
    <n v="51.48"/>
    <n v="5.95"/>
    <n v="0.01"/>
    <n v="611"/>
    <n v="0.5"/>
    <x v="4"/>
    <x v="22"/>
    <n v="0"/>
  </r>
  <r>
    <s v="U11684"/>
    <x v="23"/>
    <x v="1"/>
    <x v="3"/>
    <x v="1"/>
    <s v="Manager"/>
    <n v="3729.34"/>
    <n v="2505.59"/>
    <n v="40774.86"/>
    <s v="Yes"/>
    <s v="Business"/>
    <n v="311728.76"/>
    <n v="240"/>
    <n v="3734.61"/>
    <n v="13.37"/>
    <n v="1"/>
    <n v="719"/>
    <n v="0.91"/>
    <x v="3"/>
    <x v="667"/>
    <n v="1"/>
  </r>
  <r>
    <s v="U11696"/>
    <x v="37"/>
    <x v="0"/>
    <x v="0"/>
    <x v="0"/>
    <s v="Engineer"/>
    <n v="500"/>
    <n v="264.67"/>
    <n v="851.94"/>
    <s v="No"/>
    <s v="None"/>
    <n v="0"/>
    <n v="0"/>
    <n v="0"/>
    <n v="0"/>
    <n v="0"/>
    <n v="635"/>
    <n v="0.14000000000000001"/>
    <x v="0"/>
    <x v="668"/>
    <n v="0"/>
  </r>
  <r>
    <s v="U11722"/>
    <x v="2"/>
    <x v="0"/>
    <x v="0"/>
    <x v="1"/>
    <s v="Student"/>
    <n v="7380.25"/>
    <n v="6270.11"/>
    <n v="25430.59"/>
    <s v="No"/>
    <s v="None"/>
    <n v="0"/>
    <n v="0"/>
    <n v="0"/>
    <n v="0"/>
    <n v="0"/>
    <n v="351"/>
    <n v="0.28999999999999998"/>
    <x v="0"/>
    <x v="111"/>
    <n v="0"/>
  </r>
  <r>
    <s v="U11811"/>
    <x v="39"/>
    <x v="0"/>
    <x v="1"/>
    <x v="1"/>
    <s v="Accountant"/>
    <n v="5280.46"/>
    <n v="2309.88"/>
    <n v="46808.9"/>
    <s v="Yes"/>
    <s v="Car"/>
    <n v="73603.899999999994"/>
    <n v="12"/>
    <n v="6554.43"/>
    <n v="12.43"/>
    <n v="1.24"/>
    <n v="532"/>
    <n v="0.74"/>
    <x v="4"/>
    <x v="457"/>
    <n v="1"/>
  </r>
  <r>
    <s v="U11815"/>
    <x v="22"/>
    <x v="1"/>
    <x v="3"/>
    <x v="2"/>
    <s v="Unemployed"/>
    <n v="6380.75"/>
    <n v="5309.41"/>
    <n v="15643.15"/>
    <s v="No"/>
    <s v="None"/>
    <n v="0"/>
    <n v="0"/>
    <n v="0"/>
    <n v="0"/>
    <n v="0"/>
    <n v="306"/>
    <n v="0.2"/>
    <x v="4"/>
    <x v="128"/>
    <n v="0"/>
  </r>
  <r>
    <s v="U11817"/>
    <x v="20"/>
    <x v="1"/>
    <x v="1"/>
    <x v="1"/>
    <s v="Driver"/>
    <n v="4465.8"/>
    <n v="3407.44"/>
    <n v="8663.31"/>
    <s v="No"/>
    <s v="None"/>
    <n v="0"/>
    <n v="0"/>
    <n v="0"/>
    <n v="0"/>
    <n v="0"/>
    <n v="563"/>
    <n v="0.16"/>
    <x v="2"/>
    <x v="669"/>
    <n v="0"/>
  </r>
  <r>
    <s v="U11821"/>
    <x v="12"/>
    <x v="1"/>
    <x v="2"/>
    <x v="1"/>
    <s v="Teacher"/>
    <n v="5070.6499999999996"/>
    <n v="2568.1799999999998"/>
    <n v="25628.19"/>
    <s v="Yes"/>
    <s v="Car"/>
    <n v="157623.6"/>
    <n v="60"/>
    <n v="2967.34"/>
    <n v="4.9000000000000004"/>
    <n v="0.59"/>
    <n v="302"/>
    <n v="0.42"/>
    <x v="0"/>
    <x v="670"/>
    <n v="1"/>
  </r>
  <r>
    <s v="U11827"/>
    <x v="33"/>
    <x v="0"/>
    <x v="0"/>
    <x v="3"/>
    <s v="Manager"/>
    <n v="500"/>
    <n v="314.22000000000003"/>
    <n v="2774.43"/>
    <s v="No"/>
    <s v="None"/>
    <n v="0"/>
    <n v="0"/>
    <n v="0"/>
    <n v="0"/>
    <n v="0"/>
    <n v="673"/>
    <n v="0.46"/>
    <x v="0"/>
    <x v="310"/>
    <n v="0"/>
  </r>
  <r>
    <s v="U11831"/>
    <x v="41"/>
    <x v="0"/>
    <x v="3"/>
    <x v="2"/>
    <s v="Doctor"/>
    <n v="3462.23"/>
    <n v="1499.69"/>
    <n v="32162.9"/>
    <s v="Yes"/>
    <s v="Car"/>
    <n v="177031.11"/>
    <n v="60"/>
    <n v="4447.41"/>
    <n v="17.5"/>
    <n v="1.28"/>
    <n v="347"/>
    <n v="0.77"/>
    <x v="1"/>
    <x v="58"/>
    <n v="1"/>
  </r>
  <r>
    <s v="U11848"/>
    <x v="46"/>
    <x v="1"/>
    <x v="2"/>
    <x v="1"/>
    <s v="Salesperson"/>
    <n v="5572.1"/>
    <n v="2329.48"/>
    <n v="17159.580000000002"/>
    <s v="No"/>
    <s v="None"/>
    <n v="0"/>
    <n v="0"/>
    <n v="0"/>
    <n v="0"/>
    <n v="0"/>
    <n v="707"/>
    <n v="0.26"/>
    <x v="1"/>
    <x v="671"/>
    <n v="0"/>
  </r>
  <r>
    <s v="U11864"/>
    <x v="10"/>
    <x v="0"/>
    <x v="1"/>
    <x v="2"/>
    <s v="Manager"/>
    <n v="3846.07"/>
    <n v="1755.6"/>
    <n v="9913.94"/>
    <s v="No"/>
    <s v="None"/>
    <n v="0"/>
    <n v="0"/>
    <n v="0"/>
    <n v="0"/>
    <n v="0"/>
    <n v="342"/>
    <n v="0.21"/>
    <x v="4"/>
    <x v="672"/>
    <n v="0"/>
  </r>
  <r>
    <s v="U11914"/>
    <x v="23"/>
    <x v="1"/>
    <x v="1"/>
    <x v="1"/>
    <s v="Accountant"/>
    <n v="5915.4"/>
    <n v="2112.15"/>
    <n v="61446.89"/>
    <s v="No"/>
    <s v="None"/>
    <n v="0"/>
    <n v="0"/>
    <n v="0"/>
    <n v="0"/>
    <n v="0"/>
    <n v="312"/>
    <n v="0.87"/>
    <x v="4"/>
    <x v="673"/>
    <n v="0"/>
  </r>
  <r>
    <s v="U11936"/>
    <x v="13"/>
    <x v="1"/>
    <x v="2"/>
    <x v="1"/>
    <s v="Engineer"/>
    <n v="4817.34"/>
    <n v="3087.83"/>
    <n v="22293.18"/>
    <s v="Yes"/>
    <s v="Business"/>
    <n v="442510.19"/>
    <n v="180"/>
    <n v="5242.7299999999996"/>
    <n v="11.76"/>
    <n v="1.0900000000000001"/>
    <n v="562"/>
    <n v="0.39"/>
    <x v="3"/>
    <x v="17"/>
    <n v="1"/>
  </r>
  <r>
    <s v="U11952"/>
    <x v="38"/>
    <x v="0"/>
    <x v="3"/>
    <x v="0"/>
    <s v="Accountant"/>
    <n v="7463.15"/>
    <n v="5843.56"/>
    <n v="24516.7"/>
    <s v="Yes"/>
    <s v="Education"/>
    <n v="294279.56"/>
    <n v="24"/>
    <n v="13427.89"/>
    <n v="8.8800000000000008"/>
    <n v="1.8"/>
    <n v="611"/>
    <n v="0.27"/>
    <x v="2"/>
    <x v="674"/>
    <n v="1"/>
  </r>
  <r>
    <s v="U11961"/>
    <x v="1"/>
    <x v="1"/>
    <x v="2"/>
    <x v="1"/>
    <s v="Driver"/>
    <n v="4333.3"/>
    <n v="1319.89"/>
    <n v="29125.66"/>
    <s v="Yes"/>
    <s v="Car"/>
    <n v="113214.61"/>
    <n v="240"/>
    <n v="1130.31"/>
    <n v="10.5"/>
    <n v="0.26"/>
    <n v="801"/>
    <n v="0.56000000000000005"/>
    <x v="3"/>
    <x v="472"/>
    <n v="0"/>
  </r>
  <r>
    <s v="U11965"/>
    <x v="4"/>
    <x v="1"/>
    <x v="4"/>
    <x v="1"/>
    <s v="Driver"/>
    <n v="3644.23"/>
    <n v="2991.52"/>
    <n v="21086.75"/>
    <s v="No"/>
    <s v="None"/>
    <n v="0"/>
    <n v="0"/>
    <n v="0"/>
    <n v="0"/>
    <n v="0"/>
    <n v="766"/>
    <n v="0.48"/>
    <x v="0"/>
    <x v="675"/>
    <n v="0"/>
  </r>
  <r>
    <s v="U11975"/>
    <x v="47"/>
    <x v="0"/>
    <x v="3"/>
    <x v="1"/>
    <s v="Teacher"/>
    <n v="5284.63"/>
    <n v="4388.1499999999996"/>
    <n v="45313.03"/>
    <s v="No"/>
    <s v="None"/>
    <n v="0"/>
    <n v="0"/>
    <n v="0"/>
    <n v="0"/>
    <n v="0"/>
    <n v="770"/>
    <n v="0.71"/>
    <x v="1"/>
    <x v="327"/>
    <n v="0"/>
  </r>
  <r>
    <s v="U11985"/>
    <x v="31"/>
    <x v="2"/>
    <x v="3"/>
    <x v="1"/>
    <s v="Unemployed"/>
    <n v="500"/>
    <n v="274"/>
    <n v="5879.5"/>
    <s v="No"/>
    <s v="None"/>
    <n v="0"/>
    <n v="0"/>
    <n v="0"/>
    <n v="0"/>
    <n v="0"/>
    <n v="520"/>
    <n v="0.98"/>
    <x v="3"/>
    <x v="159"/>
    <n v="0"/>
  </r>
  <r>
    <s v="U11987"/>
    <x v="16"/>
    <x v="1"/>
    <x v="3"/>
    <x v="2"/>
    <s v="Unemployed"/>
    <n v="7365.17"/>
    <n v="4984.21"/>
    <n v="32756.14"/>
    <s v="No"/>
    <s v="None"/>
    <n v="0"/>
    <n v="0"/>
    <n v="0"/>
    <n v="0"/>
    <n v="0"/>
    <n v="622"/>
    <n v="0.37"/>
    <x v="3"/>
    <x v="676"/>
    <n v="0"/>
  </r>
  <r>
    <s v="U11988"/>
    <x v="17"/>
    <x v="0"/>
    <x v="2"/>
    <x v="1"/>
    <s v="Manager"/>
    <n v="6777.26"/>
    <n v="5890.1"/>
    <n v="48475.19"/>
    <s v="No"/>
    <s v="None"/>
    <n v="0"/>
    <n v="0"/>
    <n v="0"/>
    <n v="0"/>
    <n v="0"/>
    <n v="513"/>
    <n v="0.6"/>
    <x v="4"/>
    <x v="521"/>
    <n v="0"/>
  </r>
  <r>
    <s v="U12009"/>
    <x v="1"/>
    <x v="1"/>
    <x v="3"/>
    <x v="1"/>
    <s v="Manager"/>
    <n v="4124.17"/>
    <n v="2751.62"/>
    <n v="15996.83"/>
    <s v="No"/>
    <s v="None"/>
    <n v="0"/>
    <n v="0"/>
    <n v="0"/>
    <n v="0"/>
    <n v="0"/>
    <n v="445"/>
    <n v="0.32"/>
    <x v="2"/>
    <x v="516"/>
    <n v="0"/>
  </r>
  <r>
    <s v="U12016"/>
    <x v="31"/>
    <x v="1"/>
    <x v="0"/>
    <x v="1"/>
    <s v="Doctor"/>
    <n v="3103.48"/>
    <n v="1604.17"/>
    <n v="12373.47"/>
    <s v="Yes"/>
    <s v="Business"/>
    <n v="42540.58"/>
    <n v="24"/>
    <n v="2205.25"/>
    <n v="21.92"/>
    <n v="0.71"/>
    <n v="588"/>
    <n v="0.33"/>
    <x v="3"/>
    <x v="71"/>
    <n v="1"/>
  </r>
  <r>
    <s v="U12025"/>
    <x v="25"/>
    <x v="0"/>
    <x v="1"/>
    <x v="1"/>
    <s v="Unemployed"/>
    <n v="6428.89"/>
    <n v="3891.34"/>
    <n v="52574.19"/>
    <s v="No"/>
    <s v="None"/>
    <n v="0"/>
    <n v="0"/>
    <n v="0"/>
    <n v="0"/>
    <n v="0"/>
    <n v="486"/>
    <n v="0.68"/>
    <x v="4"/>
    <x v="397"/>
    <n v="0"/>
  </r>
  <r>
    <s v="U12051"/>
    <x v="42"/>
    <x v="0"/>
    <x v="2"/>
    <x v="1"/>
    <s v="Salesperson"/>
    <n v="4528.54"/>
    <n v="2839.85"/>
    <n v="21063.97"/>
    <s v="Yes"/>
    <s v="Car"/>
    <n v="408967.53"/>
    <n v="300"/>
    <n v="3246.4"/>
    <n v="8.33"/>
    <n v="0.72"/>
    <n v="318"/>
    <n v="0.39"/>
    <x v="4"/>
    <x v="677"/>
    <n v="1"/>
  </r>
  <r>
    <s v="U12055"/>
    <x v="20"/>
    <x v="1"/>
    <x v="2"/>
    <x v="0"/>
    <s v="Driver"/>
    <n v="5399.2"/>
    <n v="1841.54"/>
    <n v="14778.56"/>
    <s v="No"/>
    <s v="None"/>
    <n v="0"/>
    <n v="0"/>
    <n v="0"/>
    <n v="0"/>
    <n v="0"/>
    <n v="774"/>
    <n v="0.23"/>
    <x v="4"/>
    <x v="161"/>
    <n v="0"/>
  </r>
  <r>
    <s v="U12070"/>
    <x v="16"/>
    <x v="0"/>
    <x v="0"/>
    <x v="1"/>
    <s v="Driver"/>
    <n v="3096.33"/>
    <n v="1697.95"/>
    <n v="7181.01"/>
    <s v="No"/>
    <s v="None"/>
    <n v="0"/>
    <n v="0"/>
    <n v="0"/>
    <n v="0"/>
    <n v="0"/>
    <n v="737"/>
    <n v="0.19"/>
    <x v="0"/>
    <x v="678"/>
    <n v="0"/>
  </r>
  <r>
    <s v="U12087"/>
    <x v="27"/>
    <x v="1"/>
    <x v="3"/>
    <x v="1"/>
    <s v="Accountant"/>
    <n v="5461.83"/>
    <n v="4821.63"/>
    <n v="22049.34"/>
    <s v="Yes"/>
    <s v="Home"/>
    <n v="70222.16"/>
    <n v="120"/>
    <n v="1758.51"/>
    <n v="28.2"/>
    <n v="0.32"/>
    <n v="388"/>
    <n v="0.34"/>
    <x v="4"/>
    <x v="679"/>
    <n v="0"/>
  </r>
  <r>
    <s v="U12088"/>
    <x v="37"/>
    <x v="0"/>
    <x v="2"/>
    <x v="3"/>
    <s v="Teacher"/>
    <n v="6682.52"/>
    <n v="3423.43"/>
    <n v="72996.81"/>
    <s v="No"/>
    <s v="None"/>
    <n v="0"/>
    <n v="0"/>
    <n v="0"/>
    <n v="0"/>
    <n v="0"/>
    <n v="587"/>
    <n v="0.91"/>
    <x v="3"/>
    <x v="680"/>
    <n v="0"/>
  </r>
  <r>
    <s v="U12134"/>
    <x v="51"/>
    <x v="1"/>
    <x v="3"/>
    <x v="1"/>
    <s v="Salesperson"/>
    <n v="5577.02"/>
    <n v="3757.58"/>
    <n v="42232.36"/>
    <s v="Yes"/>
    <s v="Car"/>
    <n v="6676.72"/>
    <n v="12"/>
    <n v="584.41999999999996"/>
    <n v="9.17"/>
    <n v="0.1"/>
    <n v="500"/>
    <n v="0.63"/>
    <x v="4"/>
    <x v="650"/>
    <n v="0"/>
  </r>
  <r>
    <s v="U12152"/>
    <x v="10"/>
    <x v="1"/>
    <x v="2"/>
    <x v="2"/>
    <s v="Engineer"/>
    <n v="5560.48"/>
    <n v="3111.8"/>
    <n v="38871.14"/>
    <s v="No"/>
    <s v="None"/>
    <n v="0"/>
    <n v="0"/>
    <n v="0"/>
    <n v="0"/>
    <n v="0"/>
    <n v="743"/>
    <n v="0.57999999999999996"/>
    <x v="3"/>
    <x v="681"/>
    <n v="0"/>
  </r>
  <r>
    <s v="U12174"/>
    <x v="15"/>
    <x v="1"/>
    <x v="1"/>
    <x v="2"/>
    <s v="Student"/>
    <n v="500"/>
    <n v="310.01"/>
    <n v="4230.79"/>
    <s v="No"/>
    <s v="None"/>
    <n v="0"/>
    <n v="0"/>
    <n v="0"/>
    <n v="0"/>
    <n v="0"/>
    <n v="692"/>
    <n v="0.71"/>
    <x v="4"/>
    <x v="578"/>
    <n v="0"/>
  </r>
  <r>
    <s v="U12194"/>
    <x v="8"/>
    <x v="0"/>
    <x v="2"/>
    <x v="1"/>
    <s v="Student"/>
    <n v="8169.5"/>
    <n v="4055.41"/>
    <n v="27403.49"/>
    <s v="No"/>
    <s v="None"/>
    <n v="0"/>
    <n v="0"/>
    <n v="0"/>
    <n v="0"/>
    <n v="0"/>
    <n v="405"/>
    <n v="0.28000000000000003"/>
    <x v="4"/>
    <x v="369"/>
    <n v="0"/>
  </r>
  <r>
    <s v="U12203"/>
    <x v="4"/>
    <x v="1"/>
    <x v="3"/>
    <x v="1"/>
    <s v="Teacher"/>
    <n v="2420.83"/>
    <n v="1278.9100000000001"/>
    <n v="20571.3"/>
    <s v="No"/>
    <s v="None"/>
    <n v="0"/>
    <n v="0"/>
    <n v="0"/>
    <n v="0"/>
    <n v="0"/>
    <n v="733"/>
    <n v="0.71"/>
    <x v="4"/>
    <x v="0"/>
    <n v="0"/>
  </r>
  <r>
    <s v="U12218"/>
    <x v="7"/>
    <x v="1"/>
    <x v="2"/>
    <x v="1"/>
    <s v="Driver"/>
    <n v="3420.4"/>
    <n v="1995.84"/>
    <n v="31876.03"/>
    <s v="No"/>
    <s v="None"/>
    <n v="0"/>
    <n v="0"/>
    <n v="0"/>
    <n v="0"/>
    <n v="0"/>
    <n v="336"/>
    <n v="0.78"/>
    <x v="1"/>
    <x v="682"/>
    <n v="0"/>
  </r>
  <r>
    <s v="U12225"/>
    <x v="20"/>
    <x v="1"/>
    <x v="3"/>
    <x v="1"/>
    <s v="Student"/>
    <n v="3388.21"/>
    <n v="1027.6600000000001"/>
    <n v="21657.03"/>
    <s v="No"/>
    <s v="None"/>
    <n v="0"/>
    <n v="0"/>
    <n v="0"/>
    <n v="0"/>
    <n v="0"/>
    <n v="729"/>
    <n v="0.53"/>
    <x v="2"/>
    <x v="683"/>
    <n v="0"/>
  </r>
  <r>
    <s v="U12235"/>
    <x v="31"/>
    <x v="1"/>
    <x v="3"/>
    <x v="3"/>
    <s v="Accountant"/>
    <n v="6882.51"/>
    <n v="4943"/>
    <n v="68012.479999999996"/>
    <s v="No"/>
    <s v="None"/>
    <n v="0"/>
    <n v="0"/>
    <n v="0"/>
    <n v="0"/>
    <n v="0"/>
    <n v="397"/>
    <n v="0.82"/>
    <x v="0"/>
    <x v="684"/>
    <n v="0"/>
  </r>
  <r>
    <s v="U12254"/>
    <x v="13"/>
    <x v="0"/>
    <x v="0"/>
    <x v="1"/>
    <s v="Driver"/>
    <n v="5832.75"/>
    <n v="3378.24"/>
    <n v="42638.17"/>
    <s v="Yes"/>
    <s v="Education"/>
    <n v="47142.559999999998"/>
    <n v="36"/>
    <n v="1792.6"/>
    <n v="21.68"/>
    <n v="0.31"/>
    <n v="758"/>
    <n v="0.61"/>
    <x v="4"/>
    <x v="360"/>
    <n v="0"/>
  </r>
  <r>
    <s v="U12271"/>
    <x v="36"/>
    <x v="1"/>
    <x v="1"/>
    <x v="1"/>
    <s v="Driver"/>
    <n v="5897.34"/>
    <n v="3982.54"/>
    <n v="41733.11"/>
    <s v="No"/>
    <s v="None"/>
    <n v="0"/>
    <n v="0"/>
    <n v="0"/>
    <n v="0"/>
    <n v="0"/>
    <n v="493"/>
    <n v="0.59"/>
    <x v="3"/>
    <x v="91"/>
    <n v="0"/>
  </r>
  <r>
    <s v="U12276"/>
    <x v="37"/>
    <x v="0"/>
    <x v="3"/>
    <x v="1"/>
    <s v="Driver"/>
    <n v="6980.36"/>
    <n v="5254.97"/>
    <n v="80937.25"/>
    <s v="No"/>
    <s v="None"/>
    <n v="0"/>
    <n v="0"/>
    <n v="0"/>
    <n v="0"/>
    <n v="0"/>
    <n v="671"/>
    <n v="0.97"/>
    <x v="1"/>
    <x v="685"/>
    <n v="0"/>
  </r>
  <r>
    <s v="U12277"/>
    <x v="40"/>
    <x v="2"/>
    <x v="2"/>
    <x v="1"/>
    <s v="Manager"/>
    <n v="1938.92"/>
    <n v="1203.82"/>
    <n v="3951.74"/>
    <s v="No"/>
    <s v="None"/>
    <n v="0"/>
    <n v="0"/>
    <n v="0"/>
    <n v="0"/>
    <n v="0"/>
    <n v="565"/>
    <n v="0.17"/>
    <x v="1"/>
    <x v="152"/>
    <n v="0"/>
  </r>
  <r>
    <s v="U12310"/>
    <x v="10"/>
    <x v="0"/>
    <x v="3"/>
    <x v="1"/>
    <s v="Driver"/>
    <n v="6426.98"/>
    <n v="2112.7600000000002"/>
    <n v="52699.360000000001"/>
    <s v="No"/>
    <s v="None"/>
    <n v="0"/>
    <n v="0"/>
    <n v="0"/>
    <n v="0"/>
    <n v="0"/>
    <n v="316"/>
    <n v="0.68"/>
    <x v="1"/>
    <x v="38"/>
    <n v="0"/>
  </r>
  <r>
    <s v="U12319"/>
    <x v="3"/>
    <x v="1"/>
    <x v="3"/>
    <x v="1"/>
    <s v="Doctor"/>
    <n v="3623.46"/>
    <n v="2672.92"/>
    <n v="23271.29"/>
    <s v="No"/>
    <s v="None"/>
    <n v="0"/>
    <n v="0"/>
    <n v="0"/>
    <n v="0"/>
    <n v="0"/>
    <n v="842"/>
    <n v="0.54"/>
    <x v="0"/>
    <x v="686"/>
    <n v="0"/>
  </r>
  <r>
    <s v="U12325"/>
    <x v="40"/>
    <x v="0"/>
    <x v="3"/>
    <x v="0"/>
    <s v="Student"/>
    <n v="2078.86"/>
    <n v="726.32"/>
    <n v="8621.59"/>
    <s v="No"/>
    <s v="None"/>
    <n v="0"/>
    <n v="0"/>
    <n v="0"/>
    <n v="0"/>
    <n v="0"/>
    <n v="559"/>
    <n v="0.35"/>
    <x v="4"/>
    <x v="44"/>
    <n v="0"/>
  </r>
  <r>
    <s v="U12340"/>
    <x v="20"/>
    <x v="0"/>
    <x v="0"/>
    <x v="1"/>
    <s v="Manager"/>
    <n v="3907.45"/>
    <n v="3375.28"/>
    <n v="21598.880000000001"/>
    <s v="No"/>
    <s v="None"/>
    <n v="0"/>
    <n v="0"/>
    <n v="0"/>
    <n v="0"/>
    <n v="0"/>
    <n v="473"/>
    <n v="0.46"/>
    <x v="4"/>
    <x v="569"/>
    <n v="0"/>
  </r>
  <r>
    <s v="U12346"/>
    <x v="37"/>
    <x v="1"/>
    <x v="4"/>
    <x v="1"/>
    <s v="Unemployed"/>
    <n v="7087.79"/>
    <n v="2678.09"/>
    <n v="8876.64"/>
    <s v="No"/>
    <s v="None"/>
    <n v="0"/>
    <n v="0"/>
    <n v="0"/>
    <n v="0"/>
    <n v="0"/>
    <n v="428"/>
    <n v="0.1"/>
    <x v="2"/>
    <x v="87"/>
    <n v="0"/>
  </r>
  <r>
    <s v="U12355"/>
    <x v="36"/>
    <x v="0"/>
    <x v="1"/>
    <x v="2"/>
    <s v="Unemployed"/>
    <n v="5847.63"/>
    <n v="3833.74"/>
    <n v="9175.3799999999992"/>
    <s v="Yes"/>
    <s v="Business"/>
    <n v="72121.56"/>
    <n v="60"/>
    <n v="2035.63"/>
    <n v="23.06"/>
    <n v="0.35"/>
    <n v="374"/>
    <n v="0.13"/>
    <x v="1"/>
    <x v="203"/>
    <n v="0"/>
  </r>
  <r>
    <s v="U12381"/>
    <x v="40"/>
    <x v="0"/>
    <x v="2"/>
    <x v="1"/>
    <s v="Driver"/>
    <n v="5164.59"/>
    <n v="1654.16"/>
    <n v="11225.25"/>
    <s v="Yes"/>
    <s v="Education"/>
    <n v="102453.16"/>
    <n v="120"/>
    <n v="1233.32"/>
    <n v="7.82"/>
    <n v="0.24"/>
    <n v="589"/>
    <n v="0.18"/>
    <x v="1"/>
    <x v="526"/>
    <n v="0"/>
  </r>
  <r>
    <s v="U12402"/>
    <x v="44"/>
    <x v="1"/>
    <x v="3"/>
    <x v="3"/>
    <s v="Driver"/>
    <n v="3512.02"/>
    <n v="1988.24"/>
    <n v="17435.45"/>
    <s v="Yes"/>
    <s v="Education"/>
    <n v="198949.33"/>
    <n v="300"/>
    <n v="1436.74"/>
    <n v="7.24"/>
    <n v="0.41"/>
    <n v="664"/>
    <n v="0.41"/>
    <x v="1"/>
    <x v="687"/>
    <n v="1"/>
  </r>
  <r>
    <s v="U12418"/>
    <x v="45"/>
    <x v="0"/>
    <x v="3"/>
    <x v="1"/>
    <s v="Accountant"/>
    <n v="6465.21"/>
    <n v="2977.31"/>
    <n v="49781.19"/>
    <s v="Yes"/>
    <s v="Education"/>
    <n v="149563.04"/>
    <n v="360"/>
    <n v="3389.91"/>
    <n v="27.19"/>
    <n v="0.52"/>
    <n v="810"/>
    <n v="0.64"/>
    <x v="2"/>
    <x v="670"/>
    <n v="1"/>
  </r>
  <r>
    <s v="U12423"/>
    <x v="46"/>
    <x v="1"/>
    <x v="2"/>
    <x v="0"/>
    <s v="Accountant"/>
    <n v="1556.74"/>
    <n v="984.14"/>
    <n v="6407.07"/>
    <s v="No"/>
    <s v="None"/>
    <n v="0"/>
    <n v="0"/>
    <n v="0"/>
    <n v="0"/>
    <n v="0"/>
    <n v="692"/>
    <n v="0.34"/>
    <x v="2"/>
    <x v="602"/>
    <n v="0"/>
  </r>
  <r>
    <s v="U12424"/>
    <x v="44"/>
    <x v="0"/>
    <x v="2"/>
    <x v="0"/>
    <s v="Manager"/>
    <n v="7696.18"/>
    <n v="5041.7"/>
    <n v="87932.03"/>
    <s v="No"/>
    <s v="None"/>
    <n v="0"/>
    <n v="0"/>
    <n v="0"/>
    <n v="0"/>
    <n v="0"/>
    <n v="604"/>
    <n v="0.95"/>
    <x v="3"/>
    <x v="301"/>
    <n v="0"/>
  </r>
  <r>
    <s v="U12427"/>
    <x v="47"/>
    <x v="2"/>
    <x v="1"/>
    <x v="3"/>
    <s v="Salesperson"/>
    <n v="5286.02"/>
    <n v="2227.9299999999998"/>
    <n v="37282.07"/>
    <s v="No"/>
    <s v="None"/>
    <n v="0"/>
    <n v="0"/>
    <n v="0"/>
    <n v="0"/>
    <n v="0"/>
    <n v="392"/>
    <n v="0.59"/>
    <x v="0"/>
    <x v="688"/>
    <n v="0"/>
  </r>
  <r>
    <s v="U12433"/>
    <x v="49"/>
    <x v="1"/>
    <x v="4"/>
    <x v="2"/>
    <s v="Unemployed"/>
    <n v="3023.88"/>
    <n v="2463.0100000000002"/>
    <n v="32623.03"/>
    <s v="No"/>
    <s v="None"/>
    <n v="0"/>
    <n v="0"/>
    <n v="0"/>
    <n v="0"/>
    <n v="0"/>
    <n v="534"/>
    <n v="0.9"/>
    <x v="3"/>
    <x v="689"/>
    <n v="0"/>
  </r>
  <r>
    <s v="U12440"/>
    <x v="26"/>
    <x v="0"/>
    <x v="2"/>
    <x v="1"/>
    <s v="Salesperson"/>
    <n v="5863.91"/>
    <n v="5213.8500000000004"/>
    <n v="10846.46"/>
    <s v="No"/>
    <s v="None"/>
    <n v="0"/>
    <n v="0"/>
    <n v="0"/>
    <n v="0"/>
    <n v="0"/>
    <n v="511"/>
    <n v="0.15"/>
    <x v="1"/>
    <x v="690"/>
    <n v="0"/>
  </r>
  <r>
    <s v="U12445"/>
    <x v="16"/>
    <x v="0"/>
    <x v="3"/>
    <x v="2"/>
    <s v="Engineer"/>
    <n v="4306.13"/>
    <n v="1302.42"/>
    <n v="10789.92"/>
    <s v="Yes"/>
    <s v="Education"/>
    <n v="157498.07"/>
    <n v="300"/>
    <n v="3436.18"/>
    <n v="26.14"/>
    <n v="0.8"/>
    <n v="379"/>
    <n v="0.21"/>
    <x v="3"/>
    <x v="691"/>
    <n v="1"/>
  </r>
  <r>
    <s v="U12450"/>
    <x v="6"/>
    <x v="1"/>
    <x v="0"/>
    <x v="3"/>
    <s v="Doctor"/>
    <n v="4112.75"/>
    <n v="2980.24"/>
    <n v="33618.54"/>
    <s v="No"/>
    <s v="None"/>
    <n v="0"/>
    <n v="0"/>
    <n v="0"/>
    <n v="0"/>
    <n v="0"/>
    <n v="703"/>
    <n v="0.68"/>
    <x v="2"/>
    <x v="692"/>
    <n v="0"/>
  </r>
  <r>
    <s v="U12452"/>
    <x v="32"/>
    <x v="1"/>
    <x v="2"/>
    <x v="1"/>
    <s v="Unemployed"/>
    <n v="3516.76"/>
    <n v="1432.22"/>
    <n v="19249.78"/>
    <s v="No"/>
    <s v="None"/>
    <n v="0"/>
    <n v="0"/>
    <n v="0"/>
    <n v="0"/>
    <n v="0"/>
    <n v="401"/>
    <n v="0.46"/>
    <x v="0"/>
    <x v="350"/>
    <n v="0"/>
  </r>
  <r>
    <s v="U12482"/>
    <x v="45"/>
    <x v="2"/>
    <x v="3"/>
    <x v="2"/>
    <s v="Engineer"/>
    <n v="5918.75"/>
    <n v="4073.25"/>
    <n v="8975.25"/>
    <s v="Yes"/>
    <s v="Car"/>
    <n v="223058.23"/>
    <n v="120"/>
    <n v="3073.89"/>
    <n v="11.01"/>
    <n v="0.52"/>
    <n v="606"/>
    <n v="0.13"/>
    <x v="3"/>
    <x v="693"/>
    <n v="1"/>
  </r>
  <r>
    <s v="U12490"/>
    <x v="22"/>
    <x v="0"/>
    <x v="1"/>
    <x v="1"/>
    <s v="Salesperson"/>
    <n v="9078.35"/>
    <n v="7188.58"/>
    <n v="51335.93"/>
    <s v="No"/>
    <s v="None"/>
    <n v="0"/>
    <n v="0"/>
    <n v="0"/>
    <n v="0"/>
    <n v="0"/>
    <n v="704"/>
    <n v="0.47"/>
    <x v="4"/>
    <x v="11"/>
    <n v="0"/>
  </r>
  <r>
    <s v="U12501"/>
    <x v="26"/>
    <x v="0"/>
    <x v="0"/>
    <x v="1"/>
    <s v="Unemployed"/>
    <n v="3331.51"/>
    <n v="2001.04"/>
    <n v="36315.14"/>
    <s v="No"/>
    <s v="None"/>
    <n v="0"/>
    <n v="0"/>
    <n v="0"/>
    <n v="0"/>
    <n v="0"/>
    <n v="601"/>
    <n v="0.91"/>
    <x v="4"/>
    <x v="694"/>
    <n v="0"/>
  </r>
  <r>
    <s v="U12502"/>
    <x v="18"/>
    <x v="0"/>
    <x v="2"/>
    <x v="1"/>
    <s v="Accountant"/>
    <n v="5100.12"/>
    <n v="4140.6000000000004"/>
    <n v="50758.79"/>
    <s v="No"/>
    <s v="None"/>
    <n v="0"/>
    <n v="0"/>
    <n v="0"/>
    <n v="0"/>
    <n v="0"/>
    <n v="582"/>
    <n v="0.83"/>
    <x v="2"/>
    <x v="275"/>
    <n v="0"/>
  </r>
  <r>
    <s v="U12528"/>
    <x v="49"/>
    <x v="0"/>
    <x v="3"/>
    <x v="1"/>
    <s v="Salesperson"/>
    <n v="2650.91"/>
    <n v="1022.98"/>
    <n v="9795.0499999999993"/>
    <s v="Yes"/>
    <s v="Business"/>
    <n v="171974.54"/>
    <n v="240"/>
    <n v="1386.47"/>
    <n v="7.51"/>
    <n v="0.52"/>
    <n v="798"/>
    <n v="0.31"/>
    <x v="2"/>
    <x v="509"/>
    <n v="1"/>
  </r>
  <r>
    <s v="U12533"/>
    <x v="33"/>
    <x v="0"/>
    <x v="3"/>
    <x v="1"/>
    <s v="Unemployed"/>
    <n v="4655.29"/>
    <n v="3218.34"/>
    <n v="42363.58"/>
    <s v="No"/>
    <s v="None"/>
    <n v="0"/>
    <n v="0"/>
    <n v="0"/>
    <n v="0"/>
    <n v="0"/>
    <n v="766"/>
    <n v="0.76"/>
    <x v="3"/>
    <x v="695"/>
    <n v="0"/>
  </r>
  <r>
    <s v="U12542"/>
    <x v="49"/>
    <x v="1"/>
    <x v="0"/>
    <x v="3"/>
    <s v="Manager"/>
    <n v="5323.62"/>
    <n v="2643.83"/>
    <n v="15922.87"/>
    <s v="Yes"/>
    <s v="Car"/>
    <n v="282545.19"/>
    <n v="120"/>
    <n v="4720.68"/>
    <n v="15.93"/>
    <n v="0.89"/>
    <n v="817"/>
    <n v="0.25"/>
    <x v="3"/>
    <x v="696"/>
    <n v="1"/>
  </r>
  <r>
    <s v="U12588"/>
    <x v="3"/>
    <x v="0"/>
    <x v="2"/>
    <x v="1"/>
    <s v="Teacher"/>
    <n v="4882.17"/>
    <n v="3758.27"/>
    <n v="55907.81"/>
    <s v="Yes"/>
    <s v="Education"/>
    <n v="146266.98000000001"/>
    <n v="60"/>
    <n v="4148.58"/>
    <n v="23.3"/>
    <n v="0.85"/>
    <n v="772"/>
    <n v="0.95"/>
    <x v="1"/>
    <x v="697"/>
    <n v="1"/>
  </r>
  <r>
    <s v="U12612"/>
    <x v="22"/>
    <x v="0"/>
    <x v="1"/>
    <x v="1"/>
    <s v="Manager"/>
    <n v="5383.79"/>
    <n v="3251.52"/>
    <n v="55831.16"/>
    <s v="Yes"/>
    <s v="Business"/>
    <n v="173652.76"/>
    <n v="120"/>
    <n v="3611.84"/>
    <n v="22.19"/>
    <n v="0.67"/>
    <n v="753"/>
    <n v="0.86"/>
    <x v="4"/>
    <x v="563"/>
    <n v="1"/>
  </r>
  <r>
    <s v="U12625"/>
    <x v="44"/>
    <x v="0"/>
    <x v="3"/>
    <x v="0"/>
    <s v="Manager"/>
    <n v="5578.96"/>
    <n v="2231.6799999999998"/>
    <n v="38219.74"/>
    <s v="No"/>
    <s v="None"/>
    <n v="0"/>
    <n v="0"/>
    <n v="0"/>
    <n v="0"/>
    <n v="0"/>
    <n v="799"/>
    <n v="0.56999999999999995"/>
    <x v="4"/>
    <x v="698"/>
    <n v="0"/>
  </r>
  <r>
    <s v="U12629"/>
    <x v="27"/>
    <x v="0"/>
    <x v="1"/>
    <x v="1"/>
    <s v="Teacher"/>
    <n v="5828.26"/>
    <n v="5237.43"/>
    <n v="32940.339999999997"/>
    <s v="No"/>
    <s v="None"/>
    <n v="0"/>
    <n v="0"/>
    <n v="0"/>
    <n v="0"/>
    <n v="0"/>
    <n v="591"/>
    <n v="0.47"/>
    <x v="1"/>
    <x v="591"/>
    <n v="0"/>
  </r>
  <r>
    <s v="U12646"/>
    <x v="36"/>
    <x v="0"/>
    <x v="3"/>
    <x v="1"/>
    <s v="Salesperson"/>
    <n v="4236.17"/>
    <n v="3161"/>
    <n v="9267.4"/>
    <s v="No"/>
    <s v="None"/>
    <n v="0"/>
    <n v="0"/>
    <n v="0"/>
    <n v="0"/>
    <n v="0"/>
    <n v="433"/>
    <n v="0.18"/>
    <x v="3"/>
    <x v="699"/>
    <n v="0"/>
  </r>
  <r>
    <s v="U12660"/>
    <x v="39"/>
    <x v="0"/>
    <x v="0"/>
    <x v="2"/>
    <s v="Salesperson"/>
    <n v="2639.67"/>
    <n v="1118.6099999999999"/>
    <n v="6079.71"/>
    <s v="No"/>
    <s v="None"/>
    <n v="0"/>
    <n v="0"/>
    <n v="0"/>
    <n v="0"/>
    <n v="0"/>
    <n v="399"/>
    <n v="0.19"/>
    <x v="1"/>
    <x v="413"/>
    <n v="0"/>
  </r>
  <r>
    <s v="U12699"/>
    <x v="23"/>
    <x v="0"/>
    <x v="3"/>
    <x v="1"/>
    <s v="Teacher"/>
    <n v="8076.1"/>
    <n v="6052.21"/>
    <n v="73596.460000000006"/>
    <s v="No"/>
    <s v="None"/>
    <n v="0"/>
    <n v="0"/>
    <n v="0"/>
    <n v="0"/>
    <n v="0"/>
    <n v="462"/>
    <n v="0.76"/>
    <x v="2"/>
    <x v="38"/>
    <n v="0"/>
  </r>
  <r>
    <s v="U12702"/>
    <x v="8"/>
    <x v="0"/>
    <x v="3"/>
    <x v="0"/>
    <s v="Manager"/>
    <n v="5641.22"/>
    <n v="2584.4"/>
    <n v="48641.23"/>
    <s v="No"/>
    <s v="None"/>
    <n v="0"/>
    <n v="0"/>
    <n v="0"/>
    <n v="0"/>
    <n v="0"/>
    <n v="664"/>
    <n v="0.72"/>
    <x v="0"/>
    <x v="700"/>
    <n v="0"/>
  </r>
  <r>
    <s v="U12709"/>
    <x v="8"/>
    <x v="1"/>
    <x v="1"/>
    <x v="3"/>
    <s v="Student"/>
    <n v="1631.47"/>
    <n v="1336.7"/>
    <n v="8014.97"/>
    <s v="No"/>
    <s v="None"/>
    <n v="0"/>
    <n v="0"/>
    <n v="0"/>
    <n v="0"/>
    <n v="0"/>
    <n v="825"/>
    <n v="0.41"/>
    <x v="3"/>
    <x v="701"/>
    <n v="0"/>
  </r>
  <r>
    <s v="U12710"/>
    <x v="45"/>
    <x v="1"/>
    <x v="3"/>
    <x v="1"/>
    <s v="Accountant"/>
    <n v="2891.83"/>
    <n v="2169.73"/>
    <n v="31895.18"/>
    <s v="No"/>
    <s v="None"/>
    <n v="0"/>
    <n v="0"/>
    <n v="0"/>
    <n v="0"/>
    <n v="0"/>
    <n v="604"/>
    <n v="0.92"/>
    <x v="0"/>
    <x v="199"/>
    <n v="0"/>
  </r>
  <r>
    <s v="U12722"/>
    <x v="12"/>
    <x v="0"/>
    <x v="3"/>
    <x v="1"/>
    <s v="Driver"/>
    <n v="3810.93"/>
    <n v="2231.48"/>
    <n v="7212.59"/>
    <s v="No"/>
    <s v="None"/>
    <n v="0"/>
    <n v="0"/>
    <n v="0"/>
    <n v="0"/>
    <n v="0"/>
    <n v="354"/>
    <n v="0.16"/>
    <x v="1"/>
    <x v="702"/>
    <n v="0"/>
  </r>
  <r>
    <s v="U12731"/>
    <x v="4"/>
    <x v="2"/>
    <x v="2"/>
    <x v="2"/>
    <s v="Engineer"/>
    <n v="598.23"/>
    <n v="303.70999999999998"/>
    <n v="4533.3999999999996"/>
    <s v="No"/>
    <s v="None"/>
    <n v="0"/>
    <n v="0"/>
    <n v="0"/>
    <n v="0"/>
    <n v="0"/>
    <n v="417"/>
    <n v="0.63"/>
    <x v="3"/>
    <x v="703"/>
    <n v="0"/>
  </r>
  <r>
    <s v="U12743"/>
    <x v="7"/>
    <x v="1"/>
    <x v="3"/>
    <x v="2"/>
    <s v="Manager"/>
    <n v="6466.6"/>
    <n v="3771.97"/>
    <n v="19034.52"/>
    <s v="Yes"/>
    <s v="Education"/>
    <n v="224657.18"/>
    <n v="240"/>
    <n v="1724.28"/>
    <n v="6.87"/>
    <n v="0.27"/>
    <n v="607"/>
    <n v="0.25"/>
    <x v="3"/>
    <x v="704"/>
    <n v="0"/>
  </r>
  <r>
    <s v="U12753"/>
    <x v="35"/>
    <x v="1"/>
    <x v="2"/>
    <x v="2"/>
    <s v="Teacher"/>
    <n v="2253.85"/>
    <n v="1606.27"/>
    <n v="7911.55"/>
    <s v="No"/>
    <s v="None"/>
    <n v="0"/>
    <n v="0"/>
    <n v="0"/>
    <n v="0"/>
    <n v="0"/>
    <n v="647"/>
    <n v="0.28999999999999998"/>
    <x v="2"/>
    <x v="705"/>
    <n v="0"/>
  </r>
  <r>
    <s v="U12795"/>
    <x v="31"/>
    <x v="0"/>
    <x v="3"/>
    <x v="1"/>
    <s v="Student"/>
    <n v="4289.57"/>
    <n v="3142.88"/>
    <n v="41656.639999999999"/>
    <s v="Yes"/>
    <s v="Education"/>
    <n v="32667.07"/>
    <n v="240"/>
    <n v="603.52"/>
    <n v="21.88"/>
    <n v="0.14000000000000001"/>
    <n v="747"/>
    <n v="0.81"/>
    <x v="4"/>
    <x v="320"/>
    <n v="0"/>
  </r>
  <r>
    <s v="U12796"/>
    <x v="42"/>
    <x v="1"/>
    <x v="3"/>
    <x v="2"/>
    <s v="Accountant"/>
    <n v="594.44000000000005"/>
    <n v="253.34"/>
    <n v="6753.6"/>
    <s v="No"/>
    <s v="None"/>
    <n v="0"/>
    <n v="0"/>
    <n v="0"/>
    <n v="0"/>
    <n v="0"/>
    <n v="387"/>
    <n v="0.95"/>
    <x v="2"/>
    <x v="706"/>
    <n v="0"/>
  </r>
  <r>
    <s v="U12803"/>
    <x v="35"/>
    <x v="1"/>
    <x v="3"/>
    <x v="1"/>
    <s v="Driver"/>
    <n v="4698.29"/>
    <n v="3381.07"/>
    <n v="10597.72"/>
    <s v="No"/>
    <s v="None"/>
    <n v="0"/>
    <n v="0"/>
    <n v="0"/>
    <n v="0"/>
    <n v="0"/>
    <n v="841"/>
    <n v="0.19"/>
    <x v="0"/>
    <x v="707"/>
    <n v="0"/>
  </r>
  <r>
    <s v="U12815"/>
    <x v="29"/>
    <x v="1"/>
    <x v="2"/>
    <x v="1"/>
    <s v="Salesperson"/>
    <n v="6108.03"/>
    <n v="3944.63"/>
    <n v="23271.8"/>
    <s v="No"/>
    <s v="None"/>
    <n v="0"/>
    <n v="0"/>
    <n v="0"/>
    <n v="0"/>
    <n v="0"/>
    <n v="413"/>
    <n v="0.32"/>
    <x v="1"/>
    <x v="708"/>
    <n v="0"/>
  </r>
  <r>
    <s v="U12825"/>
    <x v="42"/>
    <x v="0"/>
    <x v="0"/>
    <x v="0"/>
    <s v="Doctor"/>
    <n v="2548.87"/>
    <n v="1014.91"/>
    <n v="12389.77"/>
    <s v="Yes"/>
    <s v="Home"/>
    <n v="222574.83"/>
    <n v="180"/>
    <n v="3520.52"/>
    <n v="17.600000000000001"/>
    <n v="1.38"/>
    <n v="470"/>
    <n v="0.41"/>
    <x v="0"/>
    <x v="709"/>
    <n v="1"/>
  </r>
  <r>
    <s v="U12845"/>
    <x v="23"/>
    <x v="1"/>
    <x v="0"/>
    <x v="3"/>
    <s v="Salesperson"/>
    <n v="4207.97"/>
    <n v="1815.62"/>
    <n v="39356.68"/>
    <s v="No"/>
    <s v="None"/>
    <n v="0"/>
    <n v="0"/>
    <n v="0"/>
    <n v="0"/>
    <n v="0"/>
    <n v="765"/>
    <n v="0.78"/>
    <x v="4"/>
    <x v="257"/>
    <n v="0"/>
  </r>
  <r>
    <s v="U12876"/>
    <x v="48"/>
    <x v="0"/>
    <x v="0"/>
    <x v="1"/>
    <s v="Engineer"/>
    <n v="7198.45"/>
    <n v="3010.33"/>
    <n v="35368.53"/>
    <s v="No"/>
    <s v="None"/>
    <n v="0"/>
    <n v="0"/>
    <n v="0"/>
    <n v="0"/>
    <n v="0"/>
    <n v="787"/>
    <n v="0.41"/>
    <x v="0"/>
    <x v="168"/>
    <n v="0"/>
  </r>
  <r>
    <s v="U12884"/>
    <x v="41"/>
    <x v="0"/>
    <x v="3"/>
    <x v="2"/>
    <s v="Driver"/>
    <n v="2739.62"/>
    <n v="1910.52"/>
    <n v="21234.97"/>
    <s v="No"/>
    <s v="None"/>
    <n v="0"/>
    <n v="0"/>
    <n v="0"/>
    <n v="0"/>
    <n v="0"/>
    <n v="641"/>
    <n v="0.65"/>
    <x v="2"/>
    <x v="531"/>
    <n v="0"/>
  </r>
  <r>
    <s v="U12885"/>
    <x v="39"/>
    <x v="1"/>
    <x v="2"/>
    <x v="1"/>
    <s v="Student"/>
    <n v="5182.55"/>
    <n v="2804.2"/>
    <n v="45149.93"/>
    <s v="No"/>
    <s v="None"/>
    <n v="0"/>
    <n v="0"/>
    <n v="0"/>
    <n v="0"/>
    <n v="0"/>
    <n v="813"/>
    <n v="0.73"/>
    <x v="2"/>
    <x v="710"/>
    <n v="0"/>
  </r>
  <r>
    <s v="U12902"/>
    <x v="13"/>
    <x v="1"/>
    <x v="2"/>
    <x v="1"/>
    <s v="Unemployed"/>
    <n v="3545.74"/>
    <n v="2683.24"/>
    <n v="8648.8700000000008"/>
    <s v="No"/>
    <s v="None"/>
    <n v="0"/>
    <n v="0"/>
    <n v="0"/>
    <n v="0"/>
    <n v="0"/>
    <n v="500"/>
    <n v="0.2"/>
    <x v="0"/>
    <x v="373"/>
    <n v="0"/>
  </r>
  <r>
    <s v="U12927"/>
    <x v="35"/>
    <x v="1"/>
    <x v="0"/>
    <x v="1"/>
    <s v="Unemployed"/>
    <n v="3401.32"/>
    <n v="2434.87"/>
    <n v="26903.5"/>
    <s v="No"/>
    <s v="None"/>
    <n v="0"/>
    <n v="0"/>
    <n v="0"/>
    <n v="0"/>
    <n v="0"/>
    <n v="618"/>
    <n v="0.66"/>
    <x v="0"/>
    <x v="711"/>
    <n v="0"/>
  </r>
  <r>
    <s v="U12931"/>
    <x v="35"/>
    <x v="1"/>
    <x v="0"/>
    <x v="0"/>
    <s v="Driver"/>
    <n v="3619.56"/>
    <n v="1628.22"/>
    <n v="8047.97"/>
    <s v="No"/>
    <s v="None"/>
    <n v="0"/>
    <n v="0"/>
    <n v="0"/>
    <n v="0"/>
    <n v="0"/>
    <n v="309"/>
    <n v="0.19"/>
    <x v="2"/>
    <x v="712"/>
    <n v="0"/>
  </r>
  <r>
    <s v="U12940"/>
    <x v="40"/>
    <x v="1"/>
    <x v="0"/>
    <x v="1"/>
    <s v="Student"/>
    <n v="5238.5200000000004"/>
    <n v="3694.72"/>
    <n v="26645.02"/>
    <s v="No"/>
    <s v="None"/>
    <n v="0"/>
    <n v="0"/>
    <n v="0"/>
    <n v="0"/>
    <n v="0"/>
    <n v="767"/>
    <n v="0.42"/>
    <x v="3"/>
    <x v="713"/>
    <n v="0"/>
  </r>
  <r>
    <s v="U12950"/>
    <x v="6"/>
    <x v="1"/>
    <x v="3"/>
    <x v="1"/>
    <s v="Driver"/>
    <n v="500"/>
    <n v="324.22000000000003"/>
    <n v="3823.53"/>
    <s v="No"/>
    <s v="None"/>
    <n v="0"/>
    <n v="0"/>
    <n v="0"/>
    <n v="0"/>
    <n v="0"/>
    <n v="734"/>
    <n v="0.64"/>
    <x v="0"/>
    <x v="32"/>
    <n v="0"/>
  </r>
  <r>
    <s v="U12968"/>
    <x v="22"/>
    <x v="0"/>
    <x v="3"/>
    <x v="0"/>
    <s v="Teacher"/>
    <n v="2309.13"/>
    <n v="1347.85"/>
    <n v="7643.38"/>
    <s v="No"/>
    <s v="None"/>
    <n v="0"/>
    <n v="0"/>
    <n v="0"/>
    <n v="0"/>
    <n v="0"/>
    <n v="583"/>
    <n v="0.28000000000000003"/>
    <x v="3"/>
    <x v="714"/>
    <n v="0"/>
  </r>
  <r>
    <s v="U12991"/>
    <x v="21"/>
    <x v="1"/>
    <x v="3"/>
    <x v="2"/>
    <s v="Student"/>
    <n v="4244.45"/>
    <n v="2469.94"/>
    <n v="39452.61"/>
    <s v="Yes"/>
    <s v="Business"/>
    <n v="106032.69"/>
    <n v="120"/>
    <n v="2599.17"/>
    <n v="27.47"/>
    <n v="0.61"/>
    <n v="577"/>
    <n v="0.77"/>
    <x v="4"/>
    <x v="715"/>
    <n v="1"/>
  </r>
  <r>
    <s v="U12995"/>
    <x v="15"/>
    <x v="0"/>
    <x v="3"/>
    <x v="2"/>
    <s v="Unemployed"/>
    <n v="3693.77"/>
    <n v="2835.02"/>
    <n v="38741.86"/>
    <s v="No"/>
    <s v="None"/>
    <n v="0"/>
    <n v="0"/>
    <n v="0"/>
    <n v="0"/>
    <n v="0"/>
    <n v="589"/>
    <n v="0.87"/>
    <x v="3"/>
    <x v="716"/>
    <n v="0"/>
  </r>
  <r>
    <s v="U13020"/>
    <x v="40"/>
    <x v="0"/>
    <x v="2"/>
    <x v="1"/>
    <s v="Student"/>
    <n v="7769.95"/>
    <n v="5235.95"/>
    <n v="74701.039999999994"/>
    <s v="No"/>
    <s v="None"/>
    <n v="0"/>
    <n v="0"/>
    <n v="0"/>
    <n v="0"/>
    <n v="0"/>
    <n v="435"/>
    <n v="0.8"/>
    <x v="3"/>
    <x v="717"/>
    <n v="0"/>
  </r>
  <r>
    <s v="U13028"/>
    <x v="35"/>
    <x v="1"/>
    <x v="3"/>
    <x v="1"/>
    <s v="Unemployed"/>
    <n v="3178.88"/>
    <n v="1481.85"/>
    <n v="27361.31"/>
    <s v="Yes"/>
    <s v="Business"/>
    <n v="422944.39"/>
    <n v="300"/>
    <n v="4693.8500000000004"/>
    <n v="12.76"/>
    <n v="1.48"/>
    <n v="350"/>
    <n v="0.72"/>
    <x v="0"/>
    <x v="718"/>
    <n v="1"/>
  </r>
  <r>
    <s v="U13040"/>
    <x v="16"/>
    <x v="0"/>
    <x v="0"/>
    <x v="1"/>
    <s v="Driver"/>
    <n v="4269.5200000000004"/>
    <n v="2249.6"/>
    <n v="43970.38"/>
    <s v="No"/>
    <s v="None"/>
    <n v="0"/>
    <n v="0"/>
    <n v="0"/>
    <n v="0"/>
    <n v="0"/>
    <n v="778"/>
    <n v="0.86"/>
    <x v="4"/>
    <x v="431"/>
    <n v="0"/>
  </r>
  <r>
    <s v="U13047"/>
    <x v="24"/>
    <x v="1"/>
    <x v="4"/>
    <x v="1"/>
    <s v="Student"/>
    <n v="7621.8"/>
    <n v="4242.21"/>
    <n v="76756.639999999999"/>
    <s v="No"/>
    <s v="None"/>
    <n v="0"/>
    <n v="0"/>
    <n v="0"/>
    <n v="0"/>
    <n v="0"/>
    <n v="398"/>
    <n v="0.84"/>
    <x v="3"/>
    <x v="60"/>
    <n v="0"/>
  </r>
  <r>
    <s v="U13061"/>
    <x v="28"/>
    <x v="0"/>
    <x v="4"/>
    <x v="1"/>
    <s v="Doctor"/>
    <n v="3693.43"/>
    <n v="2416.79"/>
    <n v="24218.05"/>
    <s v="No"/>
    <s v="None"/>
    <n v="0"/>
    <n v="0"/>
    <n v="0"/>
    <n v="0"/>
    <n v="0"/>
    <n v="582"/>
    <n v="0.55000000000000004"/>
    <x v="0"/>
    <x v="719"/>
    <n v="0"/>
  </r>
  <r>
    <s v="U13065"/>
    <x v="2"/>
    <x v="0"/>
    <x v="2"/>
    <x v="1"/>
    <s v="Doctor"/>
    <n v="500"/>
    <n v="231.74"/>
    <n v="5514.98"/>
    <s v="Yes"/>
    <s v="Home"/>
    <n v="71192.11"/>
    <n v="240"/>
    <n v="456.57"/>
    <n v="4.66"/>
    <n v="0.91"/>
    <n v="455"/>
    <n v="0.92"/>
    <x v="3"/>
    <x v="36"/>
    <n v="1"/>
  </r>
  <r>
    <s v="U13071"/>
    <x v="3"/>
    <x v="2"/>
    <x v="2"/>
    <x v="1"/>
    <s v="Doctor"/>
    <n v="1425.99"/>
    <n v="855.37"/>
    <n v="7383.62"/>
    <s v="No"/>
    <s v="None"/>
    <n v="0"/>
    <n v="0"/>
    <n v="0"/>
    <n v="0"/>
    <n v="0"/>
    <n v="608"/>
    <n v="0.43"/>
    <x v="2"/>
    <x v="500"/>
    <n v="0"/>
  </r>
  <r>
    <s v="U13088"/>
    <x v="39"/>
    <x v="1"/>
    <x v="3"/>
    <x v="2"/>
    <s v="Driver"/>
    <n v="5798.32"/>
    <n v="2562.33"/>
    <n v="14549.03"/>
    <s v="No"/>
    <s v="None"/>
    <n v="0"/>
    <n v="0"/>
    <n v="0"/>
    <n v="0"/>
    <n v="0"/>
    <n v="559"/>
    <n v="0.21"/>
    <x v="3"/>
    <x v="539"/>
    <n v="0"/>
  </r>
  <r>
    <s v="U13105"/>
    <x v="10"/>
    <x v="1"/>
    <x v="2"/>
    <x v="2"/>
    <s v="Salesperson"/>
    <n v="2768.41"/>
    <n v="923.48"/>
    <n v="12021.98"/>
    <s v="No"/>
    <s v="None"/>
    <n v="0"/>
    <n v="0"/>
    <n v="0"/>
    <n v="0"/>
    <n v="0"/>
    <n v="493"/>
    <n v="0.36"/>
    <x v="4"/>
    <x v="720"/>
    <n v="0"/>
  </r>
  <r>
    <s v="U13123"/>
    <x v="34"/>
    <x v="1"/>
    <x v="0"/>
    <x v="1"/>
    <s v="Student"/>
    <n v="2816.56"/>
    <n v="1918.06"/>
    <n v="23826.53"/>
    <s v="Yes"/>
    <s v="Home"/>
    <n v="24769.49"/>
    <n v="60"/>
    <n v="663.7"/>
    <n v="20.54"/>
    <n v="0.24"/>
    <n v="685"/>
    <n v="0.7"/>
    <x v="0"/>
    <x v="188"/>
    <n v="0"/>
  </r>
  <r>
    <s v="U13131"/>
    <x v="5"/>
    <x v="1"/>
    <x v="2"/>
    <x v="1"/>
    <s v="Salesperson"/>
    <n v="5813.8"/>
    <n v="4031.79"/>
    <n v="52078.41"/>
    <s v="Yes"/>
    <s v="Business"/>
    <n v="177763"/>
    <n v="360"/>
    <n v="4197.63"/>
    <n v="28.33"/>
    <n v="0.72"/>
    <n v="497"/>
    <n v="0.75"/>
    <x v="1"/>
    <x v="306"/>
    <n v="1"/>
  </r>
  <r>
    <s v="U13168"/>
    <x v="51"/>
    <x v="0"/>
    <x v="3"/>
    <x v="1"/>
    <s v="Teacher"/>
    <n v="5963.37"/>
    <n v="3845.18"/>
    <n v="18980.400000000001"/>
    <s v="Yes"/>
    <s v="Car"/>
    <n v="465815.14"/>
    <n v="180"/>
    <n v="4435.45"/>
    <n v="7.94"/>
    <n v="0.74"/>
    <n v="800"/>
    <n v="0.27"/>
    <x v="2"/>
    <x v="721"/>
    <n v="1"/>
  </r>
  <r>
    <s v="U13197"/>
    <x v="33"/>
    <x v="0"/>
    <x v="2"/>
    <x v="1"/>
    <s v="Accountant"/>
    <n v="4873.05"/>
    <n v="4321.74"/>
    <n v="8330.34"/>
    <s v="No"/>
    <s v="None"/>
    <n v="0"/>
    <n v="0"/>
    <n v="0"/>
    <n v="0"/>
    <n v="0"/>
    <n v="507"/>
    <n v="0.14000000000000001"/>
    <x v="0"/>
    <x v="637"/>
    <n v="0"/>
  </r>
  <r>
    <s v="U13207"/>
    <x v="43"/>
    <x v="1"/>
    <x v="3"/>
    <x v="1"/>
    <s v="Salesperson"/>
    <n v="1524.44"/>
    <n v="975.87"/>
    <n v="13312.14"/>
    <s v="Yes"/>
    <s v="Business"/>
    <n v="243093.54"/>
    <n v="360"/>
    <n v="2205.52"/>
    <n v="10.4"/>
    <n v="1.45"/>
    <n v="392"/>
    <n v="0.73"/>
    <x v="3"/>
    <x v="668"/>
    <n v="1"/>
  </r>
  <r>
    <s v="U13210"/>
    <x v="15"/>
    <x v="1"/>
    <x v="3"/>
    <x v="2"/>
    <s v="Engineer"/>
    <n v="5749.64"/>
    <n v="3116.31"/>
    <n v="67911.210000000006"/>
    <s v="No"/>
    <s v="None"/>
    <n v="0"/>
    <n v="0"/>
    <n v="0"/>
    <n v="0"/>
    <n v="0"/>
    <n v="774"/>
    <n v="0.98"/>
    <x v="0"/>
    <x v="716"/>
    <n v="0"/>
  </r>
  <r>
    <s v="U13212"/>
    <x v="50"/>
    <x v="0"/>
    <x v="2"/>
    <x v="1"/>
    <s v="Teacher"/>
    <n v="5609.24"/>
    <n v="4350.83"/>
    <n v="35609.29"/>
    <s v="No"/>
    <s v="None"/>
    <n v="0"/>
    <n v="0"/>
    <n v="0"/>
    <n v="0"/>
    <n v="0"/>
    <n v="598"/>
    <n v="0.53"/>
    <x v="0"/>
    <x v="722"/>
    <n v="0"/>
  </r>
  <r>
    <s v="U13219"/>
    <x v="8"/>
    <x v="1"/>
    <x v="2"/>
    <x v="1"/>
    <s v="Student"/>
    <n v="4673.3500000000004"/>
    <n v="2090.4499999999998"/>
    <n v="7153.73"/>
    <s v="No"/>
    <s v="None"/>
    <n v="0"/>
    <n v="0"/>
    <n v="0"/>
    <n v="0"/>
    <n v="0"/>
    <n v="539"/>
    <n v="0.13"/>
    <x v="1"/>
    <x v="723"/>
    <n v="0"/>
  </r>
  <r>
    <s v="U13229"/>
    <x v="6"/>
    <x v="1"/>
    <x v="2"/>
    <x v="1"/>
    <s v="Doctor"/>
    <n v="3266.31"/>
    <n v="2794.34"/>
    <n v="18296.560000000001"/>
    <s v="Yes"/>
    <s v="Business"/>
    <n v="379207.07"/>
    <n v="300"/>
    <n v="5627.06"/>
    <n v="17.579999999999998"/>
    <n v="1.72"/>
    <n v="543"/>
    <n v="0.47"/>
    <x v="0"/>
    <x v="724"/>
    <n v="1"/>
  </r>
  <r>
    <s v="U13249"/>
    <x v="17"/>
    <x v="1"/>
    <x v="0"/>
    <x v="1"/>
    <s v="Engineer"/>
    <n v="3767.37"/>
    <n v="1745"/>
    <n v="42338.8"/>
    <s v="No"/>
    <s v="None"/>
    <n v="0"/>
    <n v="0"/>
    <n v="0"/>
    <n v="0"/>
    <n v="0"/>
    <n v="443"/>
    <n v="0.94"/>
    <x v="1"/>
    <x v="725"/>
    <n v="0"/>
  </r>
  <r>
    <s v="U13277"/>
    <x v="6"/>
    <x v="1"/>
    <x v="1"/>
    <x v="1"/>
    <s v="Teacher"/>
    <n v="7114.49"/>
    <n v="2802.12"/>
    <n v="79901.09"/>
    <s v="Yes"/>
    <s v="Business"/>
    <n v="459496.85"/>
    <n v="36"/>
    <n v="14022.55"/>
    <n v="6.21"/>
    <n v="1.97"/>
    <n v="460"/>
    <n v="0.94"/>
    <x v="2"/>
    <x v="431"/>
    <n v="1"/>
  </r>
  <r>
    <s v="U13282"/>
    <x v="29"/>
    <x v="0"/>
    <x v="3"/>
    <x v="1"/>
    <s v="Manager"/>
    <n v="7649.29"/>
    <n v="4419.67"/>
    <n v="24934.33"/>
    <s v="Yes"/>
    <s v="Education"/>
    <n v="34640.22"/>
    <n v="12"/>
    <n v="3198.11"/>
    <n v="19.350000000000001"/>
    <n v="0.42"/>
    <n v="805"/>
    <n v="0.27"/>
    <x v="0"/>
    <x v="498"/>
    <n v="1"/>
  </r>
  <r>
    <s v="U13332"/>
    <x v="16"/>
    <x v="1"/>
    <x v="3"/>
    <x v="1"/>
    <s v="Unemployed"/>
    <n v="2062.77"/>
    <n v="1797.83"/>
    <n v="18054.22"/>
    <s v="Yes"/>
    <s v="Education"/>
    <n v="292092.03999999998"/>
    <n v="240"/>
    <n v="2045.73"/>
    <n v="5.72"/>
    <n v="0.99"/>
    <n v="495"/>
    <n v="0.73"/>
    <x v="2"/>
    <x v="726"/>
    <n v="1"/>
  </r>
  <r>
    <s v="U13351"/>
    <x v="12"/>
    <x v="2"/>
    <x v="3"/>
    <x v="1"/>
    <s v="Salesperson"/>
    <n v="2455.96"/>
    <n v="1888.28"/>
    <n v="5070.71"/>
    <s v="No"/>
    <s v="None"/>
    <n v="0"/>
    <n v="0"/>
    <n v="0"/>
    <n v="0"/>
    <n v="0"/>
    <n v="829"/>
    <n v="0.17"/>
    <x v="2"/>
    <x v="55"/>
    <n v="0"/>
  </r>
  <r>
    <s v="U13365"/>
    <x v="4"/>
    <x v="0"/>
    <x v="0"/>
    <x v="1"/>
    <s v="Accountant"/>
    <n v="1758.1"/>
    <n v="736.52"/>
    <n v="19964.86"/>
    <s v="Yes"/>
    <s v="Car"/>
    <n v="100353.84"/>
    <n v="180"/>
    <n v="2509.8000000000002"/>
    <n v="29.64"/>
    <n v="1.43"/>
    <n v="391"/>
    <n v="0.95"/>
    <x v="0"/>
    <x v="727"/>
    <n v="1"/>
  </r>
  <r>
    <s v="U13366"/>
    <x v="34"/>
    <x v="1"/>
    <x v="3"/>
    <x v="1"/>
    <s v="Salesperson"/>
    <n v="3252.8"/>
    <n v="1236.06"/>
    <n v="15963.87"/>
    <s v="No"/>
    <s v="None"/>
    <n v="0"/>
    <n v="0"/>
    <n v="0"/>
    <n v="0"/>
    <n v="0"/>
    <n v="536"/>
    <n v="0.41"/>
    <x v="2"/>
    <x v="624"/>
    <n v="0"/>
  </r>
  <r>
    <s v="U13372"/>
    <x v="42"/>
    <x v="1"/>
    <x v="2"/>
    <x v="1"/>
    <s v="Student"/>
    <n v="2320.23"/>
    <n v="1776.81"/>
    <n v="16028.69"/>
    <s v="No"/>
    <s v="None"/>
    <n v="0"/>
    <n v="0"/>
    <n v="0"/>
    <n v="0"/>
    <n v="0"/>
    <n v="430"/>
    <n v="0.57999999999999996"/>
    <x v="3"/>
    <x v="394"/>
    <n v="0"/>
  </r>
  <r>
    <s v="U13373"/>
    <x v="38"/>
    <x v="0"/>
    <x v="0"/>
    <x v="1"/>
    <s v="Salesperson"/>
    <n v="4767.22"/>
    <n v="3779.95"/>
    <n v="36744.42"/>
    <s v="No"/>
    <s v="None"/>
    <n v="0"/>
    <n v="0"/>
    <n v="0"/>
    <n v="0"/>
    <n v="0"/>
    <n v="577"/>
    <n v="0.64"/>
    <x v="0"/>
    <x v="728"/>
    <n v="0"/>
  </r>
  <r>
    <s v="U13374"/>
    <x v="32"/>
    <x v="1"/>
    <x v="3"/>
    <x v="1"/>
    <s v="Student"/>
    <n v="5673.6"/>
    <n v="4175.34"/>
    <n v="48755.18"/>
    <s v="Yes"/>
    <s v="Business"/>
    <n v="300431.2"/>
    <n v="60"/>
    <n v="8860.3799999999992"/>
    <n v="25.24"/>
    <n v="1.56"/>
    <n v="715"/>
    <n v="0.72"/>
    <x v="1"/>
    <x v="729"/>
    <n v="1"/>
  </r>
  <r>
    <s v="U13379"/>
    <x v="43"/>
    <x v="2"/>
    <x v="0"/>
    <x v="1"/>
    <s v="Accountant"/>
    <n v="4994.41"/>
    <n v="1550.98"/>
    <n v="51989.85"/>
    <s v="No"/>
    <s v="None"/>
    <n v="0"/>
    <n v="0"/>
    <n v="0"/>
    <n v="0"/>
    <n v="0"/>
    <n v="685"/>
    <n v="0.87"/>
    <x v="1"/>
    <x v="730"/>
    <n v="0"/>
  </r>
  <r>
    <s v="U13418"/>
    <x v="2"/>
    <x v="0"/>
    <x v="3"/>
    <x v="2"/>
    <s v="Teacher"/>
    <n v="2675.34"/>
    <n v="1233.42"/>
    <n v="9966.4699999999993"/>
    <s v="No"/>
    <s v="None"/>
    <n v="0"/>
    <n v="0"/>
    <n v="0"/>
    <n v="0"/>
    <n v="0"/>
    <n v="841"/>
    <n v="0.31"/>
    <x v="2"/>
    <x v="34"/>
    <n v="0"/>
  </r>
  <r>
    <s v="U13426"/>
    <x v="13"/>
    <x v="1"/>
    <x v="3"/>
    <x v="2"/>
    <s v="Driver"/>
    <n v="2839.15"/>
    <n v="2547.4"/>
    <n v="5336.19"/>
    <s v="No"/>
    <s v="None"/>
    <n v="0"/>
    <n v="0"/>
    <n v="0"/>
    <n v="0"/>
    <n v="0"/>
    <n v="827"/>
    <n v="0.16"/>
    <x v="3"/>
    <x v="622"/>
    <n v="0"/>
  </r>
  <r>
    <s v="U13431"/>
    <x v="3"/>
    <x v="2"/>
    <x v="2"/>
    <x v="1"/>
    <s v="Accountant"/>
    <n v="4693.3100000000004"/>
    <n v="3305.32"/>
    <n v="35195.050000000003"/>
    <s v="Yes"/>
    <s v="Home"/>
    <n v="10919.89"/>
    <n v="300"/>
    <n v="90.07"/>
    <n v="8.7899999999999991"/>
    <n v="0.02"/>
    <n v="837"/>
    <n v="0.62"/>
    <x v="4"/>
    <x v="731"/>
    <n v="0"/>
  </r>
  <r>
    <s v="U13435"/>
    <x v="42"/>
    <x v="0"/>
    <x v="2"/>
    <x v="1"/>
    <s v="Doctor"/>
    <n v="4883.5600000000004"/>
    <n v="2102.98"/>
    <n v="31360.59"/>
    <s v="No"/>
    <s v="None"/>
    <n v="0"/>
    <n v="0"/>
    <n v="0"/>
    <n v="0"/>
    <n v="0"/>
    <n v="753"/>
    <n v="0.54"/>
    <x v="2"/>
    <x v="732"/>
    <n v="0"/>
  </r>
  <r>
    <s v="U13444"/>
    <x v="51"/>
    <x v="1"/>
    <x v="3"/>
    <x v="1"/>
    <s v="Student"/>
    <n v="500"/>
    <n v="400.51"/>
    <n v="5632.77"/>
    <s v="No"/>
    <s v="None"/>
    <n v="0"/>
    <n v="0"/>
    <n v="0"/>
    <n v="0"/>
    <n v="0"/>
    <n v="579"/>
    <n v="0.94"/>
    <x v="3"/>
    <x v="733"/>
    <n v="0"/>
  </r>
  <r>
    <s v="U13475"/>
    <x v="23"/>
    <x v="0"/>
    <x v="2"/>
    <x v="1"/>
    <s v="Driver"/>
    <n v="2367.4"/>
    <n v="1417.29"/>
    <n v="17943.86"/>
    <s v="Yes"/>
    <s v="Education"/>
    <n v="62101.11"/>
    <n v="36"/>
    <n v="2253.84"/>
    <n v="18.28"/>
    <n v="0.95"/>
    <n v="763"/>
    <n v="0.63"/>
    <x v="3"/>
    <x v="734"/>
    <n v="1"/>
  </r>
  <r>
    <s v="U13479"/>
    <x v="50"/>
    <x v="1"/>
    <x v="2"/>
    <x v="0"/>
    <s v="Driver"/>
    <n v="3279.84"/>
    <n v="2727.27"/>
    <n v="28181.52"/>
    <s v="No"/>
    <s v="None"/>
    <n v="0"/>
    <n v="0"/>
    <n v="0"/>
    <n v="0"/>
    <n v="0"/>
    <n v="397"/>
    <n v="0.72"/>
    <x v="2"/>
    <x v="735"/>
    <n v="0"/>
  </r>
  <r>
    <s v="U13483"/>
    <x v="47"/>
    <x v="1"/>
    <x v="3"/>
    <x v="2"/>
    <s v="Manager"/>
    <n v="3539.91"/>
    <n v="2183.63"/>
    <n v="30906.94"/>
    <s v="No"/>
    <s v="None"/>
    <n v="0"/>
    <n v="0"/>
    <n v="0"/>
    <n v="0"/>
    <n v="0"/>
    <n v="340"/>
    <n v="0.73"/>
    <x v="4"/>
    <x v="695"/>
    <n v="0"/>
  </r>
  <r>
    <s v="U13486"/>
    <x v="17"/>
    <x v="0"/>
    <x v="3"/>
    <x v="1"/>
    <s v="Engineer"/>
    <n v="1667.03"/>
    <n v="1122.56"/>
    <n v="15100.8"/>
    <s v="No"/>
    <s v="None"/>
    <n v="0"/>
    <n v="0"/>
    <n v="0"/>
    <n v="0"/>
    <n v="0"/>
    <n v="447"/>
    <n v="0.75"/>
    <x v="4"/>
    <x v="257"/>
    <n v="0"/>
  </r>
  <r>
    <s v="U13514"/>
    <x v="39"/>
    <x v="0"/>
    <x v="2"/>
    <x v="1"/>
    <s v="Salesperson"/>
    <n v="3177.65"/>
    <n v="1146.02"/>
    <n v="6550.78"/>
    <s v="No"/>
    <s v="None"/>
    <n v="0"/>
    <n v="0"/>
    <n v="0"/>
    <n v="0"/>
    <n v="0"/>
    <n v="750"/>
    <n v="0.17"/>
    <x v="3"/>
    <x v="736"/>
    <n v="0"/>
  </r>
  <r>
    <s v="U13522"/>
    <x v="21"/>
    <x v="0"/>
    <x v="2"/>
    <x v="3"/>
    <s v="Manager"/>
    <n v="3624.55"/>
    <n v="2398.29"/>
    <n v="32658.14"/>
    <s v="No"/>
    <s v="None"/>
    <n v="0"/>
    <n v="0"/>
    <n v="0"/>
    <n v="0"/>
    <n v="0"/>
    <n v="503"/>
    <n v="0.75"/>
    <x v="0"/>
    <x v="737"/>
    <n v="0"/>
  </r>
  <r>
    <s v="U13532"/>
    <x v="45"/>
    <x v="0"/>
    <x v="3"/>
    <x v="3"/>
    <s v="Teacher"/>
    <n v="3022.86"/>
    <n v="2308.96"/>
    <n v="9414.33"/>
    <s v="No"/>
    <s v="None"/>
    <n v="0"/>
    <n v="0"/>
    <n v="0"/>
    <n v="0"/>
    <n v="0"/>
    <n v="747"/>
    <n v="0.26"/>
    <x v="1"/>
    <x v="738"/>
    <n v="0"/>
  </r>
  <r>
    <s v="U13536"/>
    <x v="8"/>
    <x v="0"/>
    <x v="2"/>
    <x v="1"/>
    <s v="Accountant"/>
    <n v="3926.97"/>
    <n v="2768.39"/>
    <n v="31296.75"/>
    <s v="No"/>
    <s v="None"/>
    <n v="0"/>
    <n v="0"/>
    <n v="0"/>
    <n v="0"/>
    <n v="0"/>
    <n v="661"/>
    <n v="0.66"/>
    <x v="1"/>
    <x v="739"/>
    <n v="0"/>
  </r>
  <r>
    <s v="U13559"/>
    <x v="12"/>
    <x v="1"/>
    <x v="0"/>
    <x v="1"/>
    <s v="Manager"/>
    <n v="2793.88"/>
    <n v="1730.45"/>
    <n v="25419.57"/>
    <s v="No"/>
    <s v="None"/>
    <n v="0"/>
    <n v="0"/>
    <n v="0"/>
    <n v="0"/>
    <n v="0"/>
    <n v="458"/>
    <n v="0.76"/>
    <x v="2"/>
    <x v="740"/>
    <n v="0"/>
  </r>
  <r>
    <s v="U13563"/>
    <x v="46"/>
    <x v="0"/>
    <x v="0"/>
    <x v="1"/>
    <s v="Student"/>
    <n v="5143.1099999999997"/>
    <n v="4347.6400000000003"/>
    <n v="8612.19"/>
    <s v="No"/>
    <s v="None"/>
    <n v="0"/>
    <n v="0"/>
    <n v="0"/>
    <n v="0"/>
    <n v="0"/>
    <n v="604"/>
    <n v="0.14000000000000001"/>
    <x v="1"/>
    <x v="151"/>
    <n v="0"/>
  </r>
  <r>
    <s v="U13566"/>
    <x v="16"/>
    <x v="0"/>
    <x v="3"/>
    <x v="2"/>
    <s v="Manager"/>
    <n v="2813.29"/>
    <n v="2411.11"/>
    <n v="16712.400000000001"/>
    <s v="No"/>
    <s v="None"/>
    <n v="0"/>
    <n v="0"/>
    <n v="0"/>
    <n v="0"/>
    <n v="0"/>
    <n v="651"/>
    <n v="0.5"/>
    <x v="3"/>
    <x v="185"/>
    <n v="0"/>
  </r>
  <r>
    <s v="U13609"/>
    <x v="43"/>
    <x v="0"/>
    <x v="0"/>
    <x v="1"/>
    <s v="Driver"/>
    <n v="4197.75"/>
    <n v="3024.98"/>
    <n v="41913.449999999997"/>
    <s v="Yes"/>
    <s v="Home"/>
    <n v="117440.89"/>
    <n v="180"/>
    <n v="1515.4"/>
    <n v="13.38"/>
    <n v="0.36"/>
    <n v="795"/>
    <n v="0.83"/>
    <x v="0"/>
    <x v="741"/>
    <n v="0"/>
  </r>
  <r>
    <s v="U13627"/>
    <x v="28"/>
    <x v="0"/>
    <x v="3"/>
    <x v="1"/>
    <s v="Accountant"/>
    <n v="3236.71"/>
    <n v="1557.19"/>
    <n v="6899.56"/>
    <s v="No"/>
    <s v="None"/>
    <n v="0"/>
    <n v="0"/>
    <n v="0"/>
    <n v="0"/>
    <n v="0"/>
    <n v="351"/>
    <n v="0.18"/>
    <x v="0"/>
    <x v="652"/>
    <n v="0"/>
  </r>
  <r>
    <s v="U13639"/>
    <x v="2"/>
    <x v="0"/>
    <x v="0"/>
    <x v="2"/>
    <s v="Student"/>
    <n v="2363.02"/>
    <n v="1909.94"/>
    <n v="22857.62"/>
    <s v="No"/>
    <s v="None"/>
    <n v="0"/>
    <n v="0"/>
    <n v="0"/>
    <n v="0"/>
    <n v="0"/>
    <n v="397"/>
    <n v="0.81"/>
    <x v="4"/>
    <x v="189"/>
    <n v="0"/>
  </r>
  <r>
    <s v="U13645"/>
    <x v="39"/>
    <x v="1"/>
    <x v="4"/>
    <x v="1"/>
    <s v="Accountant"/>
    <n v="685.35"/>
    <n v="604.09"/>
    <n v="2773.13"/>
    <s v="No"/>
    <s v="None"/>
    <n v="0"/>
    <n v="0"/>
    <n v="0"/>
    <n v="0"/>
    <n v="0"/>
    <n v="725"/>
    <n v="0.34"/>
    <x v="3"/>
    <x v="249"/>
    <n v="0"/>
  </r>
  <r>
    <s v="U13647"/>
    <x v="49"/>
    <x v="0"/>
    <x v="3"/>
    <x v="2"/>
    <s v="Teacher"/>
    <n v="2826.3"/>
    <n v="997.8"/>
    <n v="20963.3"/>
    <s v="Yes"/>
    <s v="Business"/>
    <n v="85862.3"/>
    <n v="300"/>
    <n v="924.69"/>
    <n v="12.32"/>
    <n v="0.33"/>
    <n v="512"/>
    <n v="0.62"/>
    <x v="2"/>
    <x v="535"/>
    <n v="0"/>
  </r>
  <r>
    <s v="U13686"/>
    <x v="41"/>
    <x v="0"/>
    <x v="3"/>
    <x v="1"/>
    <s v="Accountant"/>
    <n v="5300.95"/>
    <n v="2816.98"/>
    <n v="13508.03"/>
    <s v="No"/>
    <s v="None"/>
    <n v="0"/>
    <n v="0"/>
    <n v="0"/>
    <n v="0"/>
    <n v="0"/>
    <n v="728"/>
    <n v="0.21"/>
    <x v="3"/>
    <x v="742"/>
    <n v="0"/>
  </r>
  <r>
    <s v="U13688"/>
    <x v="31"/>
    <x v="0"/>
    <x v="0"/>
    <x v="1"/>
    <s v="Engineer"/>
    <n v="2894.26"/>
    <n v="1999.22"/>
    <n v="20404.21"/>
    <s v="No"/>
    <s v="None"/>
    <n v="0"/>
    <n v="0"/>
    <n v="0"/>
    <n v="0"/>
    <n v="0"/>
    <n v="751"/>
    <n v="0.59"/>
    <x v="0"/>
    <x v="86"/>
    <n v="0"/>
  </r>
  <r>
    <s v="U13690"/>
    <x v="41"/>
    <x v="0"/>
    <x v="2"/>
    <x v="0"/>
    <s v="Doctor"/>
    <n v="3089.63"/>
    <n v="2455.33"/>
    <n v="33746.699999999997"/>
    <s v="No"/>
    <s v="None"/>
    <n v="0"/>
    <n v="0"/>
    <n v="0"/>
    <n v="0"/>
    <n v="0"/>
    <n v="354"/>
    <n v="0.91"/>
    <x v="2"/>
    <x v="177"/>
    <n v="0"/>
  </r>
  <r>
    <s v="U13693"/>
    <x v="27"/>
    <x v="2"/>
    <x v="0"/>
    <x v="1"/>
    <s v="Engineer"/>
    <n v="6895.16"/>
    <n v="2602.21"/>
    <n v="66633.2"/>
    <s v="Yes"/>
    <s v="Business"/>
    <n v="181114.64"/>
    <n v="300"/>
    <n v="4411.88"/>
    <n v="29.21"/>
    <n v="0.64"/>
    <n v="767"/>
    <n v="0.81"/>
    <x v="0"/>
    <x v="257"/>
    <n v="1"/>
  </r>
  <r>
    <s v="U13710"/>
    <x v="5"/>
    <x v="1"/>
    <x v="0"/>
    <x v="1"/>
    <s v="Student"/>
    <n v="4720.32"/>
    <n v="1484.66"/>
    <n v="44044.13"/>
    <s v="No"/>
    <s v="None"/>
    <n v="0"/>
    <n v="0"/>
    <n v="0"/>
    <n v="0"/>
    <n v="0"/>
    <n v="469"/>
    <n v="0.78"/>
    <x v="3"/>
    <x v="743"/>
    <n v="0"/>
  </r>
  <r>
    <s v="U13714"/>
    <x v="16"/>
    <x v="1"/>
    <x v="1"/>
    <x v="1"/>
    <s v="Teacher"/>
    <n v="6508.73"/>
    <n v="5342.99"/>
    <n v="16561.13"/>
    <s v="No"/>
    <s v="None"/>
    <n v="0"/>
    <n v="0"/>
    <n v="0"/>
    <n v="0"/>
    <n v="0"/>
    <n v="663"/>
    <n v="0.21"/>
    <x v="3"/>
    <x v="472"/>
    <n v="0"/>
  </r>
  <r>
    <s v="U13717"/>
    <x v="11"/>
    <x v="1"/>
    <x v="3"/>
    <x v="1"/>
    <s v="Unemployed"/>
    <n v="6943.53"/>
    <n v="3940.05"/>
    <n v="68579.429999999993"/>
    <s v="No"/>
    <s v="None"/>
    <n v="0"/>
    <n v="0"/>
    <n v="0"/>
    <n v="0"/>
    <n v="0"/>
    <n v="771"/>
    <n v="0.82"/>
    <x v="4"/>
    <x v="744"/>
    <n v="0"/>
  </r>
  <r>
    <s v="U13728"/>
    <x v="30"/>
    <x v="1"/>
    <x v="1"/>
    <x v="1"/>
    <s v="Student"/>
    <n v="1592.53"/>
    <n v="1184.45"/>
    <n v="10978.49"/>
    <s v="Yes"/>
    <s v="Home"/>
    <n v="241006.25"/>
    <n v="300"/>
    <n v="1720.33"/>
    <n v="7.11"/>
    <n v="1.08"/>
    <n v="308"/>
    <n v="0.56999999999999995"/>
    <x v="2"/>
    <x v="288"/>
    <n v="1"/>
  </r>
  <r>
    <s v="U13732"/>
    <x v="44"/>
    <x v="1"/>
    <x v="3"/>
    <x v="1"/>
    <s v="Salesperson"/>
    <n v="5746.68"/>
    <n v="3122.84"/>
    <n v="53447.18"/>
    <s v="No"/>
    <s v="None"/>
    <n v="0"/>
    <n v="0"/>
    <n v="0"/>
    <n v="0"/>
    <n v="0"/>
    <n v="726"/>
    <n v="0.78"/>
    <x v="2"/>
    <x v="745"/>
    <n v="0"/>
  </r>
  <r>
    <s v="U13733"/>
    <x v="24"/>
    <x v="0"/>
    <x v="3"/>
    <x v="2"/>
    <s v="Engineer"/>
    <n v="2056.65"/>
    <n v="1707.08"/>
    <n v="11331.94"/>
    <s v="No"/>
    <s v="None"/>
    <n v="0"/>
    <n v="0"/>
    <n v="0"/>
    <n v="0"/>
    <n v="0"/>
    <n v="754"/>
    <n v="0.46"/>
    <x v="1"/>
    <x v="746"/>
    <n v="0"/>
  </r>
  <r>
    <s v="U13747"/>
    <x v="28"/>
    <x v="1"/>
    <x v="3"/>
    <x v="2"/>
    <s v="Driver"/>
    <n v="5203.1499999999996"/>
    <n v="3131.16"/>
    <n v="29690.66"/>
    <s v="No"/>
    <s v="None"/>
    <n v="0"/>
    <n v="0"/>
    <n v="0"/>
    <n v="0"/>
    <n v="0"/>
    <n v="840"/>
    <n v="0.48"/>
    <x v="0"/>
    <x v="747"/>
    <n v="0"/>
  </r>
  <r>
    <s v="U13756"/>
    <x v="19"/>
    <x v="1"/>
    <x v="3"/>
    <x v="1"/>
    <s v="Unemployed"/>
    <n v="1288.02"/>
    <n v="725.85"/>
    <n v="9720.6200000000008"/>
    <s v="Yes"/>
    <s v="Education"/>
    <n v="100120.72"/>
    <n v="180"/>
    <n v="1581.49"/>
    <n v="17.57"/>
    <n v="1.23"/>
    <n v="437"/>
    <n v="0.63"/>
    <x v="1"/>
    <x v="748"/>
    <n v="1"/>
  </r>
  <r>
    <s v="U13782"/>
    <x v="19"/>
    <x v="0"/>
    <x v="2"/>
    <x v="1"/>
    <s v="Manager"/>
    <n v="5679.54"/>
    <n v="2671.35"/>
    <n v="60941.53"/>
    <s v="No"/>
    <s v="None"/>
    <n v="0"/>
    <n v="0"/>
    <n v="0"/>
    <n v="0"/>
    <n v="0"/>
    <n v="818"/>
    <n v="0.89"/>
    <x v="4"/>
    <x v="24"/>
    <n v="0"/>
  </r>
  <r>
    <s v="U13792"/>
    <x v="2"/>
    <x v="1"/>
    <x v="2"/>
    <x v="1"/>
    <s v="Manager"/>
    <n v="6602.57"/>
    <n v="5501.1"/>
    <n v="16606.03"/>
    <s v="No"/>
    <s v="None"/>
    <n v="0"/>
    <n v="0"/>
    <n v="0"/>
    <n v="0"/>
    <n v="0"/>
    <n v="413"/>
    <n v="0.21"/>
    <x v="2"/>
    <x v="596"/>
    <n v="0"/>
  </r>
  <r>
    <s v="U13814"/>
    <x v="25"/>
    <x v="1"/>
    <x v="2"/>
    <x v="1"/>
    <s v="Driver"/>
    <n v="7444.28"/>
    <n v="5042.3100000000004"/>
    <n v="70836.36"/>
    <s v="No"/>
    <s v="None"/>
    <n v="0"/>
    <n v="0"/>
    <n v="0"/>
    <n v="0"/>
    <n v="0"/>
    <n v="545"/>
    <n v="0.79"/>
    <x v="2"/>
    <x v="749"/>
    <n v="0"/>
  </r>
  <r>
    <s v="U13824"/>
    <x v="49"/>
    <x v="0"/>
    <x v="2"/>
    <x v="1"/>
    <s v="Unemployed"/>
    <n v="3920.29"/>
    <n v="1513.65"/>
    <n v="10522.51"/>
    <s v="No"/>
    <s v="None"/>
    <n v="0"/>
    <n v="0"/>
    <n v="0"/>
    <n v="0"/>
    <n v="0"/>
    <n v="667"/>
    <n v="0.22"/>
    <x v="2"/>
    <x v="750"/>
    <n v="0"/>
  </r>
  <r>
    <s v="U13838"/>
    <x v="11"/>
    <x v="1"/>
    <x v="3"/>
    <x v="3"/>
    <s v="Doctor"/>
    <n v="5330.15"/>
    <n v="1836.88"/>
    <n v="62121.08"/>
    <s v="No"/>
    <s v="None"/>
    <n v="0"/>
    <n v="0"/>
    <n v="0"/>
    <n v="0"/>
    <n v="0"/>
    <n v="786"/>
    <n v="0.97"/>
    <x v="3"/>
    <x v="421"/>
    <n v="0"/>
  </r>
  <r>
    <s v="U13840"/>
    <x v="28"/>
    <x v="0"/>
    <x v="3"/>
    <x v="1"/>
    <s v="Teacher"/>
    <n v="2744.99"/>
    <n v="1701.05"/>
    <n v="23342.69"/>
    <s v="No"/>
    <s v="None"/>
    <n v="0"/>
    <n v="0"/>
    <n v="0"/>
    <n v="0"/>
    <n v="0"/>
    <n v="448"/>
    <n v="0.71"/>
    <x v="1"/>
    <x v="83"/>
    <n v="0"/>
  </r>
  <r>
    <s v="U13849"/>
    <x v="7"/>
    <x v="2"/>
    <x v="2"/>
    <x v="1"/>
    <s v="Engineer"/>
    <n v="6676.44"/>
    <n v="3573.15"/>
    <n v="44925.65"/>
    <s v="No"/>
    <s v="None"/>
    <n v="0"/>
    <n v="0"/>
    <n v="0"/>
    <n v="0"/>
    <n v="0"/>
    <n v="507"/>
    <n v="0.56000000000000005"/>
    <x v="4"/>
    <x v="291"/>
    <n v="0"/>
  </r>
  <r>
    <s v="U13875"/>
    <x v="12"/>
    <x v="0"/>
    <x v="3"/>
    <x v="2"/>
    <s v="Engineer"/>
    <n v="500"/>
    <n v="340.76"/>
    <n v="2300.2800000000002"/>
    <s v="No"/>
    <s v="None"/>
    <n v="0"/>
    <n v="0"/>
    <n v="0"/>
    <n v="0"/>
    <n v="0"/>
    <n v="464"/>
    <n v="0.38"/>
    <x v="2"/>
    <x v="390"/>
    <n v="0"/>
  </r>
  <r>
    <s v="U13882"/>
    <x v="4"/>
    <x v="0"/>
    <x v="3"/>
    <x v="1"/>
    <s v="Unemployed"/>
    <n v="2003.72"/>
    <n v="1457.02"/>
    <n v="23436.93"/>
    <s v="Yes"/>
    <s v="Car"/>
    <n v="165151.39000000001"/>
    <n v="60"/>
    <n v="3659.53"/>
    <n v="11.83"/>
    <n v="1.83"/>
    <n v="505"/>
    <n v="0.97"/>
    <x v="2"/>
    <x v="751"/>
    <n v="1"/>
  </r>
  <r>
    <s v="U13926"/>
    <x v="12"/>
    <x v="0"/>
    <x v="3"/>
    <x v="3"/>
    <s v="Engineer"/>
    <n v="1380.96"/>
    <n v="628.78"/>
    <n v="7848.4"/>
    <s v="No"/>
    <s v="None"/>
    <n v="0"/>
    <n v="0"/>
    <n v="0"/>
    <n v="0"/>
    <n v="0"/>
    <n v="794"/>
    <n v="0.47"/>
    <x v="1"/>
    <x v="752"/>
    <n v="0"/>
  </r>
  <r>
    <s v="U13940"/>
    <x v="39"/>
    <x v="0"/>
    <x v="2"/>
    <x v="1"/>
    <s v="Unemployed"/>
    <n v="3202.22"/>
    <n v="1195.8699999999999"/>
    <n v="19006.12"/>
    <s v="No"/>
    <s v="None"/>
    <n v="0"/>
    <n v="0"/>
    <n v="0"/>
    <n v="0"/>
    <n v="0"/>
    <n v="357"/>
    <n v="0.49"/>
    <x v="3"/>
    <x v="253"/>
    <n v="0"/>
  </r>
  <r>
    <s v="U13965"/>
    <x v="15"/>
    <x v="0"/>
    <x v="0"/>
    <x v="1"/>
    <s v="Student"/>
    <n v="4516.6099999999997"/>
    <n v="2793.52"/>
    <n v="33365.339999999997"/>
    <s v="Yes"/>
    <s v="Education"/>
    <n v="394725.26"/>
    <n v="360"/>
    <n v="5041.62"/>
    <n v="15.16"/>
    <n v="1.1200000000000001"/>
    <n v="427"/>
    <n v="0.62"/>
    <x v="1"/>
    <x v="555"/>
    <n v="1"/>
  </r>
  <r>
    <s v="U13978"/>
    <x v="26"/>
    <x v="0"/>
    <x v="0"/>
    <x v="1"/>
    <s v="Student"/>
    <n v="5407.02"/>
    <n v="1959.75"/>
    <n v="32543.81"/>
    <s v="No"/>
    <s v="None"/>
    <n v="0"/>
    <n v="0"/>
    <n v="0"/>
    <n v="0"/>
    <n v="0"/>
    <n v="615"/>
    <n v="0.5"/>
    <x v="4"/>
    <x v="92"/>
    <n v="0"/>
  </r>
  <r>
    <s v="U13992"/>
    <x v="50"/>
    <x v="0"/>
    <x v="0"/>
    <x v="1"/>
    <s v="Accountant"/>
    <n v="4805.95"/>
    <n v="2228.33"/>
    <n v="24354.1"/>
    <s v="Yes"/>
    <s v="Home"/>
    <n v="441930.58"/>
    <n v="240"/>
    <n v="6261.39"/>
    <n v="16.34"/>
    <n v="1.3"/>
    <n v="817"/>
    <n v="0.42"/>
    <x v="0"/>
    <x v="753"/>
    <n v="1"/>
  </r>
  <r>
    <s v="U14007"/>
    <x v="38"/>
    <x v="0"/>
    <x v="2"/>
    <x v="1"/>
    <s v="Engineer"/>
    <n v="4370.28"/>
    <n v="1926.62"/>
    <n v="26836.18"/>
    <s v="No"/>
    <s v="None"/>
    <n v="0"/>
    <n v="0"/>
    <n v="0"/>
    <n v="0"/>
    <n v="0"/>
    <n v="646"/>
    <n v="0.51"/>
    <x v="2"/>
    <x v="129"/>
    <n v="0"/>
  </r>
  <r>
    <s v="U14023"/>
    <x v="23"/>
    <x v="0"/>
    <x v="0"/>
    <x v="1"/>
    <s v="Salesperson"/>
    <n v="2099.5300000000002"/>
    <n v="1137.4100000000001"/>
    <n v="18719.21"/>
    <s v="No"/>
    <s v="None"/>
    <n v="0"/>
    <n v="0"/>
    <n v="0"/>
    <n v="0"/>
    <n v="0"/>
    <n v="577"/>
    <n v="0.74"/>
    <x v="2"/>
    <x v="739"/>
    <n v="0"/>
  </r>
  <r>
    <s v="U14024"/>
    <x v="22"/>
    <x v="1"/>
    <x v="0"/>
    <x v="3"/>
    <s v="Manager"/>
    <n v="2486.67"/>
    <n v="1242.6099999999999"/>
    <n v="22120.53"/>
    <s v="No"/>
    <s v="None"/>
    <n v="0"/>
    <n v="0"/>
    <n v="0"/>
    <n v="0"/>
    <n v="0"/>
    <n v="785"/>
    <n v="0.74"/>
    <x v="0"/>
    <x v="754"/>
    <n v="0"/>
  </r>
  <r>
    <s v="U14042"/>
    <x v="9"/>
    <x v="0"/>
    <x v="3"/>
    <x v="1"/>
    <s v="Manager"/>
    <n v="3751.26"/>
    <n v="2563.9899999999998"/>
    <n v="5353.93"/>
    <s v="No"/>
    <s v="None"/>
    <n v="0"/>
    <n v="0"/>
    <n v="0"/>
    <n v="0"/>
    <n v="0"/>
    <n v="483"/>
    <n v="0.12"/>
    <x v="4"/>
    <x v="755"/>
    <n v="0"/>
  </r>
  <r>
    <s v="U14059"/>
    <x v="19"/>
    <x v="0"/>
    <x v="3"/>
    <x v="2"/>
    <s v="Teacher"/>
    <n v="4698.66"/>
    <n v="3913.08"/>
    <n v="29741.81"/>
    <s v="No"/>
    <s v="None"/>
    <n v="0"/>
    <n v="0"/>
    <n v="0"/>
    <n v="0"/>
    <n v="0"/>
    <n v="597"/>
    <n v="0.53"/>
    <x v="3"/>
    <x v="756"/>
    <n v="0"/>
  </r>
  <r>
    <s v="U14113"/>
    <x v="31"/>
    <x v="1"/>
    <x v="1"/>
    <x v="3"/>
    <s v="Accountant"/>
    <n v="6514.27"/>
    <n v="2384.61"/>
    <n v="52016.2"/>
    <s v="No"/>
    <s v="None"/>
    <n v="0"/>
    <n v="0"/>
    <n v="0"/>
    <n v="0"/>
    <n v="0"/>
    <n v="769"/>
    <n v="0.67"/>
    <x v="3"/>
    <x v="757"/>
    <n v="0"/>
  </r>
  <r>
    <s v="U14121"/>
    <x v="23"/>
    <x v="1"/>
    <x v="3"/>
    <x v="0"/>
    <s v="Unemployed"/>
    <n v="500"/>
    <n v="357.42"/>
    <n v="3220"/>
    <s v="No"/>
    <s v="None"/>
    <n v="0"/>
    <n v="0"/>
    <n v="0"/>
    <n v="0"/>
    <n v="0"/>
    <n v="337"/>
    <n v="0.54"/>
    <x v="2"/>
    <x v="397"/>
    <n v="0"/>
  </r>
  <r>
    <s v="U14135"/>
    <x v="25"/>
    <x v="1"/>
    <x v="0"/>
    <x v="1"/>
    <s v="Engineer"/>
    <n v="3739.29"/>
    <n v="3301.26"/>
    <n v="28138.86"/>
    <s v="No"/>
    <s v="None"/>
    <n v="0"/>
    <n v="0"/>
    <n v="0"/>
    <n v="0"/>
    <n v="0"/>
    <n v="696"/>
    <n v="0.63"/>
    <x v="2"/>
    <x v="758"/>
    <n v="0"/>
  </r>
  <r>
    <s v="U14147"/>
    <x v="8"/>
    <x v="1"/>
    <x v="3"/>
    <x v="1"/>
    <s v="Driver"/>
    <n v="6568.5"/>
    <n v="5252.89"/>
    <n v="12653.91"/>
    <s v="No"/>
    <s v="None"/>
    <n v="0"/>
    <n v="0"/>
    <n v="0"/>
    <n v="0"/>
    <n v="0"/>
    <n v="591"/>
    <n v="0.16"/>
    <x v="4"/>
    <x v="401"/>
    <n v="0"/>
  </r>
  <r>
    <s v="U14148"/>
    <x v="17"/>
    <x v="1"/>
    <x v="2"/>
    <x v="0"/>
    <s v="Engineer"/>
    <n v="7319.09"/>
    <n v="4562.55"/>
    <n v="19418.689999999999"/>
    <s v="Yes"/>
    <s v="Education"/>
    <n v="266054.73"/>
    <n v="360"/>
    <n v="4072.69"/>
    <n v="18.29"/>
    <n v="0.56000000000000005"/>
    <n v="819"/>
    <n v="0.22"/>
    <x v="0"/>
    <x v="759"/>
    <n v="1"/>
  </r>
  <r>
    <s v="U14156"/>
    <x v="27"/>
    <x v="1"/>
    <x v="3"/>
    <x v="2"/>
    <s v="Doctor"/>
    <n v="4090.3"/>
    <n v="3573.88"/>
    <n v="19421.349999999999"/>
    <s v="No"/>
    <s v="None"/>
    <n v="0"/>
    <n v="0"/>
    <n v="0"/>
    <n v="0"/>
    <n v="0"/>
    <n v="305"/>
    <n v="0.4"/>
    <x v="4"/>
    <x v="760"/>
    <n v="0"/>
  </r>
  <r>
    <s v="U14176"/>
    <x v="49"/>
    <x v="1"/>
    <x v="2"/>
    <x v="2"/>
    <s v="Salesperson"/>
    <n v="6230.77"/>
    <n v="3418.99"/>
    <n v="37269.599999999999"/>
    <s v="No"/>
    <s v="None"/>
    <n v="0"/>
    <n v="0"/>
    <n v="0"/>
    <n v="0"/>
    <n v="0"/>
    <n v="651"/>
    <n v="0.5"/>
    <x v="3"/>
    <x v="761"/>
    <n v="0"/>
  </r>
  <r>
    <s v="U14189"/>
    <x v="36"/>
    <x v="1"/>
    <x v="0"/>
    <x v="1"/>
    <s v="Unemployed"/>
    <n v="4139.7700000000004"/>
    <n v="3175.23"/>
    <n v="37568"/>
    <s v="No"/>
    <s v="None"/>
    <n v="0"/>
    <n v="0"/>
    <n v="0"/>
    <n v="0"/>
    <n v="0"/>
    <n v="460"/>
    <n v="0.76"/>
    <x v="1"/>
    <x v="454"/>
    <n v="0"/>
  </r>
  <r>
    <s v="U14197"/>
    <x v="21"/>
    <x v="0"/>
    <x v="3"/>
    <x v="1"/>
    <s v="Engineer"/>
    <n v="2845.9"/>
    <n v="929.06"/>
    <n v="12628.39"/>
    <s v="No"/>
    <s v="None"/>
    <n v="0"/>
    <n v="0"/>
    <n v="0"/>
    <n v="0"/>
    <n v="0"/>
    <n v="613"/>
    <n v="0.37"/>
    <x v="0"/>
    <x v="762"/>
    <n v="0"/>
  </r>
  <r>
    <s v="U14204"/>
    <x v="20"/>
    <x v="1"/>
    <x v="3"/>
    <x v="1"/>
    <s v="Engineer"/>
    <n v="6608.95"/>
    <n v="5667.44"/>
    <n v="72089.009999999995"/>
    <s v="No"/>
    <s v="None"/>
    <n v="0"/>
    <n v="0"/>
    <n v="0"/>
    <n v="0"/>
    <n v="0"/>
    <n v="598"/>
    <n v="0.91"/>
    <x v="2"/>
    <x v="219"/>
    <n v="0"/>
  </r>
  <r>
    <s v="U14214"/>
    <x v="49"/>
    <x v="0"/>
    <x v="1"/>
    <x v="1"/>
    <s v="Manager"/>
    <n v="1478.71"/>
    <n v="565.99"/>
    <n v="7329.9"/>
    <s v="Yes"/>
    <s v="Home"/>
    <n v="89121.01"/>
    <n v="60"/>
    <n v="1691.64"/>
    <n v="5.24"/>
    <n v="1.1399999999999999"/>
    <n v="546"/>
    <n v="0.41"/>
    <x v="4"/>
    <x v="763"/>
    <n v="1"/>
  </r>
  <r>
    <s v="U14222"/>
    <x v="15"/>
    <x v="1"/>
    <x v="4"/>
    <x v="1"/>
    <s v="Driver"/>
    <n v="6663.17"/>
    <n v="3029.51"/>
    <n v="29907.73"/>
    <s v="No"/>
    <s v="None"/>
    <n v="0"/>
    <n v="0"/>
    <n v="0"/>
    <n v="0"/>
    <n v="0"/>
    <n v="396"/>
    <n v="0.37"/>
    <x v="1"/>
    <x v="26"/>
    <n v="0"/>
  </r>
  <r>
    <s v="U14226"/>
    <x v="50"/>
    <x v="1"/>
    <x v="3"/>
    <x v="1"/>
    <s v="Accountant"/>
    <n v="6619.34"/>
    <n v="3360.75"/>
    <n v="39048.22"/>
    <s v="Yes"/>
    <s v="Car"/>
    <n v="237083.41"/>
    <n v="360"/>
    <n v="3068.05"/>
    <n v="15.37"/>
    <n v="0.46"/>
    <n v="794"/>
    <n v="0.49"/>
    <x v="1"/>
    <x v="405"/>
    <n v="1"/>
  </r>
  <r>
    <s v="U14237"/>
    <x v="25"/>
    <x v="1"/>
    <x v="2"/>
    <x v="1"/>
    <s v="Accountant"/>
    <n v="5460.85"/>
    <n v="2664.31"/>
    <n v="11677.43"/>
    <s v="No"/>
    <s v="None"/>
    <n v="0"/>
    <n v="0"/>
    <n v="0"/>
    <n v="0"/>
    <n v="0"/>
    <n v="441"/>
    <n v="0.18"/>
    <x v="0"/>
    <x v="346"/>
    <n v="0"/>
  </r>
  <r>
    <s v="U14243"/>
    <x v="25"/>
    <x v="0"/>
    <x v="3"/>
    <x v="2"/>
    <s v="Doctor"/>
    <n v="2557.88"/>
    <n v="1843.96"/>
    <n v="14104.18"/>
    <s v="No"/>
    <s v="None"/>
    <n v="0"/>
    <n v="0"/>
    <n v="0"/>
    <n v="0"/>
    <n v="0"/>
    <n v="510"/>
    <n v="0.46"/>
    <x v="4"/>
    <x v="197"/>
    <n v="0"/>
  </r>
  <r>
    <s v="U14246"/>
    <x v="35"/>
    <x v="1"/>
    <x v="0"/>
    <x v="1"/>
    <s v="Engineer"/>
    <n v="1022.61"/>
    <n v="445.59"/>
    <n v="4193.32"/>
    <s v="No"/>
    <s v="None"/>
    <n v="0"/>
    <n v="0"/>
    <n v="0"/>
    <n v="0"/>
    <n v="0"/>
    <n v="389"/>
    <n v="0.34"/>
    <x v="3"/>
    <x v="672"/>
    <n v="0"/>
  </r>
  <r>
    <s v="U14272"/>
    <x v="37"/>
    <x v="0"/>
    <x v="2"/>
    <x v="2"/>
    <s v="Teacher"/>
    <n v="6066.29"/>
    <n v="3566.6"/>
    <n v="17689.48"/>
    <s v="Yes"/>
    <s v="Car"/>
    <n v="243039.98"/>
    <n v="60"/>
    <n v="7486.81"/>
    <n v="27.45"/>
    <n v="1.23"/>
    <n v="541"/>
    <n v="0.24"/>
    <x v="1"/>
    <x v="545"/>
    <n v="1"/>
  </r>
  <r>
    <s v="U14273"/>
    <x v="37"/>
    <x v="0"/>
    <x v="0"/>
    <x v="1"/>
    <s v="Student"/>
    <n v="4384.91"/>
    <n v="2723.15"/>
    <n v="8170.44"/>
    <s v="Yes"/>
    <s v="Business"/>
    <n v="474433.24"/>
    <n v="360"/>
    <n v="5400.64"/>
    <n v="13.41"/>
    <n v="1.23"/>
    <n v="536"/>
    <n v="0.16"/>
    <x v="2"/>
    <x v="372"/>
    <n v="1"/>
  </r>
  <r>
    <s v="U14286"/>
    <x v="2"/>
    <x v="1"/>
    <x v="2"/>
    <x v="1"/>
    <s v="Doctor"/>
    <n v="3568.68"/>
    <n v="1508.95"/>
    <n v="12973.85"/>
    <s v="No"/>
    <s v="None"/>
    <n v="0"/>
    <n v="0"/>
    <n v="0"/>
    <n v="0"/>
    <n v="0"/>
    <n v="822"/>
    <n v="0.3"/>
    <x v="4"/>
    <x v="764"/>
    <n v="0"/>
  </r>
  <r>
    <s v="U14305"/>
    <x v="24"/>
    <x v="1"/>
    <x v="0"/>
    <x v="1"/>
    <s v="Manager"/>
    <n v="8062.74"/>
    <n v="4337.63"/>
    <n v="26487.279999999999"/>
    <s v="Yes"/>
    <s v="Car"/>
    <n v="402398.93"/>
    <n v="180"/>
    <n v="3899.15"/>
    <n v="8.23"/>
    <n v="0.48"/>
    <n v="401"/>
    <n v="0.27"/>
    <x v="2"/>
    <x v="765"/>
    <n v="1"/>
  </r>
  <r>
    <s v="U14322"/>
    <x v="10"/>
    <x v="1"/>
    <x v="3"/>
    <x v="2"/>
    <s v="Engineer"/>
    <n v="4368.97"/>
    <n v="2008.98"/>
    <n v="22723.82"/>
    <s v="No"/>
    <s v="None"/>
    <n v="0"/>
    <n v="0"/>
    <n v="0"/>
    <n v="0"/>
    <n v="0"/>
    <n v="600"/>
    <n v="0.43"/>
    <x v="4"/>
    <x v="766"/>
    <n v="0"/>
  </r>
  <r>
    <s v="U14325"/>
    <x v="40"/>
    <x v="0"/>
    <x v="3"/>
    <x v="1"/>
    <s v="Driver"/>
    <n v="1664.12"/>
    <n v="1161.74"/>
    <n v="4242.8500000000004"/>
    <s v="No"/>
    <s v="None"/>
    <n v="0"/>
    <n v="0"/>
    <n v="0"/>
    <n v="0"/>
    <n v="0"/>
    <n v="380"/>
    <n v="0.21"/>
    <x v="2"/>
    <x v="767"/>
    <n v="0"/>
  </r>
  <r>
    <s v="U14336"/>
    <x v="30"/>
    <x v="0"/>
    <x v="0"/>
    <x v="3"/>
    <s v="Driver"/>
    <n v="2696.01"/>
    <n v="1053.23"/>
    <n v="21046.07"/>
    <s v="No"/>
    <s v="None"/>
    <n v="0"/>
    <n v="0"/>
    <n v="0"/>
    <n v="0"/>
    <n v="0"/>
    <n v="462"/>
    <n v="0.65"/>
    <x v="3"/>
    <x v="595"/>
    <n v="0"/>
  </r>
  <r>
    <s v="U14340"/>
    <x v="13"/>
    <x v="0"/>
    <x v="0"/>
    <x v="3"/>
    <s v="Unemployed"/>
    <n v="6111.56"/>
    <n v="3306.19"/>
    <n v="63874.85"/>
    <s v="No"/>
    <s v="None"/>
    <n v="0"/>
    <n v="0"/>
    <n v="0"/>
    <n v="0"/>
    <n v="0"/>
    <n v="789"/>
    <n v="0.87"/>
    <x v="2"/>
    <x v="768"/>
    <n v="0"/>
  </r>
  <r>
    <s v="U14347"/>
    <x v="44"/>
    <x v="1"/>
    <x v="2"/>
    <x v="3"/>
    <s v="Doctor"/>
    <n v="7001.06"/>
    <n v="3740.31"/>
    <n v="73239"/>
    <s v="No"/>
    <s v="None"/>
    <n v="0"/>
    <n v="0"/>
    <n v="0"/>
    <n v="0"/>
    <n v="0"/>
    <n v="657"/>
    <n v="0.87"/>
    <x v="2"/>
    <x v="713"/>
    <n v="0"/>
  </r>
  <r>
    <s v="U14386"/>
    <x v="6"/>
    <x v="0"/>
    <x v="0"/>
    <x v="1"/>
    <s v="Accountant"/>
    <n v="5514.29"/>
    <n v="4852.03"/>
    <n v="9370.5499999999993"/>
    <s v="No"/>
    <s v="None"/>
    <n v="0"/>
    <n v="0"/>
    <n v="0"/>
    <n v="0"/>
    <n v="0"/>
    <n v="502"/>
    <n v="0.14000000000000001"/>
    <x v="4"/>
    <x v="769"/>
    <n v="0"/>
  </r>
  <r>
    <s v="U14395"/>
    <x v="47"/>
    <x v="0"/>
    <x v="2"/>
    <x v="0"/>
    <s v="Student"/>
    <n v="4203.33"/>
    <n v="2421.81"/>
    <n v="39853.83"/>
    <s v="Yes"/>
    <s v="Car"/>
    <n v="110847.45"/>
    <n v="120"/>
    <n v="1822.45"/>
    <n v="15.5"/>
    <n v="0.43"/>
    <n v="683"/>
    <n v="0.79"/>
    <x v="0"/>
    <x v="447"/>
    <n v="1"/>
  </r>
  <r>
    <s v="U14400"/>
    <x v="25"/>
    <x v="0"/>
    <x v="3"/>
    <x v="2"/>
    <s v="Teacher"/>
    <n v="7070.74"/>
    <n v="3169.12"/>
    <n v="75937.19"/>
    <s v="Yes"/>
    <s v="Business"/>
    <n v="108506.43"/>
    <n v="12"/>
    <n v="9484.02"/>
    <n v="8.9"/>
    <n v="1.34"/>
    <n v="786"/>
    <n v="0.89"/>
    <x v="4"/>
    <x v="770"/>
    <n v="1"/>
  </r>
  <r>
    <s v="U14417"/>
    <x v="43"/>
    <x v="0"/>
    <x v="3"/>
    <x v="1"/>
    <s v="Manager"/>
    <n v="4744.17"/>
    <n v="3772.88"/>
    <n v="50468.51"/>
    <s v="No"/>
    <s v="None"/>
    <n v="0"/>
    <n v="0"/>
    <n v="0"/>
    <n v="0"/>
    <n v="0"/>
    <n v="336"/>
    <n v="0.89"/>
    <x v="4"/>
    <x v="176"/>
    <n v="0"/>
  </r>
  <r>
    <s v="U14432"/>
    <x v="34"/>
    <x v="0"/>
    <x v="4"/>
    <x v="2"/>
    <s v="Teacher"/>
    <n v="4393.75"/>
    <n v="3742.74"/>
    <n v="32597.69"/>
    <s v="No"/>
    <s v="None"/>
    <n v="0"/>
    <n v="0"/>
    <n v="0"/>
    <n v="0"/>
    <n v="0"/>
    <n v="392"/>
    <n v="0.62"/>
    <x v="3"/>
    <x v="725"/>
    <n v="0"/>
  </r>
  <r>
    <s v="U14433"/>
    <x v="47"/>
    <x v="1"/>
    <x v="0"/>
    <x v="1"/>
    <s v="Teacher"/>
    <n v="2731.64"/>
    <n v="2256.64"/>
    <n v="16223.56"/>
    <s v="No"/>
    <s v="None"/>
    <n v="0"/>
    <n v="0"/>
    <n v="0"/>
    <n v="0"/>
    <n v="0"/>
    <n v="362"/>
    <n v="0.49"/>
    <x v="0"/>
    <x v="771"/>
    <n v="0"/>
  </r>
  <r>
    <s v="U14434"/>
    <x v="15"/>
    <x v="0"/>
    <x v="3"/>
    <x v="1"/>
    <s v="Driver"/>
    <n v="8758.52"/>
    <n v="6948.2"/>
    <n v="102245.3"/>
    <s v="No"/>
    <s v="None"/>
    <n v="0"/>
    <n v="0"/>
    <n v="0"/>
    <n v="0"/>
    <n v="0"/>
    <n v="715"/>
    <n v="0.97"/>
    <x v="4"/>
    <x v="772"/>
    <n v="0"/>
  </r>
  <r>
    <s v="U14438"/>
    <x v="45"/>
    <x v="0"/>
    <x v="0"/>
    <x v="1"/>
    <s v="Teacher"/>
    <n v="6431.09"/>
    <n v="2207.9699999999998"/>
    <n v="57115.83"/>
    <s v="No"/>
    <s v="None"/>
    <n v="0"/>
    <n v="0"/>
    <n v="0"/>
    <n v="0"/>
    <n v="0"/>
    <n v="305"/>
    <n v="0.74"/>
    <x v="0"/>
    <x v="773"/>
    <n v="0"/>
  </r>
  <r>
    <s v="U14441"/>
    <x v="7"/>
    <x v="0"/>
    <x v="0"/>
    <x v="2"/>
    <s v="Manager"/>
    <n v="3038.97"/>
    <n v="2730.88"/>
    <n v="21784.22"/>
    <s v="No"/>
    <s v="None"/>
    <n v="0"/>
    <n v="0"/>
    <n v="0"/>
    <n v="0"/>
    <n v="0"/>
    <n v="433"/>
    <n v="0.6"/>
    <x v="2"/>
    <x v="738"/>
    <n v="0"/>
  </r>
  <r>
    <s v="U14449"/>
    <x v="36"/>
    <x v="0"/>
    <x v="3"/>
    <x v="2"/>
    <s v="Manager"/>
    <n v="6028.49"/>
    <n v="3149.54"/>
    <n v="10549.37"/>
    <s v="No"/>
    <s v="None"/>
    <n v="0"/>
    <n v="0"/>
    <n v="0"/>
    <n v="0"/>
    <n v="0"/>
    <n v="634"/>
    <n v="0.15"/>
    <x v="0"/>
    <x v="510"/>
    <n v="0"/>
  </r>
  <r>
    <s v="U14452"/>
    <x v="39"/>
    <x v="0"/>
    <x v="3"/>
    <x v="1"/>
    <s v="Student"/>
    <n v="4640.63"/>
    <n v="2807.8"/>
    <n v="41218.589999999997"/>
    <s v="No"/>
    <s v="None"/>
    <n v="0"/>
    <n v="0"/>
    <n v="0"/>
    <n v="0"/>
    <n v="0"/>
    <n v="730"/>
    <n v="0.74"/>
    <x v="0"/>
    <x v="164"/>
    <n v="0"/>
  </r>
  <r>
    <s v="U14465"/>
    <x v="24"/>
    <x v="0"/>
    <x v="1"/>
    <x v="1"/>
    <s v="Unemployed"/>
    <n v="5627.8"/>
    <n v="4238.28"/>
    <n v="64998.98"/>
    <s v="Yes"/>
    <s v="Car"/>
    <n v="366412.63"/>
    <n v="180"/>
    <n v="6465.09"/>
    <n v="20.11"/>
    <n v="1.1499999999999999"/>
    <n v="401"/>
    <n v="0.96"/>
    <x v="3"/>
    <x v="774"/>
    <n v="1"/>
  </r>
  <r>
    <s v="U14472"/>
    <x v="19"/>
    <x v="1"/>
    <x v="3"/>
    <x v="3"/>
    <s v="Unemployed"/>
    <n v="4310.3599999999997"/>
    <n v="3486.49"/>
    <n v="7896.88"/>
    <s v="Yes"/>
    <s v="Car"/>
    <n v="164231.79999999999"/>
    <n v="300"/>
    <n v="3038.68"/>
    <n v="22.11"/>
    <n v="0.7"/>
    <n v="658"/>
    <n v="0.15"/>
    <x v="4"/>
    <x v="394"/>
    <n v="1"/>
  </r>
  <r>
    <s v="U14473"/>
    <x v="40"/>
    <x v="1"/>
    <x v="0"/>
    <x v="2"/>
    <s v="Accountant"/>
    <n v="5054.79"/>
    <n v="1796.09"/>
    <n v="16170.63"/>
    <s v="No"/>
    <s v="None"/>
    <n v="0"/>
    <n v="0"/>
    <n v="0"/>
    <n v="0"/>
    <n v="0"/>
    <n v="714"/>
    <n v="0.27"/>
    <x v="1"/>
    <x v="775"/>
    <n v="0"/>
  </r>
  <r>
    <s v="U14474"/>
    <x v="26"/>
    <x v="0"/>
    <x v="4"/>
    <x v="1"/>
    <s v="Manager"/>
    <n v="3584.33"/>
    <n v="1915.64"/>
    <n v="8635.01"/>
    <s v="No"/>
    <s v="None"/>
    <n v="0"/>
    <n v="0"/>
    <n v="0"/>
    <n v="0"/>
    <n v="0"/>
    <n v="659"/>
    <n v="0.2"/>
    <x v="2"/>
    <x v="776"/>
    <n v="0"/>
  </r>
  <r>
    <s v="U14490"/>
    <x v="12"/>
    <x v="1"/>
    <x v="4"/>
    <x v="1"/>
    <s v="Doctor"/>
    <n v="1171.54"/>
    <n v="966.23"/>
    <n v="5905.85"/>
    <s v="No"/>
    <s v="None"/>
    <n v="0"/>
    <n v="0"/>
    <n v="0"/>
    <n v="0"/>
    <n v="0"/>
    <n v="413"/>
    <n v="0.42"/>
    <x v="4"/>
    <x v="702"/>
    <n v="0"/>
  </r>
  <r>
    <s v="U14521"/>
    <x v="6"/>
    <x v="0"/>
    <x v="1"/>
    <x v="2"/>
    <s v="Engineer"/>
    <n v="5773.72"/>
    <n v="3670.73"/>
    <n v="54177.120000000003"/>
    <s v="Yes"/>
    <s v="Business"/>
    <n v="468007.05"/>
    <n v="360"/>
    <n v="6653.27"/>
    <n v="16.95"/>
    <n v="1.1499999999999999"/>
    <n v="715"/>
    <n v="0.78"/>
    <x v="1"/>
    <x v="478"/>
    <n v="1"/>
  </r>
  <r>
    <s v="U14526"/>
    <x v="46"/>
    <x v="0"/>
    <x v="2"/>
    <x v="1"/>
    <s v="Doctor"/>
    <n v="2917.23"/>
    <n v="2105.84"/>
    <n v="32349.84"/>
    <s v="No"/>
    <s v="None"/>
    <n v="0"/>
    <n v="0"/>
    <n v="0"/>
    <n v="0"/>
    <n v="0"/>
    <n v="768"/>
    <n v="0.92"/>
    <x v="2"/>
    <x v="76"/>
    <n v="0"/>
  </r>
  <r>
    <s v="U14541"/>
    <x v="42"/>
    <x v="1"/>
    <x v="3"/>
    <x v="1"/>
    <s v="Driver"/>
    <n v="5462.35"/>
    <n v="3092.49"/>
    <n v="20190.87"/>
    <s v="No"/>
    <s v="None"/>
    <n v="0"/>
    <n v="0"/>
    <n v="0"/>
    <n v="0"/>
    <n v="0"/>
    <n v="594"/>
    <n v="0.31"/>
    <x v="0"/>
    <x v="385"/>
    <n v="0"/>
  </r>
  <r>
    <s v="U14552"/>
    <x v="37"/>
    <x v="0"/>
    <x v="3"/>
    <x v="0"/>
    <s v="Accountant"/>
    <n v="3230.17"/>
    <n v="2380.77"/>
    <n v="34640.35"/>
    <s v="No"/>
    <s v="None"/>
    <n v="0"/>
    <n v="0"/>
    <n v="0"/>
    <n v="0"/>
    <n v="0"/>
    <n v="304"/>
    <n v="0.89"/>
    <x v="2"/>
    <x v="768"/>
    <n v="0"/>
  </r>
  <r>
    <s v="U14555"/>
    <x v="5"/>
    <x v="0"/>
    <x v="0"/>
    <x v="1"/>
    <s v="Teacher"/>
    <n v="1431.18"/>
    <n v="886.34"/>
    <n v="11385.48"/>
    <s v="No"/>
    <s v="None"/>
    <n v="0"/>
    <n v="0"/>
    <n v="0"/>
    <n v="0"/>
    <n v="0"/>
    <n v="597"/>
    <n v="0.66"/>
    <x v="1"/>
    <x v="777"/>
    <n v="0"/>
  </r>
  <r>
    <s v="U14559"/>
    <x v="20"/>
    <x v="0"/>
    <x v="0"/>
    <x v="1"/>
    <s v="Engineer"/>
    <n v="5824.68"/>
    <n v="2348.21"/>
    <n v="30446.9"/>
    <s v="No"/>
    <s v="None"/>
    <n v="0"/>
    <n v="0"/>
    <n v="0"/>
    <n v="0"/>
    <n v="0"/>
    <n v="359"/>
    <n v="0.44"/>
    <x v="0"/>
    <x v="461"/>
    <n v="0"/>
  </r>
  <r>
    <s v="U14579"/>
    <x v="12"/>
    <x v="0"/>
    <x v="3"/>
    <x v="1"/>
    <s v="Engineer"/>
    <n v="2908.18"/>
    <n v="1070.67"/>
    <n v="33200.639999999999"/>
    <s v="No"/>
    <s v="None"/>
    <n v="0"/>
    <n v="0"/>
    <n v="0"/>
    <n v="0"/>
    <n v="0"/>
    <n v="747"/>
    <n v="0.95"/>
    <x v="4"/>
    <x v="302"/>
    <n v="0"/>
  </r>
  <r>
    <s v="U14589"/>
    <x v="49"/>
    <x v="1"/>
    <x v="3"/>
    <x v="1"/>
    <s v="Teacher"/>
    <n v="2717.35"/>
    <n v="914.97"/>
    <n v="4343.8"/>
    <s v="No"/>
    <s v="None"/>
    <n v="0"/>
    <n v="0"/>
    <n v="0"/>
    <n v="0"/>
    <n v="0"/>
    <n v="831"/>
    <n v="0.13"/>
    <x v="1"/>
    <x v="778"/>
    <n v="0"/>
  </r>
  <r>
    <s v="U14593"/>
    <x v="32"/>
    <x v="1"/>
    <x v="2"/>
    <x v="1"/>
    <s v="Engineer"/>
    <n v="4896.07"/>
    <n v="2424.6999999999998"/>
    <n v="47994.43"/>
    <s v="No"/>
    <s v="None"/>
    <n v="0"/>
    <n v="0"/>
    <n v="0"/>
    <n v="0"/>
    <n v="0"/>
    <n v="762"/>
    <n v="0.82"/>
    <x v="3"/>
    <x v="654"/>
    <n v="0"/>
  </r>
  <r>
    <s v="U14616"/>
    <x v="17"/>
    <x v="0"/>
    <x v="0"/>
    <x v="1"/>
    <s v="Salesperson"/>
    <n v="5829.23"/>
    <n v="5227.08"/>
    <n v="53671.5"/>
    <s v="Yes"/>
    <s v="Home"/>
    <n v="36475.660000000003"/>
    <n v="24"/>
    <n v="1669.73"/>
    <n v="9.1999999999999993"/>
    <n v="0.28999999999999998"/>
    <n v="850"/>
    <n v="0.77"/>
    <x v="3"/>
    <x v="753"/>
    <n v="0"/>
  </r>
  <r>
    <s v="U14620"/>
    <x v="43"/>
    <x v="0"/>
    <x v="3"/>
    <x v="1"/>
    <s v="Doctor"/>
    <n v="1562.78"/>
    <n v="1013.41"/>
    <n v="12000.55"/>
    <s v="No"/>
    <s v="None"/>
    <n v="0"/>
    <n v="0"/>
    <n v="0"/>
    <n v="0"/>
    <n v="0"/>
    <n v="652"/>
    <n v="0.64"/>
    <x v="1"/>
    <x v="779"/>
    <n v="0"/>
  </r>
  <r>
    <s v="U14622"/>
    <x v="36"/>
    <x v="0"/>
    <x v="3"/>
    <x v="1"/>
    <s v="Accountant"/>
    <n v="2806.79"/>
    <n v="1311.72"/>
    <n v="29665.96"/>
    <s v="No"/>
    <s v="None"/>
    <n v="0"/>
    <n v="0"/>
    <n v="0"/>
    <n v="0"/>
    <n v="0"/>
    <n v="347"/>
    <n v="0.88"/>
    <x v="1"/>
    <x v="780"/>
    <n v="0"/>
  </r>
  <r>
    <s v="U14634"/>
    <x v="32"/>
    <x v="1"/>
    <x v="3"/>
    <x v="1"/>
    <s v="Engineer"/>
    <n v="3890.91"/>
    <n v="1414.09"/>
    <n v="15690.67"/>
    <s v="Yes"/>
    <s v="Home"/>
    <n v="153130.56"/>
    <n v="300"/>
    <n v="3605.77"/>
    <n v="28.23"/>
    <n v="0.93"/>
    <n v="614"/>
    <n v="0.34"/>
    <x v="4"/>
    <x v="268"/>
    <n v="1"/>
  </r>
  <r>
    <s v="U14638"/>
    <x v="16"/>
    <x v="1"/>
    <x v="4"/>
    <x v="1"/>
    <s v="Unemployed"/>
    <n v="9840.4599999999991"/>
    <n v="3210.41"/>
    <n v="93743.91"/>
    <s v="Yes"/>
    <s v="Home"/>
    <n v="476912.36"/>
    <n v="360"/>
    <n v="4751.95"/>
    <n v="11.58"/>
    <n v="0.48"/>
    <n v="622"/>
    <n v="0.79"/>
    <x v="4"/>
    <x v="323"/>
    <n v="1"/>
  </r>
  <r>
    <s v="U14657"/>
    <x v="16"/>
    <x v="2"/>
    <x v="0"/>
    <x v="1"/>
    <s v="Unemployed"/>
    <n v="3733.34"/>
    <n v="1955.19"/>
    <n v="5239.8900000000003"/>
    <s v="Yes"/>
    <s v="Home"/>
    <n v="331765.34999999998"/>
    <n v="360"/>
    <n v="4253.41"/>
    <n v="15.22"/>
    <n v="1.1399999999999999"/>
    <n v="451"/>
    <n v="0.12"/>
    <x v="4"/>
    <x v="160"/>
    <n v="1"/>
  </r>
  <r>
    <s v="U14663"/>
    <x v="19"/>
    <x v="1"/>
    <x v="2"/>
    <x v="0"/>
    <s v="Teacher"/>
    <n v="5116.76"/>
    <n v="3217.94"/>
    <n v="49180.92"/>
    <s v="No"/>
    <s v="None"/>
    <n v="0"/>
    <n v="0"/>
    <n v="0"/>
    <n v="0"/>
    <n v="0"/>
    <n v="478"/>
    <n v="0.8"/>
    <x v="4"/>
    <x v="781"/>
    <n v="0"/>
  </r>
  <r>
    <s v="U14685"/>
    <x v="25"/>
    <x v="1"/>
    <x v="0"/>
    <x v="3"/>
    <s v="Teacher"/>
    <n v="3817.71"/>
    <n v="2253.9899999999998"/>
    <n v="16105.07"/>
    <s v="Yes"/>
    <s v="Home"/>
    <n v="296437.45"/>
    <n v="60"/>
    <n v="5382.1"/>
    <n v="3.42"/>
    <n v="1.41"/>
    <n v="627"/>
    <n v="0.35"/>
    <x v="4"/>
    <x v="782"/>
    <n v="1"/>
  </r>
  <r>
    <s v="U14698"/>
    <x v="43"/>
    <x v="0"/>
    <x v="2"/>
    <x v="1"/>
    <s v="Accountant"/>
    <n v="3832.72"/>
    <n v="2840.57"/>
    <n v="19567.95"/>
    <s v="Yes"/>
    <s v="Home"/>
    <n v="464053.9"/>
    <n v="300"/>
    <n v="2975.74"/>
    <n v="5.95"/>
    <n v="0.78"/>
    <n v="775"/>
    <n v="0.43"/>
    <x v="4"/>
    <x v="783"/>
    <n v="1"/>
  </r>
  <r>
    <s v="U14707"/>
    <x v="25"/>
    <x v="0"/>
    <x v="2"/>
    <x v="1"/>
    <s v="Salesperson"/>
    <n v="6451.27"/>
    <n v="4904.78"/>
    <n v="73684.42"/>
    <s v="Yes"/>
    <s v="Business"/>
    <n v="49223.72"/>
    <n v="360"/>
    <n v="525.34"/>
    <n v="12.5"/>
    <n v="0.08"/>
    <n v="368"/>
    <n v="0.95"/>
    <x v="2"/>
    <x v="784"/>
    <n v="0"/>
  </r>
  <r>
    <s v="U14722"/>
    <x v="38"/>
    <x v="0"/>
    <x v="3"/>
    <x v="1"/>
    <s v="Salesperson"/>
    <n v="4745.6899999999996"/>
    <n v="3146.94"/>
    <n v="26197.01"/>
    <s v="No"/>
    <s v="None"/>
    <n v="0"/>
    <n v="0"/>
    <n v="0"/>
    <n v="0"/>
    <n v="0"/>
    <n v="330"/>
    <n v="0.46"/>
    <x v="2"/>
    <x v="785"/>
    <n v="0"/>
  </r>
  <r>
    <s v="U14737"/>
    <x v="22"/>
    <x v="1"/>
    <x v="0"/>
    <x v="1"/>
    <s v="Manager"/>
    <n v="6654.03"/>
    <n v="2638.32"/>
    <n v="26709.67"/>
    <s v="No"/>
    <s v="None"/>
    <n v="0"/>
    <n v="0"/>
    <n v="0"/>
    <n v="0"/>
    <n v="0"/>
    <n v="693"/>
    <n v="0.33"/>
    <x v="3"/>
    <x v="754"/>
    <n v="0"/>
  </r>
  <r>
    <s v="U14741"/>
    <x v="49"/>
    <x v="1"/>
    <x v="2"/>
    <x v="1"/>
    <s v="Accountant"/>
    <n v="3391.37"/>
    <n v="2986.36"/>
    <n v="9505.01"/>
    <s v="No"/>
    <s v="None"/>
    <n v="0"/>
    <n v="0"/>
    <n v="0"/>
    <n v="0"/>
    <n v="0"/>
    <n v="705"/>
    <n v="0.23"/>
    <x v="4"/>
    <x v="702"/>
    <n v="0"/>
  </r>
  <r>
    <s v="U14742"/>
    <x v="19"/>
    <x v="0"/>
    <x v="3"/>
    <x v="1"/>
    <s v="Teacher"/>
    <n v="4509.28"/>
    <n v="3243.78"/>
    <n v="32933.46"/>
    <s v="No"/>
    <s v="None"/>
    <n v="0"/>
    <n v="0"/>
    <n v="0"/>
    <n v="0"/>
    <n v="0"/>
    <n v="563"/>
    <n v="0.61"/>
    <x v="2"/>
    <x v="213"/>
    <n v="0"/>
  </r>
  <r>
    <s v="U14751"/>
    <x v="21"/>
    <x v="0"/>
    <x v="3"/>
    <x v="0"/>
    <s v="Driver"/>
    <n v="8469.7999999999993"/>
    <n v="7548.64"/>
    <n v="86150.77"/>
    <s v="Yes"/>
    <s v="Education"/>
    <n v="455602.3"/>
    <n v="300"/>
    <n v="7341.47"/>
    <n v="19.170000000000002"/>
    <n v="0.87"/>
    <n v="735"/>
    <n v="0.85"/>
    <x v="4"/>
    <x v="421"/>
    <n v="1"/>
  </r>
  <r>
    <s v="U14763"/>
    <x v="35"/>
    <x v="0"/>
    <x v="0"/>
    <x v="2"/>
    <s v="Manager"/>
    <n v="2494.21"/>
    <n v="1269.0999999999999"/>
    <n v="25063.74"/>
    <s v="No"/>
    <s v="None"/>
    <n v="0"/>
    <n v="0"/>
    <n v="0"/>
    <n v="0"/>
    <n v="0"/>
    <n v="673"/>
    <n v="0.84"/>
    <x v="2"/>
    <x v="786"/>
    <n v="0"/>
  </r>
  <r>
    <s v="U14777"/>
    <x v="48"/>
    <x v="1"/>
    <x v="3"/>
    <x v="1"/>
    <s v="Teacher"/>
    <n v="3081.06"/>
    <n v="1843.82"/>
    <n v="12198.43"/>
    <s v="Yes"/>
    <s v="Education"/>
    <n v="124668.82"/>
    <n v="300"/>
    <n v="1152.26"/>
    <n v="10.220000000000001"/>
    <n v="0.37"/>
    <n v="422"/>
    <n v="0.33"/>
    <x v="0"/>
    <x v="368"/>
    <n v="0"/>
  </r>
  <r>
    <s v="U14797"/>
    <x v="40"/>
    <x v="0"/>
    <x v="3"/>
    <x v="1"/>
    <s v="Doctor"/>
    <n v="6032.17"/>
    <n v="5276.42"/>
    <n v="42508.55"/>
    <s v="Yes"/>
    <s v="Education"/>
    <n v="249515.86"/>
    <n v="360"/>
    <n v="4721.43"/>
    <n v="22.68"/>
    <n v="0.78"/>
    <n v="320"/>
    <n v="0.59"/>
    <x v="1"/>
    <x v="582"/>
    <n v="1"/>
  </r>
  <r>
    <s v="U14799"/>
    <x v="38"/>
    <x v="0"/>
    <x v="0"/>
    <x v="1"/>
    <s v="Doctor"/>
    <n v="3440.01"/>
    <n v="2128.7600000000002"/>
    <n v="25673.279999999999"/>
    <s v="Yes"/>
    <s v="Home"/>
    <n v="310871.24"/>
    <n v="360"/>
    <n v="3024.09"/>
    <n v="11.27"/>
    <n v="0.88"/>
    <n v="775"/>
    <n v="0.62"/>
    <x v="1"/>
    <x v="787"/>
    <n v="1"/>
  </r>
  <r>
    <s v="U14831"/>
    <x v="28"/>
    <x v="1"/>
    <x v="3"/>
    <x v="1"/>
    <s v="Student"/>
    <n v="10237.35"/>
    <n v="3894.46"/>
    <n v="77467.740000000005"/>
    <s v="Yes"/>
    <s v="Car"/>
    <n v="277441.87"/>
    <n v="36"/>
    <n v="10257.09"/>
    <n v="19.62"/>
    <n v="1"/>
    <n v="563"/>
    <n v="0.63"/>
    <x v="4"/>
    <x v="788"/>
    <n v="1"/>
  </r>
  <r>
    <s v="U14844"/>
    <x v="32"/>
    <x v="0"/>
    <x v="0"/>
    <x v="1"/>
    <s v="Teacher"/>
    <n v="2495.89"/>
    <n v="1428.3"/>
    <n v="15325.86"/>
    <s v="No"/>
    <s v="None"/>
    <n v="0"/>
    <n v="0"/>
    <n v="0"/>
    <n v="0"/>
    <n v="0"/>
    <n v="324"/>
    <n v="0.51"/>
    <x v="4"/>
    <x v="789"/>
    <n v="0"/>
  </r>
  <r>
    <s v="U14851"/>
    <x v="36"/>
    <x v="0"/>
    <x v="2"/>
    <x v="1"/>
    <s v="Manager"/>
    <n v="2691.38"/>
    <n v="1441.28"/>
    <n v="25271.78"/>
    <s v="No"/>
    <s v="None"/>
    <n v="0"/>
    <n v="0"/>
    <n v="0"/>
    <n v="0"/>
    <n v="0"/>
    <n v="603"/>
    <n v="0.78"/>
    <x v="1"/>
    <x v="68"/>
    <n v="0"/>
  </r>
  <r>
    <s v="U14856"/>
    <x v="9"/>
    <x v="0"/>
    <x v="2"/>
    <x v="1"/>
    <s v="Salesperson"/>
    <n v="3617.21"/>
    <n v="1937.9"/>
    <n v="7384.93"/>
    <s v="No"/>
    <s v="None"/>
    <n v="0"/>
    <n v="0"/>
    <n v="0"/>
    <n v="0"/>
    <n v="0"/>
    <n v="513"/>
    <n v="0.17"/>
    <x v="1"/>
    <x v="790"/>
    <n v="0"/>
  </r>
  <r>
    <s v="U14875"/>
    <x v="23"/>
    <x v="1"/>
    <x v="3"/>
    <x v="2"/>
    <s v="Student"/>
    <n v="2479.8000000000002"/>
    <n v="1942.33"/>
    <n v="7786.22"/>
    <s v="No"/>
    <s v="None"/>
    <n v="0"/>
    <n v="0"/>
    <n v="0"/>
    <n v="0"/>
    <n v="0"/>
    <n v="455"/>
    <n v="0.26"/>
    <x v="0"/>
    <x v="791"/>
    <n v="0"/>
  </r>
  <r>
    <s v="U14887"/>
    <x v="8"/>
    <x v="0"/>
    <x v="3"/>
    <x v="1"/>
    <s v="Accountant"/>
    <n v="5926.49"/>
    <n v="3557.53"/>
    <n v="39254.019999999997"/>
    <s v="No"/>
    <s v="None"/>
    <n v="0"/>
    <n v="0"/>
    <n v="0"/>
    <n v="0"/>
    <n v="0"/>
    <n v="648"/>
    <n v="0.55000000000000004"/>
    <x v="2"/>
    <x v="541"/>
    <n v="0"/>
  </r>
  <r>
    <s v="U14914"/>
    <x v="51"/>
    <x v="1"/>
    <x v="3"/>
    <x v="2"/>
    <s v="Doctor"/>
    <n v="5036.4399999999996"/>
    <n v="3275.95"/>
    <n v="13510.92"/>
    <s v="Yes"/>
    <s v="Business"/>
    <n v="33812.93"/>
    <n v="12"/>
    <n v="3186.55"/>
    <n v="23.34"/>
    <n v="0.63"/>
    <n v="820"/>
    <n v="0.22"/>
    <x v="3"/>
    <x v="792"/>
    <n v="1"/>
  </r>
  <r>
    <s v="U14927"/>
    <x v="48"/>
    <x v="1"/>
    <x v="2"/>
    <x v="2"/>
    <s v="Manager"/>
    <n v="5077.5600000000004"/>
    <n v="4131.62"/>
    <n v="43095.39"/>
    <s v="Yes"/>
    <s v="Car"/>
    <n v="127325.77"/>
    <n v="24"/>
    <n v="6737.57"/>
    <n v="24.09"/>
    <n v="1.33"/>
    <n v="484"/>
    <n v="0.71"/>
    <x v="4"/>
    <x v="49"/>
    <n v="1"/>
  </r>
  <r>
    <s v="U14935"/>
    <x v="35"/>
    <x v="2"/>
    <x v="2"/>
    <x v="0"/>
    <s v="Manager"/>
    <n v="2482.54"/>
    <n v="1763.66"/>
    <n v="27280.79"/>
    <s v="No"/>
    <s v="None"/>
    <n v="0"/>
    <n v="0"/>
    <n v="0"/>
    <n v="0"/>
    <n v="0"/>
    <n v="807"/>
    <n v="0.92"/>
    <x v="0"/>
    <x v="317"/>
    <n v="0"/>
  </r>
  <r>
    <s v="U14959"/>
    <x v="2"/>
    <x v="1"/>
    <x v="0"/>
    <x v="1"/>
    <s v="Engineer"/>
    <n v="9316.83"/>
    <n v="7891.64"/>
    <n v="90795.9"/>
    <s v="No"/>
    <s v="None"/>
    <n v="0"/>
    <n v="0"/>
    <n v="0"/>
    <n v="0"/>
    <n v="0"/>
    <n v="563"/>
    <n v="0.81"/>
    <x v="3"/>
    <x v="793"/>
    <n v="0"/>
  </r>
  <r>
    <s v="U14972"/>
    <x v="27"/>
    <x v="1"/>
    <x v="3"/>
    <x v="1"/>
    <s v="Engineer"/>
    <n v="3275.55"/>
    <n v="2633.23"/>
    <n v="26332.61"/>
    <s v="No"/>
    <s v="None"/>
    <n v="0"/>
    <n v="0"/>
    <n v="0"/>
    <n v="0"/>
    <n v="0"/>
    <n v="845"/>
    <n v="0.67"/>
    <x v="3"/>
    <x v="576"/>
    <n v="0"/>
  </r>
  <r>
    <s v="U14981"/>
    <x v="33"/>
    <x v="1"/>
    <x v="3"/>
    <x v="1"/>
    <s v="Engineer"/>
    <n v="5792.26"/>
    <n v="3639.8"/>
    <n v="19172.810000000001"/>
    <s v="No"/>
    <s v="None"/>
    <n v="0"/>
    <n v="0"/>
    <n v="0"/>
    <n v="0"/>
    <n v="0"/>
    <n v="638"/>
    <n v="0.28000000000000003"/>
    <x v="4"/>
    <x v="794"/>
    <n v="0"/>
  </r>
  <r>
    <s v="U14989"/>
    <x v="18"/>
    <x v="1"/>
    <x v="0"/>
    <x v="1"/>
    <s v="Manager"/>
    <n v="3356.76"/>
    <n v="2984.53"/>
    <n v="12977.99"/>
    <s v="Yes"/>
    <s v="Education"/>
    <n v="8154.36"/>
    <n v="240"/>
    <n v="140.63999999999999"/>
    <n v="20.329999999999998"/>
    <n v="0.04"/>
    <n v="738"/>
    <n v="0.32"/>
    <x v="4"/>
    <x v="108"/>
    <n v="0"/>
  </r>
  <r>
    <s v="U15000"/>
    <x v="43"/>
    <x v="1"/>
    <x v="2"/>
    <x v="1"/>
    <s v="Teacher"/>
    <n v="3541.82"/>
    <n v="3118.42"/>
    <n v="26148.51"/>
    <s v="Yes"/>
    <s v="Home"/>
    <n v="201442.6"/>
    <n v="36"/>
    <n v="6935.82"/>
    <n v="14.52"/>
    <n v="1.96"/>
    <n v="806"/>
    <n v="0.62"/>
    <x v="4"/>
    <x v="795"/>
    <n v="1"/>
  </r>
  <r>
    <s v="U15003"/>
    <x v="23"/>
    <x v="1"/>
    <x v="4"/>
    <x v="2"/>
    <s v="Engineer"/>
    <n v="5045.59"/>
    <n v="2845.19"/>
    <n v="38655.56"/>
    <s v="Yes"/>
    <s v="Home"/>
    <n v="205622.63"/>
    <n v="120"/>
    <n v="3779.47"/>
    <n v="18.559999999999999"/>
    <n v="0.75"/>
    <n v="658"/>
    <n v="0.64"/>
    <x v="3"/>
    <x v="483"/>
    <n v="1"/>
  </r>
  <r>
    <s v="U15029"/>
    <x v="42"/>
    <x v="0"/>
    <x v="2"/>
    <x v="3"/>
    <s v="Student"/>
    <n v="5360.05"/>
    <n v="2645.06"/>
    <n v="40771.58"/>
    <s v="No"/>
    <s v="None"/>
    <n v="0"/>
    <n v="0"/>
    <n v="0"/>
    <n v="0"/>
    <n v="0"/>
    <n v="427"/>
    <n v="0.63"/>
    <x v="3"/>
    <x v="796"/>
    <n v="0"/>
  </r>
  <r>
    <s v="U15046"/>
    <x v="10"/>
    <x v="1"/>
    <x v="3"/>
    <x v="0"/>
    <s v="Engineer"/>
    <n v="3778.62"/>
    <n v="1548.52"/>
    <n v="15560.64"/>
    <s v="No"/>
    <s v="None"/>
    <n v="0"/>
    <n v="0"/>
    <n v="0"/>
    <n v="0"/>
    <n v="0"/>
    <n v="435"/>
    <n v="0.34"/>
    <x v="1"/>
    <x v="797"/>
    <n v="0"/>
  </r>
  <r>
    <s v="U15069"/>
    <x v="41"/>
    <x v="1"/>
    <x v="2"/>
    <x v="3"/>
    <s v="Driver"/>
    <n v="4846.76"/>
    <n v="2167.0100000000002"/>
    <n v="20127.099999999999"/>
    <s v="No"/>
    <s v="None"/>
    <n v="0"/>
    <n v="0"/>
    <n v="0"/>
    <n v="0"/>
    <n v="0"/>
    <n v="712"/>
    <n v="0.35"/>
    <x v="3"/>
    <x v="663"/>
    <n v="0"/>
  </r>
  <r>
    <s v="U15072"/>
    <x v="12"/>
    <x v="2"/>
    <x v="4"/>
    <x v="1"/>
    <s v="Engineer"/>
    <n v="6782.43"/>
    <n v="3536.77"/>
    <n v="43289.8"/>
    <s v="No"/>
    <s v="None"/>
    <n v="0"/>
    <n v="0"/>
    <n v="0"/>
    <n v="0"/>
    <n v="0"/>
    <n v="640"/>
    <n v="0.53"/>
    <x v="1"/>
    <x v="491"/>
    <n v="0"/>
  </r>
  <r>
    <s v="U15122"/>
    <x v="38"/>
    <x v="0"/>
    <x v="2"/>
    <x v="2"/>
    <s v="Engineer"/>
    <n v="1732.39"/>
    <n v="1283.73"/>
    <n v="9566.39"/>
    <s v="Yes"/>
    <s v="Education"/>
    <n v="128839.1"/>
    <n v="120"/>
    <n v="1590.54"/>
    <n v="8.4"/>
    <n v="0.92"/>
    <n v="553"/>
    <n v="0.46"/>
    <x v="2"/>
    <x v="798"/>
    <n v="1"/>
  </r>
  <r>
    <s v="U15136"/>
    <x v="47"/>
    <x v="1"/>
    <x v="3"/>
    <x v="1"/>
    <s v="Manager"/>
    <n v="4458.6499999999996"/>
    <n v="3549.52"/>
    <n v="14084"/>
    <s v="No"/>
    <s v="None"/>
    <n v="0"/>
    <n v="0"/>
    <n v="0"/>
    <n v="0"/>
    <n v="0"/>
    <n v="439"/>
    <n v="0.26"/>
    <x v="2"/>
    <x v="281"/>
    <n v="0"/>
  </r>
  <r>
    <s v="U15145"/>
    <x v="1"/>
    <x v="0"/>
    <x v="1"/>
    <x v="1"/>
    <s v="Student"/>
    <n v="5480.03"/>
    <n v="2935.12"/>
    <n v="23592.02"/>
    <s v="Yes"/>
    <s v="Home"/>
    <n v="216450.74"/>
    <n v="180"/>
    <n v="4892.53"/>
    <n v="26.6"/>
    <n v="0.89"/>
    <n v="389"/>
    <n v="0.36"/>
    <x v="1"/>
    <x v="430"/>
    <n v="1"/>
  </r>
  <r>
    <s v="U15149"/>
    <x v="29"/>
    <x v="0"/>
    <x v="3"/>
    <x v="1"/>
    <s v="Manager"/>
    <n v="4738"/>
    <n v="1692.67"/>
    <n v="13793.3"/>
    <s v="No"/>
    <s v="None"/>
    <n v="0"/>
    <n v="0"/>
    <n v="0"/>
    <n v="0"/>
    <n v="0"/>
    <n v="699"/>
    <n v="0.24"/>
    <x v="2"/>
    <x v="799"/>
    <n v="0"/>
  </r>
  <r>
    <s v="U15155"/>
    <x v="0"/>
    <x v="1"/>
    <x v="2"/>
    <x v="1"/>
    <s v="Accountant"/>
    <n v="3540.89"/>
    <n v="1971.1"/>
    <n v="10220.77"/>
    <s v="No"/>
    <s v="None"/>
    <n v="0"/>
    <n v="0"/>
    <n v="0"/>
    <n v="0"/>
    <n v="0"/>
    <n v="693"/>
    <n v="0.24"/>
    <x v="3"/>
    <x v="800"/>
    <n v="0"/>
  </r>
  <r>
    <s v="U15158"/>
    <x v="36"/>
    <x v="0"/>
    <x v="3"/>
    <x v="3"/>
    <s v="Accountant"/>
    <n v="1288.02"/>
    <n v="1152.3599999999999"/>
    <n v="14262.35"/>
    <s v="No"/>
    <s v="None"/>
    <n v="0"/>
    <n v="0"/>
    <n v="0"/>
    <n v="0"/>
    <n v="0"/>
    <n v="562"/>
    <n v="0.92"/>
    <x v="2"/>
    <x v="528"/>
    <n v="0"/>
  </r>
  <r>
    <s v="U15183"/>
    <x v="9"/>
    <x v="0"/>
    <x v="0"/>
    <x v="1"/>
    <s v="Accountant"/>
    <n v="2124.64"/>
    <n v="1165.25"/>
    <n v="5620.37"/>
    <s v="No"/>
    <s v="None"/>
    <n v="0"/>
    <n v="0"/>
    <n v="0"/>
    <n v="0"/>
    <n v="0"/>
    <n v="684"/>
    <n v="0.22"/>
    <x v="3"/>
    <x v="775"/>
    <n v="0"/>
  </r>
  <r>
    <s v="U15190"/>
    <x v="38"/>
    <x v="1"/>
    <x v="2"/>
    <x v="2"/>
    <s v="Teacher"/>
    <n v="1065.8699999999999"/>
    <n v="378.57"/>
    <n v="1322.23"/>
    <s v="No"/>
    <s v="None"/>
    <n v="0"/>
    <n v="0"/>
    <n v="0"/>
    <n v="0"/>
    <n v="0"/>
    <n v="540"/>
    <n v="0.1"/>
    <x v="4"/>
    <x v="131"/>
    <n v="0"/>
  </r>
  <r>
    <s v="U15233"/>
    <x v="49"/>
    <x v="1"/>
    <x v="1"/>
    <x v="1"/>
    <s v="Manager"/>
    <n v="3197.05"/>
    <n v="1952.98"/>
    <n v="5162.1400000000003"/>
    <s v="No"/>
    <s v="None"/>
    <n v="0"/>
    <n v="0"/>
    <n v="0"/>
    <n v="0"/>
    <n v="0"/>
    <n v="338"/>
    <n v="0.13"/>
    <x v="0"/>
    <x v="147"/>
    <n v="0"/>
  </r>
  <r>
    <s v="U15242"/>
    <x v="5"/>
    <x v="0"/>
    <x v="2"/>
    <x v="1"/>
    <s v="Salesperson"/>
    <n v="1978.91"/>
    <n v="1452.89"/>
    <n v="12501.97"/>
    <s v="No"/>
    <s v="None"/>
    <n v="0"/>
    <n v="0"/>
    <n v="0"/>
    <n v="0"/>
    <n v="0"/>
    <n v="323"/>
    <n v="0.53"/>
    <x v="0"/>
    <x v="742"/>
    <n v="0"/>
  </r>
  <r>
    <s v="U15275"/>
    <x v="3"/>
    <x v="0"/>
    <x v="0"/>
    <x v="2"/>
    <s v="Engineer"/>
    <n v="1611.86"/>
    <n v="968.68"/>
    <n v="16409.96"/>
    <s v="No"/>
    <s v="None"/>
    <n v="0"/>
    <n v="0"/>
    <n v="0"/>
    <n v="0"/>
    <n v="0"/>
    <n v="820"/>
    <n v="0.85"/>
    <x v="4"/>
    <x v="801"/>
    <n v="0"/>
  </r>
  <r>
    <s v="U15297"/>
    <x v="20"/>
    <x v="1"/>
    <x v="1"/>
    <x v="2"/>
    <s v="Salesperson"/>
    <n v="3803.71"/>
    <n v="1758.15"/>
    <n v="27088.63"/>
    <s v="No"/>
    <s v="None"/>
    <n v="0"/>
    <n v="0"/>
    <n v="0"/>
    <n v="0"/>
    <n v="0"/>
    <n v="530"/>
    <n v="0.59"/>
    <x v="2"/>
    <x v="802"/>
    <n v="0"/>
  </r>
  <r>
    <s v="U15303"/>
    <x v="34"/>
    <x v="1"/>
    <x v="2"/>
    <x v="2"/>
    <s v="Manager"/>
    <n v="3592.18"/>
    <n v="2771.87"/>
    <n v="29482.080000000002"/>
    <s v="No"/>
    <s v="None"/>
    <n v="0"/>
    <n v="0"/>
    <n v="0"/>
    <n v="0"/>
    <n v="0"/>
    <n v="773"/>
    <n v="0.68"/>
    <x v="0"/>
    <x v="803"/>
    <n v="0"/>
  </r>
  <r>
    <s v="U15307"/>
    <x v="50"/>
    <x v="1"/>
    <x v="3"/>
    <x v="0"/>
    <s v="Salesperson"/>
    <n v="8051.51"/>
    <n v="2575.0500000000002"/>
    <n v="11022.51"/>
    <s v="No"/>
    <s v="None"/>
    <n v="0"/>
    <n v="0"/>
    <n v="0"/>
    <n v="0"/>
    <n v="0"/>
    <n v="572"/>
    <n v="0.11"/>
    <x v="4"/>
    <x v="450"/>
    <n v="0"/>
  </r>
  <r>
    <s v="U15332"/>
    <x v="40"/>
    <x v="0"/>
    <x v="4"/>
    <x v="1"/>
    <s v="Engineer"/>
    <n v="500"/>
    <n v="384.3"/>
    <n v="635.96"/>
    <s v="No"/>
    <s v="None"/>
    <n v="0"/>
    <n v="0"/>
    <n v="0"/>
    <n v="0"/>
    <n v="0"/>
    <n v="736"/>
    <n v="0.11"/>
    <x v="1"/>
    <x v="467"/>
    <n v="0"/>
  </r>
  <r>
    <s v="U15341"/>
    <x v="11"/>
    <x v="0"/>
    <x v="1"/>
    <x v="2"/>
    <s v="Accountant"/>
    <n v="1123.5"/>
    <n v="560.54"/>
    <n v="5627.07"/>
    <s v="Yes"/>
    <s v="Home"/>
    <n v="57148.45"/>
    <n v="300"/>
    <n v="457.1"/>
    <n v="8.42"/>
    <n v="0.41"/>
    <n v="449"/>
    <n v="0.42"/>
    <x v="4"/>
    <x v="804"/>
    <n v="1"/>
  </r>
  <r>
    <s v="U15347"/>
    <x v="21"/>
    <x v="0"/>
    <x v="3"/>
    <x v="2"/>
    <s v="Driver"/>
    <n v="1375.77"/>
    <n v="1043.42"/>
    <n v="1749.4"/>
    <s v="No"/>
    <s v="None"/>
    <n v="0"/>
    <n v="0"/>
    <n v="0"/>
    <n v="0"/>
    <n v="0"/>
    <n v="362"/>
    <n v="0.11"/>
    <x v="1"/>
    <x v="803"/>
    <n v="0"/>
  </r>
  <r>
    <s v="U15352"/>
    <x v="24"/>
    <x v="0"/>
    <x v="2"/>
    <x v="3"/>
    <s v="Engineer"/>
    <n v="5456.29"/>
    <n v="2537.3000000000002"/>
    <n v="22441.03"/>
    <s v="No"/>
    <s v="None"/>
    <n v="0"/>
    <n v="0"/>
    <n v="0"/>
    <n v="0"/>
    <n v="0"/>
    <n v="342"/>
    <n v="0.34"/>
    <x v="3"/>
    <x v="805"/>
    <n v="0"/>
  </r>
  <r>
    <s v="U15354"/>
    <x v="31"/>
    <x v="1"/>
    <x v="3"/>
    <x v="1"/>
    <s v="Driver"/>
    <n v="5973"/>
    <n v="1846.98"/>
    <n v="15117.8"/>
    <s v="Yes"/>
    <s v="Business"/>
    <n v="354289.81"/>
    <n v="60"/>
    <n v="8339.5300000000007"/>
    <n v="14.52"/>
    <n v="1.4"/>
    <n v="470"/>
    <n v="0.21"/>
    <x v="4"/>
    <x v="118"/>
    <n v="1"/>
  </r>
  <r>
    <s v="U15355"/>
    <x v="31"/>
    <x v="0"/>
    <x v="3"/>
    <x v="1"/>
    <s v="Salesperson"/>
    <n v="1202.21"/>
    <n v="680.99"/>
    <n v="10468.040000000001"/>
    <s v="Yes"/>
    <s v="Car"/>
    <n v="26715.61"/>
    <n v="24"/>
    <n v="1264.22"/>
    <n v="12.53"/>
    <n v="1.05"/>
    <n v="539"/>
    <n v="0.73"/>
    <x v="3"/>
    <x v="254"/>
    <n v="1"/>
  </r>
  <r>
    <s v="U15358"/>
    <x v="15"/>
    <x v="1"/>
    <x v="3"/>
    <x v="1"/>
    <s v="Doctor"/>
    <n v="5251.18"/>
    <n v="1758.92"/>
    <n v="33684.559999999998"/>
    <s v="No"/>
    <s v="None"/>
    <n v="0"/>
    <n v="0"/>
    <n v="0"/>
    <n v="0"/>
    <n v="0"/>
    <n v="734"/>
    <n v="0.53"/>
    <x v="2"/>
    <x v="355"/>
    <n v="0"/>
  </r>
  <r>
    <s v="U15361"/>
    <x v="14"/>
    <x v="1"/>
    <x v="3"/>
    <x v="2"/>
    <s v="Driver"/>
    <n v="6387.53"/>
    <n v="2051.83"/>
    <n v="45893.71"/>
    <s v="No"/>
    <s v="None"/>
    <n v="0"/>
    <n v="0"/>
    <n v="0"/>
    <n v="0"/>
    <n v="0"/>
    <n v="532"/>
    <n v="0.6"/>
    <x v="4"/>
    <x v="806"/>
    <n v="0"/>
  </r>
  <r>
    <s v="U15371"/>
    <x v="25"/>
    <x v="0"/>
    <x v="3"/>
    <x v="1"/>
    <s v="Accountant"/>
    <n v="4250.5"/>
    <n v="1701.21"/>
    <n v="11919.6"/>
    <s v="No"/>
    <s v="None"/>
    <n v="0"/>
    <n v="0"/>
    <n v="0"/>
    <n v="0"/>
    <n v="0"/>
    <n v="548"/>
    <n v="0.23"/>
    <x v="4"/>
    <x v="697"/>
    <n v="0"/>
  </r>
  <r>
    <s v="U15435"/>
    <x v="3"/>
    <x v="0"/>
    <x v="2"/>
    <x v="3"/>
    <s v="Engineer"/>
    <n v="1043.3599999999999"/>
    <n v="800"/>
    <n v="9738.01"/>
    <s v="No"/>
    <s v="None"/>
    <n v="0"/>
    <n v="0"/>
    <n v="0"/>
    <n v="0"/>
    <n v="0"/>
    <n v="614"/>
    <n v="0.78"/>
    <x v="2"/>
    <x v="807"/>
    <n v="0"/>
  </r>
  <r>
    <s v="U15440"/>
    <x v="12"/>
    <x v="0"/>
    <x v="1"/>
    <x v="1"/>
    <s v="Doctor"/>
    <n v="3841.7"/>
    <n v="2072.77"/>
    <n v="5684.12"/>
    <s v="No"/>
    <s v="None"/>
    <n v="0"/>
    <n v="0"/>
    <n v="0"/>
    <n v="0"/>
    <n v="0"/>
    <n v="310"/>
    <n v="0.12"/>
    <x v="3"/>
    <x v="808"/>
    <n v="0"/>
  </r>
  <r>
    <s v="U15445"/>
    <x v="40"/>
    <x v="0"/>
    <x v="3"/>
    <x v="3"/>
    <s v="Salesperson"/>
    <n v="3563.61"/>
    <n v="1712.3"/>
    <n v="33801.72"/>
    <s v="No"/>
    <s v="None"/>
    <n v="0"/>
    <n v="0"/>
    <n v="0"/>
    <n v="0"/>
    <n v="0"/>
    <n v="592"/>
    <n v="0.79"/>
    <x v="1"/>
    <x v="386"/>
    <n v="0"/>
  </r>
  <r>
    <s v="U15472"/>
    <x v="9"/>
    <x v="0"/>
    <x v="2"/>
    <x v="2"/>
    <s v="Salesperson"/>
    <n v="7473.7"/>
    <n v="4888.95"/>
    <n v="27057.11"/>
    <s v="Yes"/>
    <s v="Home"/>
    <n v="109129.04"/>
    <n v="240"/>
    <n v="871.81"/>
    <n v="7.39"/>
    <n v="0.12"/>
    <n v="488"/>
    <n v="0.3"/>
    <x v="2"/>
    <x v="809"/>
    <n v="0"/>
  </r>
  <r>
    <s v="U15473"/>
    <x v="10"/>
    <x v="1"/>
    <x v="0"/>
    <x v="0"/>
    <s v="Doctor"/>
    <n v="8182.43"/>
    <n v="4543.58"/>
    <n v="10331.450000000001"/>
    <s v="Yes"/>
    <s v="Car"/>
    <n v="172886.43"/>
    <n v="36"/>
    <n v="7075.76"/>
    <n v="27.19"/>
    <n v="0.86"/>
    <n v="401"/>
    <n v="0.11"/>
    <x v="3"/>
    <x v="205"/>
    <n v="1"/>
  </r>
  <r>
    <s v="U15490"/>
    <x v="5"/>
    <x v="1"/>
    <x v="2"/>
    <x v="2"/>
    <s v="Manager"/>
    <n v="3928.2"/>
    <n v="3196.74"/>
    <n v="34308.5"/>
    <s v="No"/>
    <s v="None"/>
    <n v="0"/>
    <n v="0"/>
    <n v="0"/>
    <n v="0"/>
    <n v="0"/>
    <n v="769"/>
    <n v="0.73"/>
    <x v="4"/>
    <x v="810"/>
    <n v="0"/>
  </r>
  <r>
    <s v="U15552"/>
    <x v="28"/>
    <x v="1"/>
    <x v="4"/>
    <x v="1"/>
    <s v="Engineer"/>
    <n v="6792.38"/>
    <n v="5886.29"/>
    <n v="35598.29"/>
    <s v="No"/>
    <s v="None"/>
    <n v="0"/>
    <n v="0"/>
    <n v="0"/>
    <n v="0"/>
    <n v="0"/>
    <n v="657"/>
    <n v="0.44"/>
    <x v="3"/>
    <x v="497"/>
    <n v="0"/>
  </r>
  <r>
    <s v="U15579"/>
    <x v="37"/>
    <x v="0"/>
    <x v="2"/>
    <x v="1"/>
    <s v="Unemployed"/>
    <n v="5397.58"/>
    <n v="4147.8500000000004"/>
    <n v="57393.73"/>
    <s v="Yes"/>
    <s v="Business"/>
    <n v="221466.71"/>
    <n v="300"/>
    <n v="2368.62"/>
    <n v="12.22"/>
    <n v="0.44"/>
    <n v="545"/>
    <n v="0.89"/>
    <x v="2"/>
    <x v="326"/>
    <n v="1"/>
  </r>
  <r>
    <s v="U15596"/>
    <x v="38"/>
    <x v="0"/>
    <x v="3"/>
    <x v="2"/>
    <s v="Salesperson"/>
    <n v="1962.67"/>
    <n v="1369.61"/>
    <n v="17040.82"/>
    <s v="No"/>
    <s v="None"/>
    <n v="0"/>
    <n v="0"/>
    <n v="0"/>
    <n v="0"/>
    <n v="0"/>
    <n v="755"/>
    <n v="0.72"/>
    <x v="3"/>
    <x v="811"/>
    <n v="0"/>
  </r>
  <r>
    <s v="U15599"/>
    <x v="46"/>
    <x v="0"/>
    <x v="3"/>
    <x v="3"/>
    <s v="Engineer"/>
    <n v="3284.75"/>
    <n v="1295.5899999999999"/>
    <n v="27480.400000000001"/>
    <s v="No"/>
    <s v="None"/>
    <n v="0"/>
    <n v="0"/>
    <n v="0"/>
    <n v="0"/>
    <n v="0"/>
    <n v="655"/>
    <n v="0.7"/>
    <x v="4"/>
    <x v="812"/>
    <n v="0"/>
  </r>
  <r>
    <s v="U15608"/>
    <x v="7"/>
    <x v="0"/>
    <x v="2"/>
    <x v="2"/>
    <s v="Engineer"/>
    <n v="3115.68"/>
    <n v="1685.07"/>
    <n v="12406.84"/>
    <s v="Yes"/>
    <s v="Car"/>
    <n v="224779.39"/>
    <n v="300"/>
    <n v="5341.32"/>
    <n v="28.49"/>
    <n v="1.71"/>
    <n v="659"/>
    <n v="0.33"/>
    <x v="0"/>
    <x v="813"/>
    <n v="1"/>
  </r>
  <r>
    <s v="U15611"/>
    <x v="15"/>
    <x v="0"/>
    <x v="3"/>
    <x v="1"/>
    <s v="Salesperson"/>
    <n v="2690.04"/>
    <n v="2211.2600000000002"/>
    <n v="6601.42"/>
    <s v="No"/>
    <s v="None"/>
    <n v="0"/>
    <n v="0"/>
    <n v="0"/>
    <n v="0"/>
    <n v="0"/>
    <n v="653"/>
    <n v="0.2"/>
    <x v="3"/>
    <x v="814"/>
    <n v="0"/>
  </r>
  <r>
    <s v="U15614"/>
    <x v="0"/>
    <x v="1"/>
    <x v="3"/>
    <x v="0"/>
    <s v="Engineer"/>
    <n v="5158.93"/>
    <n v="4309.13"/>
    <n v="60076.99"/>
    <s v="Yes"/>
    <s v="Car"/>
    <n v="123436.79"/>
    <n v="360"/>
    <n v="2123.63"/>
    <n v="20.6"/>
    <n v="0.41"/>
    <n v="696"/>
    <n v="0.97"/>
    <x v="4"/>
    <x v="306"/>
    <n v="1"/>
  </r>
  <r>
    <s v="U15615"/>
    <x v="39"/>
    <x v="2"/>
    <x v="3"/>
    <x v="1"/>
    <s v="Unemployed"/>
    <n v="3320.6"/>
    <n v="1486.23"/>
    <n v="23479.41"/>
    <s v="No"/>
    <s v="None"/>
    <n v="0"/>
    <n v="0"/>
    <n v="0"/>
    <n v="0"/>
    <n v="0"/>
    <n v="457"/>
    <n v="0.59"/>
    <x v="4"/>
    <x v="815"/>
    <n v="0"/>
  </r>
  <r>
    <s v="U15626"/>
    <x v="37"/>
    <x v="0"/>
    <x v="3"/>
    <x v="1"/>
    <s v="Accountant"/>
    <n v="3299.39"/>
    <n v="2803.55"/>
    <n v="25153.24"/>
    <s v="No"/>
    <s v="None"/>
    <n v="0"/>
    <n v="0"/>
    <n v="0"/>
    <n v="0"/>
    <n v="0"/>
    <n v="508"/>
    <n v="0.64"/>
    <x v="2"/>
    <x v="348"/>
    <n v="0"/>
  </r>
  <r>
    <s v="U15633"/>
    <x v="17"/>
    <x v="1"/>
    <x v="3"/>
    <x v="1"/>
    <s v="Teacher"/>
    <n v="2894.6"/>
    <n v="1513.69"/>
    <n v="24520.9"/>
    <s v="No"/>
    <s v="None"/>
    <n v="0"/>
    <n v="0"/>
    <n v="0"/>
    <n v="0"/>
    <n v="0"/>
    <n v="300"/>
    <n v="0.71"/>
    <x v="1"/>
    <x v="104"/>
    <n v="0"/>
  </r>
  <r>
    <s v="U15636"/>
    <x v="39"/>
    <x v="0"/>
    <x v="3"/>
    <x v="1"/>
    <s v="Doctor"/>
    <n v="3266.33"/>
    <n v="999.97"/>
    <n v="14245.67"/>
    <s v="No"/>
    <s v="None"/>
    <n v="0"/>
    <n v="0"/>
    <n v="0"/>
    <n v="0"/>
    <n v="0"/>
    <n v="451"/>
    <n v="0.36"/>
    <x v="3"/>
    <x v="816"/>
    <n v="0"/>
  </r>
  <r>
    <s v="U15656"/>
    <x v="28"/>
    <x v="1"/>
    <x v="2"/>
    <x v="1"/>
    <s v="Unemployed"/>
    <n v="3776.22"/>
    <n v="1229.49"/>
    <n v="17294.71"/>
    <s v="No"/>
    <s v="None"/>
    <n v="0"/>
    <n v="0"/>
    <n v="0"/>
    <n v="0"/>
    <n v="0"/>
    <n v="466"/>
    <n v="0.38"/>
    <x v="2"/>
    <x v="817"/>
    <n v="0"/>
  </r>
  <r>
    <s v="U15677"/>
    <x v="18"/>
    <x v="0"/>
    <x v="3"/>
    <x v="1"/>
    <s v="Engineer"/>
    <n v="5431.62"/>
    <n v="1698.08"/>
    <n v="44902.97"/>
    <s v="No"/>
    <s v="None"/>
    <n v="0"/>
    <n v="0"/>
    <n v="0"/>
    <n v="0"/>
    <n v="0"/>
    <n v="475"/>
    <n v="0.69"/>
    <x v="2"/>
    <x v="751"/>
    <n v="0"/>
  </r>
  <r>
    <s v="U15686"/>
    <x v="42"/>
    <x v="0"/>
    <x v="0"/>
    <x v="0"/>
    <s v="Manager"/>
    <n v="3452.08"/>
    <n v="2602.8200000000002"/>
    <n v="12189.97"/>
    <s v="No"/>
    <s v="None"/>
    <n v="0"/>
    <n v="0"/>
    <n v="0"/>
    <n v="0"/>
    <n v="0"/>
    <n v="493"/>
    <n v="0.28999999999999998"/>
    <x v="0"/>
    <x v="818"/>
    <n v="0"/>
  </r>
  <r>
    <s v="U15700"/>
    <x v="28"/>
    <x v="0"/>
    <x v="0"/>
    <x v="1"/>
    <s v="Student"/>
    <n v="4996.29"/>
    <n v="1827.56"/>
    <n v="47599.49"/>
    <s v="Yes"/>
    <s v="Business"/>
    <n v="264937.48"/>
    <n v="120"/>
    <n v="4272.75"/>
    <n v="14.99"/>
    <n v="0.86"/>
    <n v="733"/>
    <n v="0.79"/>
    <x v="1"/>
    <x v="819"/>
    <n v="1"/>
  </r>
  <r>
    <s v="U15743"/>
    <x v="7"/>
    <x v="0"/>
    <x v="3"/>
    <x v="1"/>
    <s v="Unemployed"/>
    <n v="3571.42"/>
    <n v="2979.84"/>
    <n v="36063.599999999999"/>
    <s v="No"/>
    <s v="None"/>
    <n v="0"/>
    <n v="0"/>
    <n v="0"/>
    <n v="0"/>
    <n v="0"/>
    <n v="409"/>
    <n v="0.84"/>
    <x v="0"/>
    <x v="820"/>
    <n v="0"/>
  </r>
  <r>
    <s v="U15746"/>
    <x v="36"/>
    <x v="1"/>
    <x v="3"/>
    <x v="2"/>
    <s v="Engineer"/>
    <n v="2324.21"/>
    <n v="1081.74"/>
    <n v="26870.87"/>
    <s v="No"/>
    <s v="None"/>
    <n v="0"/>
    <n v="0"/>
    <n v="0"/>
    <n v="0"/>
    <n v="0"/>
    <n v="581"/>
    <n v="0.96"/>
    <x v="2"/>
    <x v="821"/>
    <n v="0"/>
  </r>
  <r>
    <s v="U15756"/>
    <x v="37"/>
    <x v="0"/>
    <x v="1"/>
    <x v="2"/>
    <s v="Doctor"/>
    <n v="3740.44"/>
    <n v="2947.06"/>
    <n v="5440.78"/>
    <s v="No"/>
    <s v="None"/>
    <n v="0"/>
    <n v="0"/>
    <n v="0"/>
    <n v="0"/>
    <n v="0"/>
    <n v="847"/>
    <n v="0.12"/>
    <x v="1"/>
    <x v="822"/>
    <n v="0"/>
  </r>
  <r>
    <s v="U15767"/>
    <x v="44"/>
    <x v="0"/>
    <x v="2"/>
    <x v="1"/>
    <s v="Unemployed"/>
    <n v="1247.69"/>
    <n v="485.88"/>
    <n v="14518.44"/>
    <s v="No"/>
    <s v="None"/>
    <n v="0"/>
    <n v="0"/>
    <n v="0"/>
    <n v="0"/>
    <n v="0"/>
    <n v="363"/>
    <n v="0.97"/>
    <x v="1"/>
    <x v="109"/>
    <n v="0"/>
  </r>
  <r>
    <s v="U15788"/>
    <x v="7"/>
    <x v="0"/>
    <x v="2"/>
    <x v="2"/>
    <s v="Driver"/>
    <n v="2615.4"/>
    <n v="1339.19"/>
    <n v="20193.099999999999"/>
    <s v="No"/>
    <s v="None"/>
    <n v="0"/>
    <n v="0"/>
    <n v="0"/>
    <n v="0"/>
    <n v="0"/>
    <n v="317"/>
    <n v="0.64"/>
    <x v="0"/>
    <x v="598"/>
    <n v="0"/>
  </r>
  <r>
    <s v="U15795"/>
    <x v="2"/>
    <x v="0"/>
    <x v="2"/>
    <x v="1"/>
    <s v="Salesperson"/>
    <n v="8076.09"/>
    <n v="6976.92"/>
    <n v="73519.960000000006"/>
    <s v="No"/>
    <s v="None"/>
    <n v="0"/>
    <n v="0"/>
    <n v="0"/>
    <n v="0"/>
    <n v="0"/>
    <n v="340"/>
    <n v="0.76"/>
    <x v="0"/>
    <x v="791"/>
    <n v="0"/>
  </r>
  <r>
    <s v="U15797"/>
    <x v="27"/>
    <x v="0"/>
    <x v="2"/>
    <x v="3"/>
    <s v="Teacher"/>
    <n v="4240.67"/>
    <n v="3015.13"/>
    <n v="16308.7"/>
    <s v="No"/>
    <s v="None"/>
    <n v="0"/>
    <n v="0"/>
    <n v="0"/>
    <n v="0"/>
    <n v="0"/>
    <n v="392"/>
    <n v="0.32"/>
    <x v="4"/>
    <x v="823"/>
    <n v="0"/>
  </r>
  <r>
    <s v="U15803"/>
    <x v="7"/>
    <x v="1"/>
    <x v="2"/>
    <x v="1"/>
    <s v="Manager"/>
    <n v="6263.6"/>
    <n v="4297.1400000000003"/>
    <n v="35099.94"/>
    <s v="No"/>
    <s v="None"/>
    <n v="0"/>
    <n v="0"/>
    <n v="0"/>
    <n v="0"/>
    <n v="0"/>
    <n v="850"/>
    <n v="0.47"/>
    <x v="1"/>
    <x v="193"/>
    <n v="0"/>
  </r>
  <r>
    <s v="U15808"/>
    <x v="31"/>
    <x v="0"/>
    <x v="0"/>
    <x v="1"/>
    <s v="Doctor"/>
    <n v="8083.54"/>
    <n v="5486.36"/>
    <n v="10197.25"/>
    <s v="Yes"/>
    <s v="Home"/>
    <n v="123196.08"/>
    <n v="120"/>
    <n v="2488.8000000000002"/>
    <n v="21.31"/>
    <n v="0.31"/>
    <n v="349"/>
    <n v="0.11"/>
    <x v="4"/>
    <x v="824"/>
    <n v="0"/>
  </r>
  <r>
    <s v="U15844"/>
    <x v="2"/>
    <x v="0"/>
    <x v="2"/>
    <x v="1"/>
    <s v="Salesperson"/>
    <n v="2731.35"/>
    <n v="2227.31"/>
    <n v="26716.59"/>
    <s v="Yes"/>
    <s v="Business"/>
    <n v="50140.05"/>
    <n v="180"/>
    <n v="1012.77"/>
    <n v="23.5"/>
    <n v="0.37"/>
    <n v="631"/>
    <n v="0.82"/>
    <x v="3"/>
    <x v="583"/>
    <n v="0"/>
  </r>
  <r>
    <s v="U15855"/>
    <x v="14"/>
    <x v="1"/>
    <x v="1"/>
    <x v="3"/>
    <s v="Engineer"/>
    <n v="9033.75"/>
    <n v="3742.71"/>
    <n v="44990.98"/>
    <s v="No"/>
    <s v="None"/>
    <n v="0"/>
    <n v="0"/>
    <n v="0"/>
    <n v="0"/>
    <n v="0"/>
    <n v="719"/>
    <n v="0.42"/>
    <x v="2"/>
    <x v="825"/>
    <n v="0"/>
  </r>
  <r>
    <s v="U15872"/>
    <x v="34"/>
    <x v="1"/>
    <x v="0"/>
    <x v="1"/>
    <s v="Manager"/>
    <n v="5640.95"/>
    <n v="2062.27"/>
    <n v="23266.07"/>
    <s v="No"/>
    <s v="None"/>
    <n v="0"/>
    <n v="0"/>
    <n v="0"/>
    <n v="0"/>
    <n v="0"/>
    <n v="780"/>
    <n v="0.34"/>
    <x v="1"/>
    <x v="796"/>
    <n v="0"/>
  </r>
  <r>
    <s v="U15874"/>
    <x v="44"/>
    <x v="1"/>
    <x v="3"/>
    <x v="1"/>
    <s v="Unemployed"/>
    <n v="5733.01"/>
    <n v="2207.6"/>
    <n v="31467.9"/>
    <s v="No"/>
    <s v="None"/>
    <n v="0"/>
    <n v="0"/>
    <n v="0"/>
    <n v="0"/>
    <n v="0"/>
    <n v="774"/>
    <n v="0.46"/>
    <x v="0"/>
    <x v="521"/>
    <n v="0"/>
  </r>
  <r>
    <s v="U15907"/>
    <x v="21"/>
    <x v="1"/>
    <x v="0"/>
    <x v="3"/>
    <s v="Accountant"/>
    <n v="4126.28"/>
    <n v="2393.75"/>
    <n v="39143.32"/>
    <s v="Yes"/>
    <s v="Business"/>
    <n v="116930.64"/>
    <n v="360"/>
    <n v="1530.08"/>
    <n v="15.55"/>
    <n v="0.37"/>
    <n v="508"/>
    <n v="0.79"/>
    <x v="2"/>
    <x v="157"/>
    <n v="0"/>
  </r>
  <r>
    <s v="U15922"/>
    <x v="31"/>
    <x v="1"/>
    <x v="0"/>
    <x v="2"/>
    <s v="Salesperson"/>
    <n v="6136.25"/>
    <n v="3908.39"/>
    <n v="12633.82"/>
    <s v="Yes"/>
    <s v="Education"/>
    <n v="102108.93"/>
    <n v="120"/>
    <n v="1217.3900000000001"/>
    <n v="7.6"/>
    <n v="0.2"/>
    <n v="799"/>
    <n v="0.17"/>
    <x v="3"/>
    <x v="826"/>
    <n v="0"/>
  </r>
  <r>
    <s v="U15923"/>
    <x v="35"/>
    <x v="0"/>
    <x v="0"/>
    <x v="1"/>
    <s v="Accountant"/>
    <n v="8901.24"/>
    <n v="2727.17"/>
    <n v="26900.36"/>
    <s v="No"/>
    <s v="None"/>
    <n v="0"/>
    <n v="0"/>
    <n v="0"/>
    <n v="0"/>
    <n v="0"/>
    <n v="688"/>
    <n v="0.25"/>
    <x v="0"/>
    <x v="827"/>
    <n v="0"/>
  </r>
  <r>
    <s v="U15931"/>
    <x v="1"/>
    <x v="0"/>
    <x v="3"/>
    <x v="1"/>
    <s v="Unemployed"/>
    <n v="5442.5"/>
    <n v="2895.67"/>
    <n v="33838.199999999997"/>
    <s v="Yes"/>
    <s v="Education"/>
    <n v="337115.41"/>
    <n v="120"/>
    <n v="8122.76"/>
    <n v="26.89"/>
    <n v="1.49"/>
    <n v="827"/>
    <n v="0.52"/>
    <x v="0"/>
    <x v="828"/>
    <n v="1"/>
  </r>
  <r>
    <s v="U15932"/>
    <x v="17"/>
    <x v="1"/>
    <x v="1"/>
    <x v="3"/>
    <s v="Engineer"/>
    <n v="500"/>
    <n v="263.47000000000003"/>
    <n v="4589.71"/>
    <s v="No"/>
    <s v="None"/>
    <n v="0"/>
    <n v="0"/>
    <n v="0"/>
    <n v="0"/>
    <n v="0"/>
    <n v="434"/>
    <n v="0.76"/>
    <x v="2"/>
    <x v="829"/>
    <n v="0"/>
  </r>
  <r>
    <s v="U15933"/>
    <x v="48"/>
    <x v="0"/>
    <x v="0"/>
    <x v="1"/>
    <s v="Teacher"/>
    <n v="4597.9399999999996"/>
    <n v="1525.77"/>
    <n v="28743.66"/>
    <s v="No"/>
    <s v="None"/>
    <n v="0"/>
    <n v="0"/>
    <n v="0"/>
    <n v="0"/>
    <n v="0"/>
    <n v="714"/>
    <n v="0.52"/>
    <x v="0"/>
    <x v="736"/>
    <n v="0"/>
  </r>
  <r>
    <s v="U15946"/>
    <x v="31"/>
    <x v="1"/>
    <x v="2"/>
    <x v="1"/>
    <s v="Unemployed"/>
    <n v="3570.9"/>
    <n v="2023.62"/>
    <n v="12103.9"/>
    <s v="No"/>
    <s v="None"/>
    <n v="0"/>
    <n v="0"/>
    <n v="0"/>
    <n v="0"/>
    <n v="0"/>
    <n v="458"/>
    <n v="0.28000000000000003"/>
    <x v="3"/>
    <x v="219"/>
    <n v="0"/>
  </r>
  <r>
    <s v="U15952"/>
    <x v="24"/>
    <x v="1"/>
    <x v="3"/>
    <x v="1"/>
    <s v="Unemployed"/>
    <n v="6066.73"/>
    <n v="5383.12"/>
    <n v="28056.560000000001"/>
    <s v="No"/>
    <s v="None"/>
    <n v="0"/>
    <n v="0"/>
    <n v="0"/>
    <n v="0"/>
    <n v="0"/>
    <n v="542"/>
    <n v="0.39"/>
    <x v="2"/>
    <x v="685"/>
    <n v="0"/>
  </r>
  <r>
    <s v="U15960"/>
    <x v="9"/>
    <x v="0"/>
    <x v="3"/>
    <x v="0"/>
    <s v="Student"/>
    <n v="6111.24"/>
    <n v="2448.9699999999998"/>
    <n v="55657.47"/>
    <s v="No"/>
    <s v="None"/>
    <n v="0"/>
    <n v="0"/>
    <n v="0"/>
    <n v="0"/>
    <n v="0"/>
    <n v="430"/>
    <n v="0.76"/>
    <x v="2"/>
    <x v="830"/>
    <n v="0"/>
  </r>
  <r>
    <s v="U15969"/>
    <x v="35"/>
    <x v="0"/>
    <x v="3"/>
    <x v="2"/>
    <s v="Unemployed"/>
    <n v="8218.43"/>
    <n v="2476.1999999999998"/>
    <n v="40452.78"/>
    <s v="No"/>
    <s v="None"/>
    <n v="0"/>
    <n v="0"/>
    <n v="0"/>
    <n v="0"/>
    <n v="0"/>
    <n v="752"/>
    <n v="0.41"/>
    <x v="4"/>
    <x v="831"/>
    <n v="0"/>
  </r>
  <r>
    <s v="U15980"/>
    <x v="15"/>
    <x v="0"/>
    <x v="0"/>
    <x v="1"/>
    <s v="Accountant"/>
    <n v="3360.68"/>
    <n v="2923.02"/>
    <n v="9938.51"/>
    <s v="No"/>
    <s v="None"/>
    <n v="0"/>
    <n v="0"/>
    <n v="0"/>
    <n v="0"/>
    <n v="0"/>
    <n v="717"/>
    <n v="0.25"/>
    <x v="0"/>
    <x v="832"/>
    <n v="0"/>
  </r>
  <r>
    <s v="U15985"/>
    <x v="1"/>
    <x v="1"/>
    <x v="3"/>
    <x v="1"/>
    <s v="Engineer"/>
    <n v="4342.16"/>
    <n v="2634.52"/>
    <n v="15302.74"/>
    <s v="No"/>
    <s v="None"/>
    <n v="0"/>
    <n v="0"/>
    <n v="0"/>
    <n v="0"/>
    <n v="0"/>
    <n v="843"/>
    <n v="0.28999999999999998"/>
    <x v="2"/>
    <x v="833"/>
    <n v="0"/>
  </r>
  <r>
    <s v="U16012"/>
    <x v="2"/>
    <x v="0"/>
    <x v="2"/>
    <x v="0"/>
    <s v="Manager"/>
    <n v="3341.81"/>
    <n v="1698.39"/>
    <n v="16774.11"/>
    <s v="Yes"/>
    <s v="Car"/>
    <n v="38408.31"/>
    <n v="36"/>
    <n v="1461.87"/>
    <n v="21.75"/>
    <n v="0.44"/>
    <n v="455"/>
    <n v="0.42"/>
    <x v="1"/>
    <x v="834"/>
    <n v="1"/>
  </r>
  <r>
    <s v="U16025"/>
    <x v="35"/>
    <x v="1"/>
    <x v="2"/>
    <x v="2"/>
    <s v="Engineer"/>
    <n v="3536.73"/>
    <n v="2384.81"/>
    <n v="9045.25"/>
    <s v="No"/>
    <s v="None"/>
    <n v="0"/>
    <n v="0"/>
    <n v="0"/>
    <n v="0"/>
    <n v="0"/>
    <n v="629"/>
    <n v="0.21"/>
    <x v="4"/>
    <x v="15"/>
    <n v="0"/>
  </r>
  <r>
    <s v="U16053"/>
    <x v="39"/>
    <x v="1"/>
    <x v="4"/>
    <x v="1"/>
    <s v="Doctor"/>
    <n v="3823.55"/>
    <n v="2070.2800000000002"/>
    <n v="29322.11"/>
    <s v="Yes"/>
    <s v="Car"/>
    <n v="26625.8"/>
    <n v="300"/>
    <n v="294.10000000000002"/>
    <n v="12.69"/>
    <n v="0.08"/>
    <n v="518"/>
    <n v="0.64"/>
    <x v="3"/>
    <x v="342"/>
    <n v="0"/>
  </r>
  <r>
    <s v="U16071"/>
    <x v="33"/>
    <x v="0"/>
    <x v="3"/>
    <x v="2"/>
    <s v="Student"/>
    <n v="1769.92"/>
    <n v="1528.74"/>
    <n v="5636.13"/>
    <s v="No"/>
    <s v="None"/>
    <n v="0"/>
    <n v="0"/>
    <n v="0"/>
    <n v="0"/>
    <n v="0"/>
    <n v="513"/>
    <n v="0.27"/>
    <x v="0"/>
    <x v="717"/>
    <n v="0"/>
  </r>
  <r>
    <s v="U16084"/>
    <x v="46"/>
    <x v="1"/>
    <x v="4"/>
    <x v="1"/>
    <s v="Unemployed"/>
    <n v="6672.14"/>
    <n v="2022.32"/>
    <n v="63541.75"/>
    <s v="Yes"/>
    <s v="Home"/>
    <n v="370903.09"/>
    <n v="180"/>
    <n v="7020.92"/>
    <n v="21.83"/>
    <n v="1.05"/>
    <n v="754"/>
    <n v="0.79"/>
    <x v="1"/>
    <x v="616"/>
    <n v="1"/>
  </r>
  <r>
    <s v="U16085"/>
    <x v="19"/>
    <x v="1"/>
    <x v="3"/>
    <x v="1"/>
    <s v="Doctor"/>
    <n v="2566.9499999999998"/>
    <n v="1990.9"/>
    <n v="4359.78"/>
    <s v="No"/>
    <s v="None"/>
    <n v="0"/>
    <n v="0"/>
    <n v="0"/>
    <n v="0"/>
    <n v="0"/>
    <n v="691"/>
    <n v="0.14000000000000001"/>
    <x v="1"/>
    <x v="835"/>
    <n v="0"/>
  </r>
  <r>
    <s v="U16097"/>
    <x v="41"/>
    <x v="1"/>
    <x v="0"/>
    <x v="2"/>
    <s v="Unemployed"/>
    <n v="2718.95"/>
    <n v="1225.96"/>
    <n v="3540.71"/>
    <s v="No"/>
    <s v="None"/>
    <n v="0"/>
    <n v="0"/>
    <n v="0"/>
    <n v="0"/>
    <n v="0"/>
    <n v="569"/>
    <n v="0.11"/>
    <x v="3"/>
    <x v="146"/>
    <n v="0"/>
  </r>
  <r>
    <s v="U16119"/>
    <x v="36"/>
    <x v="1"/>
    <x v="3"/>
    <x v="1"/>
    <s v="Engineer"/>
    <n v="4681.8100000000004"/>
    <n v="3162.98"/>
    <n v="11790.73"/>
    <s v="No"/>
    <s v="None"/>
    <n v="0"/>
    <n v="0"/>
    <n v="0"/>
    <n v="0"/>
    <n v="0"/>
    <n v="377"/>
    <n v="0.21"/>
    <x v="4"/>
    <x v="630"/>
    <n v="0"/>
  </r>
  <r>
    <s v="U16126"/>
    <x v="24"/>
    <x v="0"/>
    <x v="3"/>
    <x v="0"/>
    <s v="Accountant"/>
    <n v="2964.54"/>
    <n v="1231.31"/>
    <n v="28240.25"/>
    <s v="No"/>
    <s v="None"/>
    <n v="0"/>
    <n v="0"/>
    <n v="0"/>
    <n v="0"/>
    <n v="0"/>
    <n v="558"/>
    <n v="0.79"/>
    <x v="4"/>
    <x v="836"/>
    <n v="0"/>
  </r>
  <r>
    <s v="U16132"/>
    <x v="15"/>
    <x v="0"/>
    <x v="2"/>
    <x v="3"/>
    <s v="Doctor"/>
    <n v="4471.8999999999996"/>
    <n v="2895.75"/>
    <n v="26930.77"/>
    <s v="No"/>
    <s v="None"/>
    <n v="0"/>
    <n v="0"/>
    <n v="0"/>
    <n v="0"/>
    <n v="0"/>
    <n v="476"/>
    <n v="0.5"/>
    <x v="2"/>
    <x v="837"/>
    <n v="0"/>
  </r>
  <r>
    <s v="U16134"/>
    <x v="31"/>
    <x v="1"/>
    <x v="3"/>
    <x v="3"/>
    <s v="Doctor"/>
    <n v="6005.46"/>
    <n v="5286.81"/>
    <n v="27273.919999999998"/>
    <s v="No"/>
    <s v="None"/>
    <n v="0"/>
    <n v="0"/>
    <n v="0"/>
    <n v="0"/>
    <n v="0"/>
    <n v="741"/>
    <n v="0.38"/>
    <x v="0"/>
    <x v="475"/>
    <n v="0"/>
  </r>
  <r>
    <s v="U16135"/>
    <x v="7"/>
    <x v="0"/>
    <x v="2"/>
    <x v="1"/>
    <s v="Student"/>
    <n v="2845.89"/>
    <n v="2534.23"/>
    <n v="33244.720000000001"/>
    <s v="Yes"/>
    <s v="Business"/>
    <n v="200883.97"/>
    <n v="360"/>
    <n v="4559.8100000000004"/>
    <n v="27.23"/>
    <n v="1.6"/>
    <n v="531"/>
    <n v="0.97"/>
    <x v="0"/>
    <x v="236"/>
    <n v="1"/>
  </r>
  <r>
    <s v="U16139"/>
    <x v="35"/>
    <x v="0"/>
    <x v="0"/>
    <x v="1"/>
    <s v="Salesperson"/>
    <n v="3234.22"/>
    <n v="2584.86"/>
    <n v="15182.82"/>
    <s v="No"/>
    <s v="None"/>
    <n v="0"/>
    <n v="0"/>
    <n v="0"/>
    <n v="0"/>
    <n v="0"/>
    <n v="352"/>
    <n v="0.39"/>
    <x v="3"/>
    <x v="696"/>
    <n v="0"/>
  </r>
  <r>
    <s v="U16163"/>
    <x v="51"/>
    <x v="1"/>
    <x v="2"/>
    <x v="2"/>
    <s v="Teacher"/>
    <n v="6392.66"/>
    <n v="5214.6899999999996"/>
    <n v="51373.48"/>
    <s v="No"/>
    <s v="None"/>
    <n v="0"/>
    <n v="0"/>
    <n v="0"/>
    <n v="0"/>
    <n v="0"/>
    <n v="562"/>
    <n v="0.67"/>
    <x v="1"/>
    <x v="838"/>
    <n v="0"/>
  </r>
  <r>
    <s v="U16167"/>
    <x v="26"/>
    <x v="0"/>
    <x v="3"/>
    <x v="2"/>
    <s v="Teacher"/>
    <n v="5364.75"/>
    <n v="1842.22"/>
    <n v="48281.08"/>
    <s v="No"/>
    <s v="None"/>
    <n v="0"/>
    <n v="0"/>
    <n v="0"/>
    <n v="0"/>
    <n v="0"/>
    <n v="708"/>
    <n v="0.75"/>
    <x v="4"/>
    <x v="839"/>
    <n v="0"/>
  </r>
  <r>
    <s v="U16178"/>
    <x v="30"/>
    <x v="1"/>
    <x v="3"/>
    <x v="1"/>
    <s v="Unemployed"/>
    <n v="3931.54"/>
    <n v="3003.26"/>
    <n v="32258.38"/>
    <s v="Yes"/>
    <s v="Car"/>
    <n v="173343.31"/>
    <n v="180"/>
    <n v="3396.79"/>
    <n v="22.71"/>
    <n v="0.86"/>
    <n v="458"/>
    <n v="0.68"/>
    <x v="1"/>
    <x v="26"/>
    <n v="1"/>
  </r>
  <r>
    <s v="U16182"/>
    <x v="12"/>
    <x v="0"/>
    <x v="4"/>
    <x v="2"/>
    <s v="Unemployed"/>
    <n v="1468.38"/>
    <n v="1094.68"/>
    <n v="2464.9"/>
    <s v="No"/>
    <s v="None"/>
    <n v="0"/>
    <n v="0"/>
    <n v="0"/>
    <n v="0"/>
    <n v="0"/>
    <n v="727"/>
    <n v="0.14000000000000001"/>
    <x v="4"/>
    <x v="840"/>
    <n v="0"/>
  </r>
  <r>
    <s v="U16198"/>
    <x v="47"/>
    <x v="1"/>
    <x v="3"/>
    <x v="1"/>
    <s v="Accountant"/>
    <n v="4506.32"/>
    <n v="2334.34"/>
    <n v="46068.09"/>
    <s v="No"/>
    <s v="None"/>
    <n v="0"/>
    <n v="0"/>
    <n v="0"/>
    <n v="0"/>
    <n v="0"/>
    <n v="591"/>
    <n v="0.85"/>
    <x v="1"/>
    <x v="841"/>
    <n v="0"/>
  </r>
  <r>
    <s v="U16222"/>
    <x v="6"/>
    <x v="1"/>
    <x v="2"/>
    <x v="1"/>
    <s v="Driver"/>
    <n v="4241.1400000000003"/>
    <n v="1452.79"/>
    <n v="9119.39"/>
    <s v="No"/>
    <s v="None"/>
    <n v="0"/>
    <n v="0"/>
    <n v="0"/>
    <n v="0"/>
    <n v="0"/>
    <n v="760"/>
    <n v="0.18"/>
    <x v="0"/>
    <x v="842"/>
    <n v="0"/>
  </r>
  <r>
    <s v="U16225"/>
    <x v="1"/>
    <x v="1"/>
    <x v="3"/>
    <x v="1"/>
    <s v="Doctor"/>
    <n v="1287.07"/>
    <n v="614.64"/>
    <n v="14820.87"/>
    <s v="No"/>
    <s v="None"/>
    <n v="0"/>
    <n v="0"/>
    <n v="0"/>
    <n v="0"/>
    <n v="0"/>
    <n v="823"/>
    <n v="0.96"/>
    <x v="1"/>
    <x v="748"/>
    <n v="0"/>
  </r>
  <r>
    <s v="U16233"/>
    <x v="17"/>
    <x v="0"/>
    <x v="3"/>
    <x v="3"/>
    <s v="Engineer"/>
    <n v="3372.36"/>
    <n v="1659.8"/>
    <n v="23450.06"/>
    <s v="No"/>
    <s v="None"/>
    <n v="0"/>
    <n v="0"/>
    <n v="0"/>
    <n v="0"/>
    <n v="0"/>
    <n v="759"/>
    <n v="0.57999999999999996"/>
    <x v="1"/>
    <x v="843"/>
    <n v="0"/>
  </r>
  <r>
    <s v="U16249"/>
    <x v="43"/>
    <x v="0"/>
    <x v="3"/>
    <x v="2"/>
    <s v="Student"/>
    <n v="4851.71"/>
    <n v="3254.59"/>
    <n v="49294.3"/>
    <s v="No"/>
    <s v="None"/>
    <n v="0"/>
    <n v="0"/>
    <n v="0"/>
    <n v="0"/>
    <n v="0"/>
    <n v="504"/>
    <n v="0.85"/>
    <x v="0"/>
    <x v="844"/>
    <n v="0"/>
  </r>
  <r>
    <s v="U16251"/>
    <x v="38"/>
    <x v="1"/>
    <x v="3"/>
    <x v="2"/>
    <s v="Engineer"/>
    <n v="4497.38"/>
    <n v="3433.93"/>
    <n v="49352.29"/>
    <s v="No"/>
    <s v="None"/>
    <n v="0"/>
    <n v="0"/>
    <n v="0"/>
    <n v="0"/>
    <n v="0"/>
    <n v="639"/>
    <n v="0.91"/>
    <x v="3"/>
    <x v="557"/>
    <n v="0"/>
  </r>
  <r>
    <s v="U16275"/>
    <x v="39"/>
    <x v="0"/>
    <x v="4"/>
    <x v="1"/>
    <s v="Student"/>
    <n v="3983.34"/>
    <n v="2925.13"/>
    <n v="13917.8"/>
    <s v="Yes"/>
    <s v="Education"/>
    <n v="443440.5"/>
    <n v="120"/>
    <n v="5624.52"/>
    <n v="9.0299999999999994"/>
    <n v="1.41"/>
    <n v="699"/>
    <n v="0.28999999999999998"/>
    <x v="0"/>
    <x v="691"/>
    <n v="1"/>
  </r>
  <r>
    <s v="U16276"/>
    <x v="44"/>
    <x v="1"/>
    <x v="3"/>
    <x v="0"/>
    <s v="Salesperson"/>
    <n v="3097.36"/>
    <n v="1145.51"/>
    <n v="33971.11"/>
    <s v="No"/>
    <s v="None"/>
    <n v="0"/>
    <n v="0"/>
    <n v="0"/>
    <n v="0"/>
    <n v="0"/>
    <n v="606"/>
    <n v="0.91"/>
    <x v="0"/>
    <x v="845"/>
    <n v="0"/>
  </r>
  <r>
    <s v="U16281"/>
    <x v="47"/>
    <x v="0"/>
    <x v="2"/>
    <x v="1"/>
    <s v="Student"/>
    <n v="4424.1899999999996"/>
    <n v="1510.74"/>
    <n v="32333.99"/>
    <s v="Yes"/>
    <s v="Education"/>
    <n v="352219.7"/>
    <n v="360"/>
    <n v="4676.8999999999996"/>
    <n v="15.79"/>
    <n v="1.06"/>
    <n v="746"/>
    <n v="0.61"/>
    <x v="3"/>
    <x v="464"/>
    <n v="1"/>
  </r>
  <r>
    <s v="U16282"/>
    <x v="21"/>
    <x v="0"/>
    <x v="0"/>
    <x v="1"/>
    <s v="Doctor"/>
    <n v="4788.13"/>
    <n v="1882.78"/>
    <n v="40512.800000000003"/>
    <s v="Yes"/>
    <s v="Education"/>
    <n v="279788.96999999997"/>
    <n v="360"/>
    <n v="2681.42"/>
    <n v="11.08"/>
    <n v="0.56000000000000005"/>
    <n v="778"/>
    <n v="0.71"/>
    <x v="2"/>
    <x v="562"/>
    <n v="1"/>
  </r>
  <r>
    <s v="U16305"/>
    <x v="45"/>
    <x v="2"/>
    <x v="0"/>
    <x v="1"/>
    <s v="Engineer"/>
    <n v="3332.85"/>
    <n v="2604.63"/>
    <n v="11124.77"/>
    <s v="No"/>
    <s v="None"/>
    <n v="0"/>
    <n v="0"/>
    <n v="0"/>
    <n v="0"/>
    <n v="0"/>
    <n v="435"/>
    <n v="0.28000000000000003"/>
    <x v="4"/>
    <x v="579"/>
    <n v="0"/>
  </r>
  <r>
    <s v="U16312"/>
    <x v="41"/>
    <x v="0"/>
    <x v="2"/>
    <x v="1"/>
    <s v="Accountant"/>
    <n v="9382.2999999999993"/>
    <n v="4988.47"/>
    <n v="28553.71"/>
    <s v="Yes"/>
    <s v="Home"/>
    <n v="201870.4"/>
    <n v="24"/>
    <n v="9623.86"/>
    <n v="13.28"/>
    <n v="1.03"/>
    <n v="692"/>
    <n v="0.25"/>
    <x v="2"/>
    <x v="3"/>
    <n v="1"/>
  </r>
  <r>
    <s v="U16320"/>
    <x v="17"/>
    <x v="1"/>
    <x v="3"/>
    <x v="3"/>
    <s v="Student"/>
    <n v="2218.7800000000002"/>
    <n v="1424.18"/>
    <n v="23186.75"/>
    <s v="Yes"/>
    <s v="Car"/>
    <n v="223910.69"/>
    <n v="360"/>
    <n v="3312.44"/>
    <n v="17.66"/>
    <n v="1.49"/>
    <n v="726"/>
    <n v="0.87"/>
    <x v="1"/>
    <x v="846"/>
    <n v="1"/>
  </r>
  <r>
    <s v="U16329"/>
    <x v="12"/>
    <x v="2"/>
    <x v="2"/>
    <x v="2"/>
    <s v="Student"/>
    <n v="5227.6499999999996"/>
    <n v="4250.24"/>
    <n v="31963.63"/>
    <s v="Yes"/>
    <s v="Business"/>
    <n v="111908.65"/>
    <n v="240"/>
    <n v="1106.77"/>
    <n v="10.36"/>
    <n v="0.21"/>
    <n v="685"/>
    <n v="0.51"/>
    <x v="2"/>
    <x v="95"/>
    <n v="0"/>
  </r>
  <r>
    <s v="U16350"/>
    <x v="16"/>
    <x v="2"/>
    <x v="3"/>
    <x v="2"/>
    <s v="Manager"/>
    <n v="1854.9"/>
    <n v="576"/>
    <n v="4287.67"/>
    <s v="No"/>
    <s v="None"/>
    <n v="0"/>
    <n v="0"/>
    <n v="0"/>
    <n v="0"/>
    <n v="0"/>
    <n v="661"/>
    <n v="0.19"/>
    <x v="0"/>
    <x v="326"/>
    <n v="0"/>
  </r>
  <r>
    <s v="U16352"/>
    <x v="8"/>
    <x v="0"/>
    <x v="4"/>
    <x v="1"/>
    <s v="Accountant"/>
    <n v="3190.72"/>
    <n v="1629.42"/>
    <n v="32092.28"/>
    <s v="Yes"/>
    <s v="Education"/>
    <n v="66234.02"/>
    <n v="36"/>
    <n v="2547.02"/>
    <n v="22.51"/>
    <n v="0.8"/>
    <n v="744"/>
    <n v="0.84"/>
    <x v="4"/>
    <x v="847"/>
    <n v="1"/>
  </r>
  <r>
    <s v="U16367"/>
    <x v="43"/>
    <x v="1"/>
    <x v="2"/>
    <x v="1"/>
    <s v="Manager"/>
    <n v="6003.03"/>
    <n v="4753.93"/>
    <n v="44920.17"/>
    <s v="Yes"/>
    <s v="Education"/>
    <n v="262060.12"/>
    <n v="240"/>
    <n v="5428.6"/>
    <n v="24.67"/>
    <n v="0.9"/>
    <n v="754"/>
    <n v="0.62"/>
    <x v="0"/>
    <x v="848"/>
    <n v="1"/>
  </r>
  <r>
    <s v="U16368"/>
    <x v="29"/>
    <x v="0"/>
    <x v="3"/>
    <x v="1"/>
    <s v="Student"/>
    <n v="2665.79"/>
    <n v="1437.97"/>
    <n v="9106.4"/>
    <s v="Yes"/>
    <s v="Car"/>
    <n v="331987.76"/>
    <n v="120"/>
    <n v="3746.05"/>
    <n v="6.36"/>
    <n v="1.41"/>
    <n v="719"/>
    <n v="0.28000000000000003"/>
    <x v="0"/>
    <x v="442"/>
    <n v="1"/>
  </r>
  <r>
    <s v="U16381"/>
    <x v="26"/>
    <x v="1"/>
    <x v="3"/>
    <x v="0"/>
    <s v="Doctor"/>
    <n v="4284.9799999999996"/>
    <n v="2324.4499999999998"/>
    <n v="32848.33"/>
    <s v="Yes"/>
    <s v="Car"/>
    <n v="129575.14"/>
    <n v="36"/>
    <n v="4559.32"/>
    <n v="16.059999999999999"/>
    <n v="1.06"/>
    <n v="744"/>
    <n v="0.64"/>
    <x v="0"/>
    <x v="136"/>
    <n v="1"/>
  </r>
  <r>
    <s v="U16389"/>
    <x v="28"/>
    <x v="1"/>
    <x v="1"/>
    <x v="1"/>
    <s v="Driver"/>
    <n v="703.95"/>
    <n v="397.56"/>
    <n v="3810.91"/>
    <s v="No"/>
    <s v="None"/>
    <n v="0"/>
    <n v="0"/>
    <n v="0"/>
    <n v="0"/>
    <n v="0"/>
    <n v="414"/>
    <n v="0.45"/>
    <x v="4"/>
    <x v="849"/>
    <n v="0"/>
  </r>
  <r>
    <s v="U16400"/>
    <x v="15"/>
    <x v="1"/>
    <x v="3"/>
    <x v="1"/>
    <s v="Teacher"/>
    <n v="990.22"/>
    <n v="495.62"/>
    <n v="11132.98"/>
    <s v="No"/>
    <s v="None"/>
    <n v="0"/>
    <n v="0"/>
    <n v="0"/>
    <n v="0"/>
    <n v="0"/>
    <n v="756"/>
    <n v="0.94"/>
    <x v="2"/>
    <x v="225"/>
    <n v="0"/>
  </r>
  <r>
    <s v="U16401"/>
    <x v="22"/>
    <x v="1"/>
    <x v="2"/>
    <x v="1"/>
    <s v="Teacher"/>
    <n v="5994.63"/>
    <n v="2466.9499999999998"/>
    <n v="61215.77"/>
    <s v="Yes"/>
    <s v="Car"/>
    <n v="155074.82"/>
    <n v="36"/>
    <n v="4874.5200000000004"/>
    <n v="8.2100000000000009"/>
    <n v="0.81"/>
    <n v="849"/>
    <n v="0.85"/>
    <x v="4"/>
    <x v="154"/>
    <n v="1"/>
  </r>
  <r>
    <s v="U16407"/>
    <x v="11"/>
    <x v="0"/>
    <x v="2"/>
    <x v="1"/>
    <s v="Salesperson"/>
    <n v="3741.57"/>
    <n v="2617.0700000000002"/>
    <n v="44192.17"/>
    <s v="Yes"/>
    <s v="Education"/>
    <n v="316354.65000000002"/>
    <n v="60"/>
    <n v="6095.45"/>
    <n v="5.86"/>
    <n v="1.63"/>
    <n v="730"/>
    <n v="0.98"/>
    <x v="4"/>
    <x v="850"/>
    <n v="1"/>
  </r>
  <r>
    <s v="U16427"/>
    <x v="19"/>
    <x v="0"/>
    <x v="3"/>
    <x v="2"/>
    <s v="Driver"/>
    <n v="4113.7700000000004"/>
    <n v="2171.91"/>
    <n v="45150.48"/>
    <s v="No"/>
    <s v="None"/>
    <n v="0"/>
    <n v="0"/>
    <n v="0"/>
    <n v="0"/>
    <n v="0"/>
    <n v="377"/>
    <n v="0.91"/>
    <x v="1"/>
    <x v="463"/>
    <n v="0"/>
  </r>
  <r>
    <s v="U16447"/>
    <x v="37"/>
    <x v="1"/>
    <x v="2"/>
    <x v="0"/>
    <s v="Engineer"/>
    <n v="727.24"/>
    <n v="483.77"/>
    <n v="7289.67"/>
    <s v="No"/>
    <s v="None"/>
    <n v="0"/>
    <n v="0"/>
    <n v="0"/>
    <n v="0"/>
    <n v="0"/>
    <n v="792"/>
    <n v="0.84"/>
    <x v="0"/>
    <x v="851"/>
    <n v="0"/>
  </r>
  <r>
    <s v="U16450"/>
    <x v="51"/>
    <x v="1"/>
    <x v="1"/>
    <x v="1"/>
    <s v="Student"/>
    <n v="500"/>
    <n v="195.55"/>
    <n v="3123.75"/>
    <s v="No"/>
    <s v="None"/>
    <n v="0"/>
    <n v="0"/>
    <n v="0"/>
    <n v="0"/>
    <n v="0"/>
    <n v="345"/>
    <n v="0.52"/>
    <x v="3"/>
    <x v="313"/>
    <n v="0"/>
  </r>
  <r>
    <s v="U16467"/>
    <x v="49"/>
    <x v="0"/>
    <x v="3"/>
    <x v="1"/>
    <s v="Student"/>
    <n v="3553.29"/>
    <n v="1223.79"/>
    <n v="9139.2099999999991"/>
    <s v="No"/>
    <s v="None"/>
    <n v="0"/>
    <n v="0"/>
    <n v="0"/>
    <n v="0"/>
    <n v="0"/>
    <n v="595"/>
    <n v="0.21"/>
    <x v="1"/>
    <x v="852"/>
    <n v="0"/>
  </r>
  <r>
    <s v="U16474"/>
    <x v="25"/>
    <x v="1"/>
    <x v="3"/>
    <x v="1"/>
    <s v="Manager"/>
    <n v="2344.71"/>
    <n v="1157.1199999999999"/>
    <n v="5382.76"/>
    <s v="Yes"/>
    <s v="Business"/>
    <n v="321344.45"/>
    <n v="300"/>
    <n v="4531.25"/>
    <n v="16.649999999999999"/>
    <n v="1.93"/>
    <n v="328"/>
    <n v="0.19"/>
    <x v="0"/>
    <x v="211"/>
    <n v="1"/>
  </r>
  <r>
    <s v="U16481"/>
    <x v="34"/>
    <x v="0"/>
    <x v="0"/>
    <x v="2"/>
    <s v="Student"/>
    <n v="4389.42"/>
    <n v="1618.85"/>
    <n v="39242.769999999997"/>
    <s v="No"/>
    <s v="None"/>
    <n v="0"/>
    <n v="0"/>
    <n v="0"/>
    <n v="0"/>
    <n v="0"/>
    <n v="515"/>
    <n v="0.75"/>
    <x v="3"/>
    <x v="815"/>
    <n v="0"/>
  </r>
  <r>
    <s v="U16526"/>
    <x v="43"/>
    <x v="0"/>
    <x v="2"/>
    <x v="2"/>
    <s v="Accountant"/>
    <n v="3411.19"/>
    <n v="2348.58"/>
    <n v="4592.96"/>
    <s v="Yes"/>
    <s v="Education"/>
    <n v="150481.29999999999"/>
    <n v="24"/>
    <n v="6549.38"/>
    <n v="4.22"/>
    <n v="1.92"/>
    <n v="720"/>
    <n v="0.11"/>
    <x v="1"/>
    <x v="85"/>
    <n v="1"/>
  </r>
  <r>
    <s v="U16532"/>
    <x v="2"/>
    <x v="0"/>
    <x v="2"/>
    <x v="1"/>
    <s v="Salesperson"/>
    <n v="6664.74"/>
    <n v="4382.6400000000003"/>
    <n v="68090.740000000005"/>
    <s v="No"/>
    <s v="None"/>
    <n v="0"/>
    <n v="0"/>
    <n v="0"/>
    <n v="0"/>
    <n v="0"/>
    <n v="523"/>
    <n v="0.85"/>
    <x v="3"/>
    <x v="853"/>
    <n v="0"/>
  </r>
  <r>
    <s v="U16534"/>
    <x v="36"/>
    <x v="0"/>
    <x v="0"/>
    <x v="1"/>
    <s v="Engineer"/>
    <n v="5660.93"/>
    <n v="3513.81"/>
    <n v="49254.66"/>
    <s v="No"/>
    <s v="None"/>
    <n v="0"/>
    <n v="0"/>
    <n v="0"/>
    <n v="0"/>
    <n v="0"/>
    <n v="577"/>
    <n v="0.73"/>
    <x v="0"/>
    <x v="854"/>
    <n v="0"/>
  </r>
  <r>
    <s v="U16536"/>
    <x v="43"/>
    <x v="0"/>
    <x v="2"/>
    <x v="1"/>
    <s v="Manager"/>
    <n v="3263.64"/>
    <n v="1282.1400000000001"/>
    <n v="23300.13"/>
    <s v="No"/>
    <s v="None"/>
    <n v="0"/>
    <n v="0"/>
    <n v="0"/>
    <n v="0"/>
    <n v="0"/>
    <n v="379"/>
    <n v="0.59"/>
    <x v="4"/>
    <x v="855"/>
    <n v="0"/>
  </r>
  <r>
    <s v="U16558"/>
    <x v="0"/>
    <x v="1"/>
    <x v="2"/>
    <x v="3"/>
    <s v="Manager"/>
    <n v="5281.49"/>
    <n v="2773.49"/>
    <n v="47712.07"/>
    <s v="Yes"/>
    <s v="Business"/>
    <n v="291602.28000000003"/>
    <n v="300"/>
    <n v="4382.92"/>
    <n v="17.82"/>
    <n v="0.83"/>
    <n v="474"/>
    <n v="0.75"/>
    <x v="4"/>
    <x v="856"/>
    <n v="1"/>
  </r>
  <r>
    <s v="U16562"/>
    <x v="3"/>
    <x v="0"/>
    <x v="3"/>
    <x v="1"/>
    <s v="Salesperson"/>
    <n v="5956.53"/>
    <n v="4404.91"/>
    <n v="69182.39"/>
    <s v="Yes"/>
    <s v="Car"/>
    <n v="183325.93"/>
    <n v="360"/>
    <n v="1003.27"/>
    <n v="5.17"/>
    <n v="0.17"/>
    <n v="366"/>
    <n v="0.97"/>
    <x v="1"/>
    <x v="857"/>
    <n v="0"/>
  </r>
  <r>
    <s v="U16571"/>
    <x v="38"/>
    <x v="1"/>
    <x v="0"/>
    <x v="1"/>
    <s v="Engineer"/>
    <n v="3841.05"/>
    <n v="1880.58"/>
    <n v="5508.88"/>
    <s v="Yes"/>
    <s v="Car"/>
    <n v="242112.1"/>
    <n v="120"/>
    <n v="5542.06"/>
    <n v="25.2"/>
    <n v="1.44"/>
    <n v="432"/>
    <n v="0.12"/>
    <x v="3"/>
    <x v="227"/>
    <n v="1"/>
  </r>
  <r>
    <s v="U16572"/>
    <x v="29"/>
    <x v="1"/>
    <x v="3"/>
    <x v="1"/>
    <s v="Teacher"/>
    <n v="2370.12"/>
    <n v="2041.24"/>
    <n v="3463.46"/>
    <s v="No"/>
    <s v="None"/>
    <n v="0"/>
    <n v="0"/>
    <n v="0"/>
    <n v="0"/>
    <n v="0"/>
    <n v="588"/>
    <n v="0.12"/>
    <x v="1"/>
    <x v="528"/>
    <n v="0"/>
  </r>
  <r>
    <s v="U16632"/>
    <x v="12"/>
    <x v="1"/>
    <x v="3"/>
    <x v="1"/>
    <s v="Salesperson"/>
    <n v="5246.58"/>
    <n v="3763.55"/>
    <n v="17010.18"/>
    <s v="No"/>
    <s v="None"/>
    <n v="0"/>
    <n v="0"/>
    <n v="0"/>
    <n v="0"/>
    <n v="0"/>
    <n v="489"/>
    <n v="0.27"/>
    <x v="4"/>
    <x v="64"/>
    <n v="0"/>
  </r>
  <r>
    <s v="U16634"/>
    <x v="2"/>
    <x v="0"/>
    <x v="3"/>
    <x v="2"/>
    <s v="Driver"/>
    <n v="5738.34"/>
    <n v="4766.88"/>
    <n v="39665.620000000003"/>
    <s v="No"/>
    <s v="None"/>
    <n v="0"/>
    <n v="0"/>
    <n v="0"/>
    <n v="0"/>
    <n v="0"/>
    <n v="668"/>
    <n v="0.57999999999999996"/>
    <x v="3"/>
    <x v="858"/>
    <n v="0"/>
  </r>
  <r>
    <s v="U16638"/>
    <x v="10"/>
    <x v="1"/>
    <x v="3"/>
    <x v="0"/>
    <s v="Driver"/>
    <n v="5693.38"/>
    <n v="2568.5300000000002"/>
    <n v="66763.59"/>
    <s v="No"/>
    <s v="None"/>
    <n v="0"/>
    <n v="0"/>
    <n v="0"/>
    <n v="0"/>
    <n v="0"/>
    <n v="570"/>
    <n v="0.98"/>
    <x v="1"/>
    <x v="840"/>
    <n v="0"/>
  </r>
  <r>
    <s v="U16656"/>
    <x v="50"/>
    <x v="0"/>
    <x v="0"/>
    <x v="1"/>
    <s v="Engineer"/>
    <n v="2643.85"/>
    <n v="1196.98"/>
    <n v="25721.51"/>
    <s v="Yes"/>
    <s v="Education"/>
    <n v="176965.65"/>
    <n v="300"/>
    <n v="3671.05"/>
    <n v="24.84"/>
    <n v="1.39"/>
    <n v="639"/>
    <n v="0.81"/>
    <x v="4"/>
    <x v="257"/>
    <n v="1"/>
  </r>
  <r>
    <s v="U16671"/>
    <x v="39"/>
    <x v="1"/>
    <x v="3"/>
    <x v="3"/>
    <s v="Engineer"/>
    <n v="1922.95"/>
    <n v="626.52"/>
    <n v="9046.36"/>
    <s v="No"/>
    <s v="None"/>
    <n v="0"/>
    <n v="0"/>
    <n v="0"/>
    <n v="0"/>
    <n v="0"/>
    <n v="662"/>
    <n v="0.39"/>
    <x v="0"/>
    <x v="859"/>
    <n v="0"/>
  </r>
  <r>
    <s v="U16700"/>
    <x v="27"/>
    <x v="0"/>
    <x v="0"/>
    <x v="1"/>
    <s v="Teacher"/>
    <n v="3961.5"/>
    <n v="2184.81"/>
    <n v="21756.05"/>
    <s v="Yes"/>
    <s v="Car"/>
    <n v="155436.04999999999"/>
    <n v="360"/>
    <n v="1630.01"/>
    <n v="12.26"/>
    <n v="0.41"/>
    <n v="316"/>
    <n v="0.46"/>
    <x v="1"/>
    <x v="860"/>
    <n v="1"/>
  </r>
  <r>
    <s v="U16702"/>
    <x v="33"/>
    <x v="0"/>
    <x v="4"/>
    <x v="3"/>
    <s v="Student"/>
    <n v="4806.1499999999996"/>
    <n v="3495.66"/>
    <n v="18972.21"/>
    <s v="Yes"/>
    <s v="Education"/>
    <n v="53850.21"/>
    <n v="120"/>
    <n v="1282.8399999999999"/>
    <n v="26.51"/>
    <n v="0.27"/>
    <n v="817"/>
    <n v="0.33"/>
    <x v="2"/>
    <x v="133"/>
    <n v="0"/>
  </r>
  <r>
    <s v="U16727"/>
    <x v="4"/>
    <x v="1"/>
    <x v="0"/>
    <x v="1"/>
    <s v="Unemployed"/>
    <n v="5624.19"/>
    <n v="4914.13"/>
    <n v="13526.53"/>
    <s v="Yes"/>
    <s v="Home"/>
    <n v="248201.01"/>
    <n v="180"/>
    <n v="2523.33"/>
    <n v="9.0399999999999991"/>
    <n v="0.45"/>
    <n v="572"/>
    <n v="0.2"/>
    <x v="3"/>
    <x v="384"/>
    <n v="1"/>
  </r>
  <r>
    <s v="U16736"/>
    <x v="10"/>
    <x v="1"/>
    <x v="3"/>
    <x v="0"/>
    <s v="Salesperson"/>
    <n v="4283.32"/>
    <n v="2473.7399999999998"/>
    <n v="6943.64"/>
    <s v="No"/>
    <s v="None"/>
    <n v="0"/>
    <n v="0"/>
    <n v="0"/>
    <n v="0"/>
    <n v="0"/>
    <n v="453"/>
    <n v="0.14000000000000001"/>
    <x v="0"/>
    <x v="415"/>
    <n v="0"/>
  </r>
  <r>
    <s v="U16739"/>
    <x v="13"/>
    <x v="0"/>
    <x v="2"/>
    <x v="1"/>
    <s v="Teacher"/>
    <n v="5743.38"/>
    <n v="3569.64"/>
    <n v="36276.26"/>
    <s v="Yes"/>
    <s v="Education"/>
    <n v="236232.91"/>
    <n v="240"/>
    <n v="3154.41"/>
    <n v="15.25"/>
    <n v="0.55000000000000004"/>
    <n v="404"/>
    <n v="0.53"/>
    <x v="4"/>
    <x v="861"/>
    <n v="1"/>
  </r>
  <r>
    <s v="U16747"/>
    <x v="26"/>
    <x v="1"/>
    <x v="2"/>
    <x v="2"/>
    <s v="Manager"/>
    <n v="6033.23"/>
    <n v="5371.84"/>
    <n v="50139.23"/>
    <s v="No"/>
    <s v="None"/>
    <n v="0"/>
    <n v="0"/>
    <n v="0"/>
    <n v="0"/>
    <n v="0"/>
    <n v="728"/>
    <n v="0.69"/>
    <x v="0"/>
    <x v="762"/>
    <n v="0"/>
  </r>
  <r>
    <s v="U16771"/>
    <x v="40"/>
    <x v="0"/>
    <x v="0"/>
    <x v="1"/>
    <s v="Teacher"/>
    <n v="4181.51"/>
    <n v="2734.54"/>
    <n v="16695.669999999998"/>
    <s v="No"/>
    <s v="None"/>
    <n v="0"/>
    <n v="0"/>
    <n v="0"/>
    <n v="0"/>
    <n v="0"/>
    <n v="327"/>
    <n v="0.33"/>
    <x v="3"/>
    <x v="401"/>
    <n v="0"/>
  </r>
  <r>
    <s v="U16781"/>
    <x v="28"/>
    <x v="0"/>
    <x v="2"/>
    <x v="2"/>
    <s v="Salesperson"/>
    <n v="4833.3999999999996"/>
    <n v="2604.6999999999998"/>
    <n v="22433.62"/>
    <s v="No"/>
    <s v="None"/>
    <n v="0"/>
    <n v="0"/>
    <n v="0"/>
    <n v="0"/>
    <n v="0"/>
    <n v="605"/>
    <n v="0.39"/>
    <x v="3"/>
    <x v="552"/>
    <n v="0"/>
  </r>
  <r>
    <s v="U16835"/>
    <x v="42"/>
    <x v="1"/>
    <x v="0"/>
    <x v="2"/>
    <s v="Doctor"/>
    <n v="6287.09"/>
    <n v="2172.1"/>
    <n v="38288.94"/>
    <s v="Yes"/>
    <s v="Car"/>
    <n v="481870.16"/>
    <n v="180"/>
    <n v="8878.85"/>
    <n v="21.16"/>
    <n v="1.41"/>
    <n v="830"/>
    <n v="0.51"/>
    <x v="1"/>
    <x v="252"/>
    <n v="1"/>
  </r>
  <r>
    <s v="U16845"/>
    <x v="4"/>
    <x v="0"/>
    <x v="3"/>
    <x v="0"/>
    <s v="Accountant"/>
    <n v="6077.03"/>
    <n v="3665.38"/>
    <n v="48533.21"/>
    <s v="Yes"/>
    <s v="Home"/>
    <n v="154594.79"/>
    <n v="24"/>
    <n v="8524.1200000000008"/>
    <n v="28.49"/>
    <n v="1.4"/>
    <n v="798"/>
    <n v="0.67"/>
    <x v="3"/>
    <x v="22"/>
    <n v="1"/>
  </r>
  <r>
    <s v="U16856"/>
    <x v="22"/>
    <x v="0"/>
    <x v="4"/>
    <x v="1"/>
    <s v="Doctor"/>
    <n v="3443.4"/>
    <n v="2687.64"/>
    <n v="9148.99"/>
    <s v="No"/>
    <s v="None"/>
    <n v="0"/>
    <n v="0"/>
    <n v="0"/>
    <n v="0"/>
    <n v="0"/>
    <n v="558"/>
    <n v="0.22"/>
    <x v="0"/>
    <x v="96"/>
    <n v="0"/>
  </r>
  <r>
    <s v="U16870"/>
    <x v="37"/>
    <x v="0"/>
    <x v="3"/>
    <x v="1"/>
    <s v="Engineer"/>
    <n v="500"/>
    <n v="230.29"/>
    <n v="4850.9799999999996"/>
    <s v="No"/>
    <s v="None"/>
    <n v="0"/>
    <n v="0"/>
    <n v="0"/>
    <n v="0"/>
    <n v="0"/>
    <n v="362"/>
    <n v="0.81"/>
    <x v="3"/>
    <x v="413"/>
    <n v="0"/>
  </r>
  <r>
    <s v="U16905"/>
    <x v="21"/>
    <x v="0"/>
    <x v="2"/>
    <x v="3"/>
    <s v="Driver"/>
    <n v="4696.6499999999996"/>
    <n v="3198.13"/>
    <n v="36356.47"/>
    <s v="No"/>
    <s v="None"/>
    <n v="0"/>
    <n v="0"/>
    <n v="0"/>
    <n v="0"/>
    <n v="0"/>
    <n v="336"/>
    <n v="0.65"/>
    <x v="1"/>
    <x v="196"/>
    <n v="0"/>
  </r>
  <r>
    <s v="U16924"/>
    <x v="36"/>
    <x v="0"/>
    <x v="3"/>
    <x v="1"/>
    <s v="Unemployed"/>
    <n v="4904.3"/>
    <n v="4263.57"/>
    <n v="14440.62"/>
    <s v="Yes"/>
    <s v="Business"/>
    <n v="149813.16"/>
    <n v="60"/>
    <n v="4162.42"/>
    <n v="22.29"/>
    <n v="0.85"/>
    <n v="842"/>
    <n v="0.25"/>
    <x v="1"/>
    <x v="862"/>
    <n v="1"/>
  </r>
  <r>
    <s v="U16940"/>
    <x v="34"/>
    <x v="1"/>
    <x v="3"/>
    <x v="2"/>
    <s v="Engineer"/>
    <n v="6569.56"/>
    <n v="5857.77"/>
    <n v="9465.5499999999993"/>
    <s v="Yes"/>
    <s v="Car"/>
    <n v="43330.81"/>
    <n v="36"/>
    <n v="1402.85"/>
    <n v="10.23"/>
    <n v="0.21"/>
    <n v="408"/>
    <n v="0.12"/>
    <x v="1"/>
    <x v="863"/>
    <n v="0"/>
  </r>
  <r>
    <s v="U16941"/>
    <x v="16"/>
    <x v="2"/>
    <x v="3"/>
    <x v="1"/>
    <s v="Student"/>
    <n v="3232.42"/>
    <n v="2811.36"/>
    <n v="13142.63"/>
    <s v="No"/>
    <s v="None"/>
    <n v="0"/>
    <n v="0"/>
    <n v="0"/>
    <n v="0"/>
    <n v="0"/>
    <n v="495"/>
    <n v="0.34"/>
    <x v="0"/>
    <x v="864"/>
    <n v="0"/>
  </r>
  <r>
    <s v="U16944"/>
    <x v="17"/>
    <x v="1"/>
    <x v="2"/>
    <x v="1"/>
    <s v="Unemployed"/>
    <n v="8313.61"/>
    <n v="4449.6000000000004"/>
    <n v="44104.85"/>
    <s v="No"/>
    <s v="None"/>
    <n v="0"/>
    <n v="0"/>
    <n v="0"/>
    <n v="0"/>
    <n v="0"/>
    <n v="413"/>
    <n v="0.44"/>
    <x v="1"/>
    <x v="450"/>
    <n v="0"/>
  </r>
  <r>
    <s v="U16953"/>
    <x v="33"/>
    <x v="0"/>
    <x v="4"/>
    <x v="2"/>
    <s v="Salesperson"/>
    <n v="2914.01"/>
    <n v="1572.93"/>
    <n v="34040.949999999997"/>
    <s v="Yes"/>
    <s v="Home"/>
    <n v="178284.64"/>
    <n v="120"/>
    <n v="2603.42"/>
    <n v="12.44"/>
    <n v="0.89"/>
    <n v="507"/>
    <n v="0.97"/>
    <x v="0"/>
    <x v="40"/>
    <n v="1"/>
  </r>
  <r>
    <s v="U16965"/>
    <x v="22"/>
    <x v="1"/>
    <x v="2"/>
    <x v="1"/>
    <s v="Driver"/>
    <n v="1728.35"/>
    <n v="684.15"/>
    <n v="3980.05"/>
    <s v="No"/>
    <s v="None"/>
    <n v="0"/>
    <n v="0"/>
    <n v="0"/>
    <n v="0"/>
    <n v="0"/>
    <n v="507"/>
    <n v="0.19"/>
    <x v="3"/>
    <x v="862"/>
    <n v="0"/>
  </r>
  <r>
    <s v="U16969"/>
    <x v="36"/>
    <x v="1"/>
    <x v="0"/>
    <x v="0"/>
    <s v="Engineer"/>
    <n v="5899.01"/>
    <n v="4476.05"/>
    <n v="55705.73"/>
    <s v="No"/>
    <s v="None"/>
    <n v="0"/>
    <n v="0"/>
    <n v="0"/>
    <n v="0"/>
    <n v="0"/>
    <n v="595"/>
    <n v="0.79"/>
    <x v="1"/>
    <x v="447"/>
    <n v="0"/>
  </r>
  <r>
    <s v="U16974"/>
    <x v="4"/>
    <x v="0"/>
    <x v="0"/>
    <x v="0"/>
    <s v="Salesperson"/>
    <n v="2574.4299999999998"/>
    <n v="937.09"/>
    <n v="6719.71"/>
    <s v="Yes"/>
    <s v="Car"/>
    <n v="345202.94"/>
    <n v="120"/>
    <n v="4117.47"/>
    <n v="7.61"/>
    <n v="1.6"/>
    <n v="637"/>
    <n v="0.22"/>
    <x v="2"/>
    <x v="448"/>
    <n v="1"/>
  </r>
  <r>
    <s v="U16975"/>
    <x v="28"/>
    <x v="1"/>
    <x v="0"/>
    <x v="2"/>
    <s v="Doctor"/>
    <n v="5440.89"/>
    <n v="2549.06"/>
    <n v="10470.51"/>
    <s v="No"/>
    <s v="None"/>
    <n v="0"/>
    <n v="0"/>
    <n v="0"/>
    <n v="0"/>
    <n v="0"/>
    <n v="407"/>
    <n v="0.16"/>
    <x v="2"/>
    <x v="332"/>
    <n v="0"/>
  </r>
  <r>
    <s v="U16979"/>
    <x v="14"/>
    <x v="1"/>
    <x v="3"/>
    <x v="1"/>
    <s v="Student"/>
    <n v="1675.43"/>
    <n v="567.24"/>
    <n v="17428.98"/>
    <s v="No"/>
    <s v="None"/>
    <n v="0"/>
    <n v="0"/>
    <n v="0"/>
    <n v="0"/>
    <n v="0"/>
    <n v="532"/>
    <n v="0.87"/>
    <x v="0"/>
    <x v="865"/>
    <n v="0"/>
  </r>
  <r>
    <s v="U16995"/>
    <x v="12"/>
    <x v="1"/>
    <x v="2"/>
    <x v="1"/>
    <s v="Teacher"/>
    <n v="3360.46"/>
    <n v="2736.26"/>
    <n v="37835.01"/>
    <s v="No"/>
    <s v="None"/>
    <n v="0"/>
    <n v="0"/>
    <n v="0"/>
    <n v="0"/>
    <n v="0"/>
    <n v="552"/>
    <n v="0.94"/>
    <x v="2"/>
    <x v="866"/>
    <n v="0"/>
  </r>
  <r>
    <s v="U17037"/>
    <x v="35"/>
    <x v="0"/>
    <x v="2"/>
    <x v="1"/>
    <s v="Manager"/>
    <n v="2274.9299999999998"/>
    <n v="866.02"/>
    <n v="16579.27"/>
    <s v="No"/>
    <s v="None"/>
    <n v="0"/>
    <n v="0"/>
    <n v="0"/>
    <n v="0"/>
    <n v="0"/>
    <n v="846"/>
    <n v="0.61"/>
    <x v="2"/>
    <x v="737"/>
    <n v="0"/>
  </r>
  <r>
    <s v="U17043"/>
    <x v="32"/>
    <x v="1"/>
    <x v="2"/>
    <x v="1"/>
    <s v="Teacher"/>
    <n v="7866.95"/>
    <n v="3716.58"/>
    <n v="23365.5"/>
    <s v="No"/>
    <s v="None"/>
    <n v="0"/>
    <n v="0"/>
    <n v="0"/>
    <n v="0"/>
    <n v="0"/>
    <n v="587"/>
    <n v="0.25"/>
    <x v="1"/>
    <x v="147"/>
    <n v="0"/>
  </r>
  <r>
    <s v="U17052"/>
    <x v="39"/>
    <x v="0"/>
    <x v="2"/>
    <x v="1"/>
    <s v="Unemployed"/>
    <n v="6582.47"/>
    <n v="3129.32"/>
    <n v="17529.919999999998"/>
    <s v="No"/>
    <s v="None"/>
    <n v="0"/>
    <n v="0"/>
    <n v="0"/>
    <n v="0"/>
    <n v="0"/>
    <n v="614"/>
    <n v="0.22"/>
    <x v="4"/>
    <x v="867"/>
    <n v="0"/>
  </r>
  <r>
    <s v="U17056"/>
    <x v="10"/>
    <x v="1"/>
    <x v="0"/>
    <x v="2"/>
    <s v="Driver"/>
    <n v="4082.06"/>
    <n v="2648.99"/>
    <n v="33747.480000000003"/>
    <s v="No"/>
    <s v="None"/>
    <n v="0"/>
    <n v="0"/>
    <n v="0"/>
    <n v="0"/>
    <n v="0"/>
    <n v="506"/>
    <n v="0.69"/>
    <x v="1"/>
    <x v="384"/>
    <n v="0"/>
  </r>
  <r>
    <s v="U17067"/>
    <x v="45"/>
    <x v="0"/>
    <x v="0"/>
    <x v="0"/>
    <s v="Teacher"/>
    <n v="5642.2"/>
    <n v="2684.28"/>
    <n v="64640.09"/>
    <s v="No"/>
    <s v="None"/>
    <n v="0"/>
    <n v="0"/>
    <n v="0"/>
    <n v="0"/>
    <n v="0"/>
    <n v="570"/>
    <n v="0.95"/>
    <x v="0"/>
    <x v="568"/>
    <n v="0"/>
  </r>
  <r>
    <s v="U17086"/>
    <x v="11"/>
    <x v="1"/>
    <x v="3"/>
    <x v="2"/>
    <s v="Salesperson"/>
    <n v="5968.16"/>
    <n v="5318.2"/>
    <n v="54616.88"/>
    <s v="No"/>
    <s v="None"/>
    <n v="0"/>
    <n v="0"/>
    <n v="0"/>
    <n v="0"/>
    <n v="0"/>
    <n v="774"/>
    <n v="0.76"/>
    <x v="1"/>
    <x v="868"/>
    <n v="0"/>
  </r>
  <r>
    <s v="U17090"/>
    <x v="35"/>
    <x v="0"/>
    <x v="2"/>
    <x v="1"/>
    <s v="Teacher"/>
    <n v="3506.87"/>
    <n v="1443.11"/>
    <n v="30789.21"/>
    <s v="Yes"/>
    <s v="Business"/>
    <n v="191454.71"/>
    <n v="60"/>
    <n v="3710.26"/>
    <n v="6.1"/>
    <n v="1.06"/>
    <n v="582"/>
    <n v="0.73"/>
    <x v="2"/>
    <x v="405"/>
    <n v="1"/>
  </r>
  <r>
    <s v="U17106"/>
    <x v="21"/>
    <x v="1"/>
    <x v="4"/>
    <x v="1"/>
    <s v="Unemployed"/>
    <n v="3999.92"/>
    <n v="3190.13"/>
    <n v="16839.38"/>
    <s v="No"/>
    <s v="None"/>
    <n v="0"/>
    <n v="0"/>
    <n v="0"/>
    <n v="0"/>
    <n v="0"/>
    <n v="826"/>
    <n v="0.35"/>
    <x v="3"/>
    <x v="426"/>
    <n v="0"/>
  </r>
  <r>
    <s v="U17107"/>
    <x v="39"/>
    <x v="0"/>
    <x v="0"/>
    <x v="0"/>
    <s v="Doctor"/>
    <n v="5110.0600000000004"/>
    <n v="2930.41"/>
    <n v="22672.400000000001"/>
    <s v="No"/>
    <s v="None"/>
    <n v="0"/>
    <n v="0"/>
    <n v="0"/>
    <n v="0"/>
    <n v="0"/>
    <n v="308"/>
    <n v="0.37"/>
    <x v="4"/>
    <x v="869"/>
    <n v="0"/>
  </r>
  <r>
    <s v="U17152"/>
    <x v="14"/>
    <x v="0"/>
    <x v="2"/>
    <x v="0"/>
    <s v="Engineer"/>
    <n v="3716.78"/>
    <n v="2109.44"/>
    <n v="28863.84"/>
    <s v="No"/>
    <s v="None"/>
    <n v="0"/>
    <n v="0"/>
    <n v="0"/>
    <n v="0"/>
    <n v="0"/>
    <n v="721"/>
    <n v="0.65"/>
    <x v="4"/>
    <x v="818"/>
    <n v="0"/>
  </r>
  <r>
    <s v="U17162"/>
    <x v="43"/>
    <x v="1"/>
    <x v="2"/>
    <x v="2"/>
    <s v="Student"/>
    <n v="6684.5"/>
    <n v="2049.33"/>
    <n v="66876.66"/>
    <s v="No"/>
    <s v="None"/>
    <n v="0"/>
    <n v="0"/>
    <n v="0"/>
    <n v="0"/>
    <n v="0"/>
    <n v="750"/>
    <n v="0.83"/>
    <x v="0"/>
    <x v="162"/>
    <n v="0"/>
  </r>
  <r>
    <s v="U17167"/>
    <x v="19"/>
    <x v="1"/>
    <x v="1"/>
    <x v="3"/>
    <s v="Unemployed"/>
    <n v="3556.2"/>
    <n v="2506.4299999999998"/>
    <n v="15695.05"/>
    <s v="Yes"/>
    <s v="Car"/>
    <n v="125647.67999999999"/>
    <n v="60"/>
    <n v="3368.87"/>
    <n v="20.57"/>
    <n v="0.95"/>
    <n v="607"/>
    <n v="0.37"/>
    <x v="2"/>
    <x v="648"/>
    <n v="1"/>
  </r>
  <r>
    <s v="U17179"/>
    <x v="22"/>
    <x v="1"/>
    <x v="3"/>
    <x v="1"/>
    <s v="Doctor"/>
    <n v="3384.58"/>
    <n v="1069.1300000000001"/>
    <n v="30017.15"/>
    <s v="No"/>
    <s v="None"/>
    <n v="0"/>
    <n v="0"/>
    <n v="0"/>
    <n v="0"/>
    <n v="0"/>
    <n v="483"/>
    <n v="0.74"/>
    <x v="2"/>
    <x v="88"/>
    <n v="0"/>
  </r>
  <r>
    <s v="U17210"/>
    <x v="24"/>
    <x v="0"/>
    <x v="2"/>
    <x v="2"/>
    <s v="Salesperson"/>
    <n v="2770.39"/>
    <n v="1141.75"/>
    <n v="18199.25"/>
    <s v="No"/>
    <s v="None"/>
    <n v="0"/>
    <n v="0"/>
    <n v="0"/>
    <n v="0"/>
    <n v="0"/>
    <n v="513"/>
    <n v="0.55000000000000004"/>
    <x v="2"/>
    <x v="109"/>
    <n v="0"/>
  </r>
  <r>
    <s v="U17215"/>
    <x v="33"/>
    <x v="1"/>
    <x v="1"/>
    <x v="0"/>
    <s v="Salesperson"/>
    <n v="500"/>
    <n v="392.14"/>
    <n v="3445.59"/>
    <s v="No"/>
    <s v="None"/>
    <n v="0"/>
    <n v="0"/>
    <n v="0"/>
    <n v="0"/>
    <n v="0"/>
    <n v="609"/>
    <n v="0.56999999999999995"/>
    <x v="1"/>
    <x v="305"/>
    <n v="0"/>
  </r>
  <r>
    <s v="U17228"/>
    <x v="28"/>
    <x v="1"/>
    <x v="0"/>
    <x v="1"/>
    <s v="Doctor"/>
    <n v="4530.99"/>
    <n v="1514.79"/>
    <n v="32898.53"/>
    <s v="No"/>
    <s v="None"/>
    <n v="0"/>
    <n v="0"/>
    <n v="0"/>
    <n v="0"/>
    <n v="0"/>
    <n v="738"/>
    <n v="0.61"/>
    <x v="0"/>
    <x v="870"/>
    <n v="0"/>
  </r>
  <r>
    <s v="U17243"/>
    <x v="24"/>
    <x v="0"/>
    <x v="0"/>
    <x v="1"/>
    <s v="Doctor"/>
    <n v="4729.7299999999996"/>
    <n v="2867.96"/>
    <n v="28015.51"/>
    <s v="No"/>
    <s v="None"/>
    <n v="0"/>
    <n v="0"/>
    <n v="0"/>
    <n v="0"/>
    <n v="0"/>
    <n v="836"/>
    <n v="0.49"/>
    <x v="2"/>
    <x v="291"/>
    <n v="0"/>
  </r>
  <r>
    <s v="U17244"/>
    <x v="44"/>
    <x v="0"/>
    <x v="2"/>
    <x v="2"/>
    <s v="Accountant"/>
    <n v="5424.98"/>
    <n v="1900.38"/>
    <n v="60031.57"/>
    <s v="No"/>
    <s v="None"/>
    <n v="0"/>
    <n v="0"/>
    <n v="0"/>
    <n v="0"/>
    <n v="0"/>
    <n v="592"/>
    <n v="0.92"/>
    <x v="2"/>
    <x v="871"/>
    <n v="0"/>
  </r>
  <r>
    <s v="U17269"/>
    <x v="34"/>
    <x v="1"/>
    <x v="3"/>
    <x v="2"/>
    <s v="Student"/>
    <n v="2312.12"/>
    <n v="768.5"/>
    <n v="26686.98"/>
    <s v="No"/>
    <s v="None"/>
    <n v="0"/>
    <n v="0"/>
    <n v="0"/>
    <n v="0"/>
    <n v="0"/>
    <n v="387"/>
    <n v="0.96"/>
    <x v="1"/>
    <x v="830"/>
    <n v="0"/>
  </r>
  <r>
    <s v="U17277"/>
    <x v="31"/>
    <x v="2"/>
    <x v="0"/>
    <x v="2"/>
    <s v="Driver"/>
    <n v="2948.7"/>
    <n v="2218.44"/>
    <n v="16003.59"/>
    <s v="No"/>
    <s v="None"/>
    <n v="0"/>
    <n v="0"/>
    <n v="0"/>
    <n v="0"/>
    <n v="0"/>
    <n v="674"/>
    <n v="0.45"/>
    <x v="1"/>
    <x v="829"/>
    <n v="0"/>
  </r>
  <r>
    <s v="U17278"/>
    <x v="33"/>
    <x v="0"/>
    <x v="0"/>
    <x v="1"/>
    <s v="Doctor"/>
    <n v="859.26"/>
    <n v="265.51"/>
    <n v="3913.91"/>
    <s v="No"/>
    <s v="None"/>
    <n v="0"/>
    <n v="0"/>
    <n v="0"/>
    <n v="0"/>
    <n v="0"/>
    <n v="522"/>
    <n v="0.38"/>
    <x v="1"/>
    <x v="764"/>
    <n v="0"/>
  </r>
  <r>
    <s v="U17298"/>
    <x v="23"/>
    <x v="1"/>
    <x v="3"/>
    <x v="3"/>
    <s v="Manager"/>
    <n v="2439.2399999999998"/>
    <n v="1411.39"/>
    <n v="15801.92"/>
    <s v="No"/>
    <s v="None"/>
    <n v="0"/>
    <n v="0"/>
    <n v="0"/>
    <n v="0"/>
    <n v="0"/>
    <n v="352"/>
    <n v="0.54"/>
    <x v="3"/>
    <x v="872"/>
    <n v="0"/>
  </r>
  <r>
    <s v="U17299"/>
    <x v="34"/>
    <x v="0"/>
    <x v="2"/>
    <x v="0"/>
    <s v="Engineer"/>
    <n v="3791.99"/>
    <n v="1552.36"/>
    <n v="17991.72"/>
    <s v="Yes"/>
    <s v="Car"/>
    <n v="214105.53"/>
    <n v="300"/>
    <n v="2356.9"/>
    <n v="12.64"/>
    <n v="0.62"/>
    <n v="654"/>
    <n v="0.4"/>
    <x v="1"/>
    <x v="775"/>
    <n v="1"/>
  </r>
  <r>
    <s v="U17364"/>
    <x v="3"/>
    <x v="0"/>
    <x v="3"/>
    <x v="1"/>
    <s v="Teacher"/>
    <n v="2112.89"/>
    <n v="1258.74"/>
    <n v="20729.27"/>
    <s v="No"/>
    <s v="None"/>
    <n v="0"/>
    <n v="0"/>
    <n v="0"/>
    <n v="0"/>
    <n v="0"/>
    <n v="434"/>
    <n v="0.82"/>
    <x v="0"/>
    <x v="873"/>
    <n v="0"/>
  </r>
  <r>
    <s v="U17369"/>
    <x v="20"/>
    <x v="1"/>
    <x v="0"/>
    <x v="2"/>
    <s v="Accountant"/>
    <n v="2151.8000000000002"/>
    <n v="1587.44"/>
    <n v="5026.37"/>
    <s v="No"/>
    <s v="None"/>
    <n v="0"/>
    <n v="0"/>
    <n v="0"/>
    <n v="0"/>
    <n v="0"/>
    <n v="844"/>
    <n v="0.19"/>
    <x v="1"/>
    <x v="874"/>
    <n v="0"/>
  </r>
  <r>
    <s v="U17370"/>
    <x v="43"/>
    <x v="1"/>
    <x v="3"/>
    <x v="1"/>
    <s v="Doctor"/>
    <n v="1638.49"/>
    <n v="1256.08"/>
    <n v="4080.63"/>
    <s v="No"/>
    <s v="None"/>
    <n v="0"/>
    <n v="0"/>
    <n v="0"/>
    <n v="0"/>
    <n v="0"/>
    <n v="665"/>
    <n v="0.21"/>
    <x v="3"/>
    <x v="875"/>
    <n v="0"/>
  </r>
  <r>
    <s v="U17374"/>
    <x v="30"/>
    <x v="0"/>
    <x v="3"/>
    <x v="1"/>
    <s v="Doctor"/>
    <n v="6535.59"/>
    <n v="2474.17"/>
    <n v="18024.52"/>
    <s v="No"/>
    <s v="None"/>
    <n v="0"/>
    <n v="0"/>
    <n v="0"/>
    <n v="0"/>
    <n v="0"/>
    <n v="761"/>
    <n v="0.23"/>
    <x v="4"/>
    <x v="46"/>
    <n v="0"/>
  </r>
  <r>
    <s v="U17387"/>
    <x v="44"/>
    <x v="0"/>
    <x v="0"/>
    <x v="1"/>
    <s v="Salesperson"/>
    <n v="7002.23"/>
    <n v="2648.22"/>
    <n v="52469.21"/>
    <s v="Yes"/>
    <s v="Car"/>
    <n v="395346.02"/>
    <n v="360"/>
    <n v="5636.35"/>
    <n v="17"/>
    <n v="0.8"/>
    <n v="797"/>
    <n v="0.62"/>
    <x v="2"/>
    <x v="876"/>
    <n v="1"/>
  </r>
  <r>
    <s v="U17390"/>
    <x v="16"/>
    <x v="0"/>
    <x v="3"/>
    <x v="1"/>
    <s v="Student"/>
    <n v="5540.32"/>
    <n v="3513.88"/>
    <n v="13830.87"/>
    <s v="No"/>
    <s v="None"/>
    <n v="0"/>
    <n v="0"/>
    <n v="0"/>
    <n v="0"/>
    <n v="0"/>
    <n v="378"/>
    <n v="0.21"/>
    <x v="3"/>
    <x v="527"/>
    <n v="0"/>
  </r>
  <r>
    <s v="U17391"/>
    <x v="46"/>
    <x v="1"/>
    <x v="3"/>
    <x v="1"/>
    <s v="Unemployed"/>
    <n v="4408.8900000000003"/>
    <n v="1786.27"/>
    <n v="47087.69"/>
    <s v="No"/>
    <s v="None"/>
    <n v="0"/>
    <n v="0"/>
    <n v="0"/>
    <n v="0"/>
    <n v="0"/>
    <n v="727"/>
    <n v="0.89"/>
    <x v="3"/>
    <x v="877"/>
    <n v="0"/>
  </r>
  <r>
    <s v="U17413"/>
    <x v="36"/>
    <x v="1"/>
    <x v="3"/>
    <x v="1"/>
    <s v="Accountant"/>
    <n v="3880.57"/>
    <n v="1318.51"/>
    <n v="19554.8"/>
    <s v="No"/>
    <s v="None"/>
    <n v="0"/>
    <n v="0"/>
    <n v="0"/>
    <n v="0"/>
    <n v="0"/>
    <n v="709"/>
    <n v="0.42"/>
    <x v="0"/>
    <x v="240"/>
    <n v="0"/>
  </r>
  <r>
    <s v="U17421"/>
    <x v="47"/>
    <x v="1"/>
    <x v="3"/>
    <x v="1"/>
    <s v="Manager"/>
    <n v="3108.26"/>
    <n v="2184.0300000000002"/>
    <n v="23390.97"/>
    <s v="No"/>
    <s v="None"/>
    <n v="0"/>
    <n v="0"/>
    <n v="0"/>
    <n v="0"/>
    <n v="0"/>
    <n v="417"/>
    <n v="0.63"/>
    <x v="2"/>
    <x v="267"/>
    <n v="0"/>
  </r>
  <r>
    <s v="U17433"/>
    <x v="19"/>
    <x v="1"/>
    <x v="2"/>
    <x v="0"/>
    <s v="Manager"/>
    <n v="3845.48"/>
    <n v="2966.52"/>
    <n v="40299.93"/>
    <s v="Yes"/>
    <s v="Business"/>
    <n v="222913.24"/>
    <n v="300"/>
    <n v="3048.4"/>
    <n v="16.11"/>
    <n v="0.79"/>
    <n v="580"/>
    <n v="0.87"/>
    <x v="1"/>
    <x v="475"/>
    <n v="1"/>
  </r>
  <r>
    <s v="U17434"/>
    <x v="23"/>
    <x v="0"/>
    <x v="3"/>
    <x v="2"/>
    <s v="Driver"/>
    <n v="3919.52"/>
    <n v="1861.35"/>
    <n v="45063.69"/>
    <s v="Yes"/>
    <s v="Car"/>
    <n v="380457.58"/>
    <n v="180"/>
    <n v="4212.6499999999996"/>
    <n v="10.53"/>
    <n v="1.07"/>
    <n v="845"/>
    <n v="0.96"/>
    <x v="0"/>
    <x v="336"/>
    <n v="1"/>
  </r>
  <r>
    <s v="U17441"/>
    <x v="39"/>
    <x v="0"/>
    <x v="1"/>
    <x v="1"/>
    <s v="Salesperson"/>
    <n v="4770.71"/>
    <n v="3137.71"/>
    <n v="20396.95"/>
    <s v="No"/>
    <s v="None"/>
    <n v="0"/>
    <n v="0"/>
    <n v="0"/>
    <n v="0"/>
    <n v="0"/>
    <n v="649"/>
    <n v="0.36"/>
    <x v="0"/>
    <x v="105"/>
    <n v="0"/>
  </r>
  <r>
    <s v="U17442"/>
    <x v="41"/>
    <x v="0"/>
    <x v="2"/>
    <x v="1"/>
    <s v="Driver"/>
    <n v="6346.02"/>
    <n v="4089.47"/>
    <n v="61449.7"/>
    <s v="Yes"/>
    <s v="Home"/>
    <n v="316717.83"/>
    <n v="180"/>
    <n v="3442.32"/>
    <n v="10.199999999999999"/>
    <n v="0.54"/>
    <n v="427"/>
    <n v="0.81"/>
    <x v="2"/>
    <x v="406"/>
    <n v="1"/>
  </r>
  <r>
    <s v="U17475"/>
    <x v="33"/>
    <x v="1"/>
    <x v="1"/>
    <x v="3"/>
    <s v="Accountant"/>
    <n v="5387.88"/>
    <n v="1977.98"/>
    <n v="21454.23"/>
    <s v="Yes"/>
    <s v="Education"/>
    <n v="199817.8"/>
    <n v="180"/>
    <n v="3327.76"/>
    <n v="18.760000000000002"/>
    <n v="0.62"/>
    <n v="436"/>
    <n v="0.33"/>
    <x v="1"/>
    <x v="420"/>
    <n v="1"/>
  </r>
  <r>
    <s v="U17477"/>
    <x v="3"/>
    <x v="0"/>
    <x v="3"/>
    <x v="2"/>
    <s v="Manager"/>
    <n v="6680.61"/>
    <n v="2781.96"/>
    <n v="18995.259999999998"/>
    <s v="Yes"/>
    <s v="Car"/>
    <n v="330172.62"/>
    <n v="36"/>
    <n v="12096.14"/>
    <n v="18.96"/>
    <n v="1.81"/>
    <n v="376"/>
    <n v="0.24"/>
    <x v="4"/>
    <x v="608"/>
    <n v="1"/>
  </r>
  <r>
    <s v="U17483"/>
    <x v="43"/>
    <x v="1"/>
    <x v="1"/>
    <x v="1"/>
    <s v="Salesperson"/>
    <n v="6038.9"/>
    <n v="5090.71"/>
    <n v="38761.32"/>
    <s v="No"/>
    <s v="None"/>
    <n v="0"/>
    <n v="0"/>
    <n v="0"/>
    <n v="0"/>
    <n v="0"/>
    <n v="436"/>
    <n v="0.53"/>
    <x v="4"/>
    <x v="840"/>
    <n v="0"/>
  </r>
  <r>
    <s v="U17498"/>
    <x v="44"/>
    <x v="2"/>
    <x v="2"/>
    <x v="2"/>
    <s v="Engineer"/>
    <n v="7013.44"/>
    <n v="3904.75"/>
    <n v="33022.92"/>
    <s v="Yes"/>
    <s v="Car"/>
    <n v="250993.71"/>
    <n v="240"/>
    <n v="2865.81"/>
    <n v="12.58"/>
    <n v="0.41"/>
    <n v="703"/>
    <n v="0.39"/>
    <x v="1"/>
    <x v="574"/>
    <n v="1"/>
  </r>
  <r>
    <s v="U17510"/>
    <x v="44"/>
    <x v="1"/>
    <x v="3"/>
    <x v="2"/>
    <s v="Doctor"/>
    <n v="4975.54"/>
    <n v="2171.3200000000002"/>
    <n v="47474.77"/>
    <s v="Yes"/>
    <s v="Car"/>
    <n v="171187.15"/>
    <n v="300"/>
    <n v="2699.21"/>
    <n v="18.739999999999998"/>
    <n v="0.54"/>
    <n v="634"/>
    <n v="0.8"/>
    <x v="4"/>
    <x v="10"/>
    <n v="1"/>
  </r>
  <r>
    <s v="U17511"/>
    <x v="44"/>
    <x v="1"/>
    <x v="2"/>
    <x v="1"/>
    <s v="Unemployed"/>
    <n v="5148.49"/>
    <n v="4537.9799999999996"/>
    <n v="50421.64"/>
    <s v="Yes"/>
    <s v="Home"/>
    <n v="309057.08"/>
    <n v="360"/>
    <n v="7197.69"/>
    <n v="27.94"/>
    <n v="1.4"/>
    <n v="309"/>
    <n v="0.82"/>
    <x v="4"/>
    <x v="878"/>
    <n v="1"/>
  </r>
  <r>
    <s v="U17525"/>
    <x v="44"/>
    <x v="1"/>
    <x v="3"/>
    <x v="2"/>
    <s v="Unemployed"/>
    <n v="4729.3999999999996"/>
    <n v="2136.88"/>
    <n v="20218.66"/>
    <s v="Yes"/>
    <s v="Education"/>
    <n v="250996.65"/>
    <n v="180"/>
    <n v="6129.38"/>
    <n v="28.9"/>
    <n v="1.3"/>
    <n v="682"/>
    <n v="0.36"/>
    <x v="2"/>
    <x v="413"/>
    <n v="1"/>
  </r>
  <r>
    <s v="U17531"/>
    <x v="46"/>
    <x v="1"/>
    <x v="2"/>
    <x v="0"/>
    <s v="Manager"/>
    <n v="6218.93"/>
    <n v="2071.0500000000002"/>
    <n v="73296.73"/>
    <s v="Yes"/>
    <s v="Business"/>
    <n v="50456.84"/>
    <n v="24"/>
    <n v="2308.58"/>
    <n v="9.15"/>
    <n v="0.37"/>
    <n v="671"/>
    <n v="0.98"/>
    <x v="1"/>
    <x v="799"/>
    <n v="0"/>
  </r>
  <r>
    <s v="U17540"/>
    <x v="42"/>
    <x v="0"/>
    <x v="3"/>
    <x v="2"/>
    <s v="Driver"/>
    <n v="3990.65"/>
    <n v="1683.73"/>
    <n v="20268.3"/>
    <s v="No"/>
    <s v="None"/>
    <n v="0"/>
    <n v="0"/>
    <n v="0"/>
    <n v="0"/>
    <n v="0"/>
    <n v="821"/>
    <n v="0.42"/>
    <x v="3"/>
    <x v="879"/>
    <n v="0"/>
  </r>
  <r>
    <s v="U17542"/>
    <x v="20"/>
    <x v="1"/>
    <x v="2"/>
    <x v="0"/>
    <s v="Doctor"/>
    <n v="1663.79"/>
    <n v="931.17"/>
    <n v="14767.91"/>
    <s v="No"/>
    <s v="None"/>
    <n v="0"/>
    <n v="0"/>
    <n v="0"/>
    <n v="0"/>
    <n v="0"/>
    <n v="659"/>
    <n v="0.74"/>
    <x v="1"/>
    <x v="193"/>
    <n v="0"/>
  </r>
  <r>
    <s v="U17564"/>
    <x v="6"/>
    <x v="0"/>
    <x v="3"/>
    <x v="1"/>
    <s v="Unemployed"/>
    <n v="6062.52"/>
    <n v="4815.41"/>
    <n v="31321.22"/>
    <s v="Yes"/>
    <s v="Business"/>
    <n v="38800.839999999997"/>
    <n v="180"/>
    <n v="591.38"/>
    <n v="16.79"/>
    <n v="0.1"/>
    <n v="510"/>
    <n v="0.43"/>
    <x v="3"/>
    <x v="521"/>
    <n v="0"/>
  </r>
  <r>
    <s v="U17565"/>
    <x v="46"/>
    <x v="1"/>
    <x v="0"/>
    <x v="1"/>
    <s v="Salesperson"/>
    <n v="2310.9299999999998"/>
    <n v="1081.83"/>
    <n v="23215.41"/>
    <s v="Yes"/>
    <s v="Business"/>
    <n v="8842.1200000000008"/>
    <n v="180"/>
    <n v="175.36"/>
    <n v="23.02"/>
    <n v="0.08"/>
    <n v="497"/>
    <n v="0.84"/>
    <x v="0"/>
    <x v="298"/>
    <n v="0"/>
  </r>
  <r>
    <s v="U17574"/>
    <x v="47"/>
    <x v="0"/>
    <x v="3"/>
    <x v="1"/>
    <s v="Engineer"/>
    <n v="7467.2"/>
    <n v="6488.09"/>
    <n v="59524.34"/>
    <s v="No"/>
    <s v="None"/>
    <n v="0"/>
    <n v="0"/>
    <n v="0"/>
    <n v="0"/>
    <n v="0"/>
    <n v="485"/>
    <n v="0.66"/>
    <x v="0"/>
    <x v="170"/>
    <n v="0"/>
  </r>
  <r>
    <s v="U17575"/>
    <x v="8"/>
    <x v="0"/>
    <x v="0"/>
    <x v="1"/>
    <s v="Student"/>
    <n v="3814.11"/>
    <n v="1582.5"/>
    <n v="25540.05"/>
    <s v="No"/>
    <s v="None"/>
    <n v="0"/>
    <n v="0"/>
    <n v="0"/>
    <n v="0"/>
    <n v="0"/>
    <n v="356"/>
    <n v="0.56000000000000005"/>
    <x v="1"/>
    <x v="594"/>
    <n v="0"/>
  </r>
  <r>
    <s v="U17598"/>
    <x v="21"/>
    <x v="0"/>
    <x v="3"/>
    <x v="1"/>
    <s v="Accountant"/>
    <n v="7238.69"/>
    <n v="2529.5700000000002"/>
    <n v="79585.67"/>
    <s v="No"/>
    <s v="None"/>
    <n v="0"/>
    <n v="0"/>
    <n v="0"/>
    <n v="0"/>
    <n v="0"/>
    <n v="531"/>
    <n v="0.92"/>
    <x v="1"/>
    <x v="880"/>
    <n v="0"/>
  </r>
  <r>
    <s v="U17602"/>
    <x v="32"/>
    <x v="1"/>
    <x v="2"/>
    <x v="1"/>
    <s v="Salesperson"/>
    <n v="2964.01"/>
    <n v="1420.88"/>
    <n v="23767.27"/>
    <s v="Yes"/>
    <s v="Car"/>
    <n v="228252.23"/>
    <n v="360"/>
    <n v="2258.62"/>
    <n v="11.49"/>
    <n v="0.76"/>
    <n v="752"/>
    <n v="0.67"/>
    <x v="2"/>
    <x v="232"/>
    <n v="1"/>
  </r>
  <r>
    <s v="U17622"/>
    <x v="5"/>
    <x v="0"/>
    <x v="2"/>
    <x v="3"/>
    <s v="Driver"/>
    <n v="2898.49"/>
    <n v="1284.92"/>
    <n v="13618.09"/>
    <s v="No"/>
    <s v="None"/>
    <n v="0"/>
    <n v="0"/>
    <n v="0"/>
    <n v="0"/>
    <n v="0"/>
    <n v="502"/>
    <n v="0.39"/>
    <x v="0"/>
    <x v="881"/>
    <n v="0"/>
  </r>
  <r>
    <s v="U17626"/>
    <x v="28"/>
    <x v="1"/>
    <x v="2"/>
    <x v="1"/>
    <s v="Accountant"/>
    <n v="2864.39"/>
    <n v="2402.83"/>
    <n v="28379.01"/>
    <s v="No"/>
    <s v="None"/>
    <n v="0"/>
    <n v="0"/>
    <n v="0"/>
    <n v="0"/>
    <n v="0"/>
    <n v="653"/>
    <n v="0.83"/>
    <x v="3"/>
    <x v="46"/>
    <n v="0"/>
  </r>
  <r>
    <s v="U17631"/>
    <x v="25"/>
    <x v="0"/>
    <x v="4"/>
    <x v="0"/>
    <s v="Accountant"/>
    <n v="2065.5700000000002"/>
    <n v="1549.52"/>
    <n v="4694.4399999999996"/>
    <s v="No"/>
    <s v="None"/>
    <n v="0"/>
    <n v="0"/>
    <n v="0"/>
    <n v="0"/>
    <n v="0"/>
    <n v="808"/>
    <n v="0.19"/>
    <x v="2"/>
    <x v="223"/>
    <n v="0"/>
  </r>
  <r>
    <s v="U17640"/>
    <x v="18"/>
    <x v="0"/>
    <x v="2"/>
    <x v="2"/>
    <s v="Teacher"/>
    <n v="6971.32"/>
    <n v="3434.39"/>
    <n v="67475.33"/>
    <s v="No"/>
    <s v="None"/>
    <n v="0"/>
    <n v="0"/>
    <n v="0"/>
    <n v="0"/>
    <n v="0"/>
    <n v="722"/>
    <n v="0.81"/>
    <x v="2"/>
    <x v="803"/>
    <n v="0"/>
  </r>
  <r>
    <s v="U17648"/>
    <x v="18"/>
    <x v="0"/>
    <x v="3"/>
    <x v="2"/>
    <s v="Teacher"/>
    <n v="6045.53"/>
    <n v="3747.75"/>
    <n v="31615.14"/>
    <s v="Yes"/>
    <s v="Business"/>
    <n v="189118.56"/>
    <n v="180"/>
    <n v="4003.51"/>
    <n v="24.76"/>
    <n v="0.66"/>
    <n v="640"/>
    <n v="0.44"/>
    <x v="3"/>
    <x v="410"/>
    <n v="1"/>
  </r>
  <r>
    <s v="U17651"/>
    <x v="16"/>
    <x v="0"/>
    <x v="0"/>
    <x v="1"/>
    <s v="Driver"/>
    <n v="2729.2"/>
    <n v="1633.78"/>
    <n v="15575.61"/>
    <s v="No"/>
    <s v="None"/>
    <n v="0"/>
    <n v="0"/>
    <n v="0"/>
    <n v="0"/>
    <n v="0"/>
    <n v="578"/>
    <n v="0.48"/>
    <x v="1"/>
    <x v="303"/>
    <n v="0"/>
  </r>
  <r>
    <s v="U17654"/>
    <x v="51"/>
    <x v="2"/>
    <x v="3"/>
    <x v="2"/>
    <s v="Teacher"/>
    <n v="5593.13"/>
    <n v="4624.2299999999996"/>
    <n v="18709.75"/>
    <s v="No"/>
    <s v="None"/>
    <n v="0"/>
    <n v="0"/>
    <n v="0"/>
    <n v="0"/>
    <n v="0"/>
    <n v="746"/>
    <n v="0.28000000000000003"/>
    <x v="4"/>
    <x v="882"/>
    <n v="0"/>
  </r>
  <r>
    <s v="U17662"/>
    <x v="24"/>
    <x v="1"/>
    <x v="2"/>
    <x v="2"/>
    <s v="Accountant"/>
    <n v="3314.35"/>
    <n v="1675.44"/>
    <n v="29265.97"/>
    <s v="No"/>
    <s v="None"/>
    <n v="0"/>
    <n v="0"/>
    <n v="0"/>
    <n v="0"/>
    <n v="0"/>
    <n v="324"/>
    <n v="0.74"/>
    <x v="2"/>
    <x v="692"/>
    <n v="0"/>
  </r>
  <r>
    <s v="U17664"/>
    <x v="46"/>
    <x v="0"/>
    <x v="3"/>
    <x v="2"/>
    <s v="Engineer"/>
    <n v="4424.78"/>
    <n v="3395.41"/>
    <n v="45325.32"/>
    <s v="No"/>
    <s v="None"/>
    <n v="0"/>
    <n v="0"/>
    <n v="0"/>
    <n v="0"/>
    <n v="0"/>
    <n v="452"/>
    <n v="0.85"/>
    <x v="0"/>
    <x v="733"/>
    <n v="0"/>
  </r>
  <r>
    <s v="U17691"/>
    <x v="43"/>
    <x v="1"/>
    <x v="3"/>
    <x v="0"/>
    <s v="Salesperson"/>
    <n v="3633.68"/>
    <n v="2015.3"/>
    <n v="35060.370000000003"/>
    <s v="Yes"/>
    <s v="Education"/>
    <n v="167131.85999999999"/>
    <n v="360"/>
    <n v="2009.44"/>
    <n v="14.22"/>
    <n v="0.55000000000000004"/>
    <n v="415"/>
    <n v="0.8"/>
    <x v="2"/>
    <x v="863"/>
    <n v="1"/>
  </r>
  <r>
    <s v="U17704"/>
    <x v="5"/>
    <x v="1"/>
    <x v="3"/>
    <x v="0"/>
    <s v="Driver"/>
    <n v="2922.57"/>
    <n v="1686.09"/>
    <n v="34369.480000000003"/>
    <s v="Yes"/>
    <s v="Education"/>
    <n v="98547.83"/>
    <n v="60"/>
    <n v="3008.01"/>
    <n v="26.98"/>
    <n v="1.03"/>
    <n v="801"/>
    <n v="0.98"/>
    <x v="4"/>
    <x v="883"/>
    <n v="1"/>
  </r>
  <r>
    <s v="U17715"/>
    <x v="11"/>
    <x v="1"/>
    <x v="3"/>
    <x v="2"/>
    <s v="Manager"/>
    <n v="5228.04"/>
    <n v="4577.68"/>
    <n v="16609.84"/>
    <s v="No"/>
    <s v="None"/>
    <n v="0"/>
    <n v="0"/>
    <n v="0"/>
    <n v="0"/>
    <n v="0"/>
    <n v="716"/>
    <n v="0.26"/>
    <x v="4"/>
    <x v="520"/>
    <n v="0"/>
  </r>
  <r>
    <s v="U17717"/>
    <x v="38"/>
    <x v="0"/>
    <x v="2"/>
    <x v="1"/>
    <s v="Manager"/>
    <n v="3036.47"/>
    <n v="1124.6400000000001"/>
    <n v="27897.09"/>
    <s v="No"/>
    <s v="None"/>
    <n v="0"/>
    <n v="0"/>
    <n v="0"/>
    <n v="0"/>
    <n v="0"/>
    <n v="687"/>
    <n v="0.77"/>
    <x v="0"/>
    <x v="641"/>
    <n v="0"/>
  </r>
  <r>
    <s v="U17721"/>
    <x v="30"/>
    <x v="2"/>
    <x v="2"/>
    <x v="0"/>
    <s v="Manager"/>
    <n v="7766.34"/>
    <n v="4577.91"/>
    <n v="50289.41"/>
    <s v="No"/>
    <s v="None"/>
    <n v="0"/>
    <n v="0"/>
    <n v="0"/>
    <n v="0"/>
    <n v="0"/>
    <n v="328"/>
    <n v="0.54"/>
    <x v="2"/>
    <x v="884"/>
    <n v="0"/>
  </r>
  <r>
    <s v="U17735"/>
    <x v="18"/>
    <x v="1"/>
    <x v="0"/>
    <x v="1"/>
    <s v="Salesperson"/>
    <n v="4833.6099999999997"/>
    <n v="1994.59"/>
    <n v="39028.31"/>
    <s v="No"/>
    <s v="None"/>
    <n v="0"/>
    <n v="0"/>
    <n v="0"/>
    <n v="0"/>
    <n v="0"/>
    <n v="599"/>
    <n v="0.67"/>
    <x v="2"/>
    <x v="622"/>
    <n v="0"/>
  </r>
  <r>
    <s v="U17742"/>
    <x v="5"/>
    <x v="1"/>
    <x v="0"/>
    <x v="1"/>
    <s v="Driver"/>
    <n v="3754.12"/>
    <n v="2658.8"/>
    <n v="7939.64"/>
    <s v="Yes"/>
    <s v="Education"/>
    <n v="233195.49"/>
    <n v="360"/>
    <n v="1149.9100000000001"/>
    <n v="4.2699999999999996"/>
    <n v="0.31"/>
    <n v="723"/>
    <n v="0.18"/>
    <x v="4"/>
    <x v="417"/>
    <n v="0"/>
  </r>
  <r>
    <s v="U17774"/>
    <x v="6"/>
    <x v="0"/>
    <x v="3"/>
    <x v="1"/>
    <s v="Teacher"/>
    <n v="1880.98"/>
    <n v="1682.55"/>
    <n v="13725.38"/>
    <s v="No"/>
    <s v="None"/>
    <n v="0"/>
    <n v="0"/>
    <n v="0"/>
    <n v="0"/>
    <n v="0"/>
    <n v="758"/>
    <n v="0.61"/>
    <x v="0"/>
    <x v="487"/>
    <n v="0"/>
  </r>
  <r>
    <s v="U17778"/>
    <x v="14"/>
    <x v="0"/>
    <x v="3"/>
    <x v="1"/>
    <s v="Salesperson"/>
    <n v="7757.14"/>
    <n v="5204.7700000000004"/>
    <n v="54827.99"/>
    <s v="No"/>
    <s v="None"/>
    <n v="0"/>
    <n v="0"/>
    <n v="0"/>
    <n v="0"/>
    <n v="0"/>
    <n v="572"/>
    <n v="0.59"/>
    <x v="1"/>
    <x v="842"/>
    <n v="0"/>
  </r>
  <r>
    <s v="U17781"/>
    <x v="41"/>
    <x v="1"/>
    <x v="2"/>
    <x v="1"/>
    <s v="Manager"/>
    <n v="5214.8900000000003"/>
    <n v="3842.48"/>
    <n v="57413.27"/>
    <s v="Yes"/>
    <s v="Car"/>
    <n v="371080.23"/>
    <n v="180"/>
    <n v="8152.56"/>
    <n v="25.79"/>
    <n v="1.56"/>
    <n v="812"/>
    <n v="0.92"/>
    <x v="1"/>
    <x v="885"/>
    <n v="1"/>
  </r>
  <r>
    <s v="U17794"/>
    <x v="28"/>
    <x v="1"/>
    <x v="3"/>
    <x v="0"/>
    <s v="Engineer"/>
    <n v="8872.81"/>
    <n v="7123.66"/>
    <n v="51914.97"/>
    <s v="Yes"/>
    <s v="Car"/>
    <n v="493178.54"/>
    <n v="240"/>
    <n v="5676.38"/>
    <n v="12.71"/>
    <n v="0.64"/>
    <n v="406"/>
    <n v="0.49"/>
    <x v="3"/>
    <x v="886"/>
    <n v="1"/>
  </r>
  <r>
    <s v="U17800"/>
    <x v="11"/>
    <x v="0"/>
    <x v="2"/>
    <x v="1"/>
    <s v="Doctor"/>
    <n v="1370.02"/>
    <n v="1095.76"/>
    <n v="4537.53"/>
    <s v="No"/>
    <s v="None"/>
    <n v="0"/>
    <n v="0"/>
    <n v="0"/>
    <n v="0"/>
    <n v="0"/>
    <n v="753"/>
    <n v="0.28000000000000003"/>
    <x v="4"/>
    <x v="23"/>
    <n v="0"/>
  </r>
  <r>
    <s v="U17828"/>
    <x v="36"/>
    <x v="0"/>
    <x v="1"/>
    <x v="1"/>
    <s v="Engineer"/>
    <n v="1751.72"/>
    <n v="621.08000000000004"/>
    <n v="14614.21"/>
    <s v="No"/>
    <s v="None"/>
    <n v="0"/>
    <n v="0"/>
    <n v="0"/>
    <n v="0"/>
    <n v="0"/>
    <n v="353"/>
    <n v="0.7"/>
    <x v="3"/>
    <x v="887"/>
    <n v="0"/>
  </r>
  <r>
    <s v="U17847"/>
    <x v="48"/>
    <x v="2"/>
    <x v="3"/>
    <x v="1"/>
    <s v="Accountant"/>
    <n v="6512.19"/>
    <n v="3086.25"/>
    <n v="73038.87"/>
    <s v="Yes"/>
    <s v="Business"/>
    <n v="200458.69"/>
    <n v="240"/>
    <n v="4805.92"/>
    <n v="28.67"/>
    <n v="0.74"/>
    <n v="664"/>
    <n v="0.93"/>
    <x v="4"/>
    <x v="449"/>
    <n v="1"/>
  </r>
  <r>
    <s v="U17849"/>
    <x v="12"/>
    <x v="1"/>
    <x v="0"/>
    <x v="1"/>
    <s v="Manager"/>
    <n v="2768.16"/>
    <n v="2038.38"/>
    <n v="27920.02"/>
    <s v="No"/>
    <s v="None"/>
    <n v="0"/>
    <n v="0"/>
    <n v="0"/>
    <n v="0"/>
    <n v="0"/>
    <n v="470"/>
    <n v="0.84"/>
    <x v="0"/>
    <x v="888"/>
    <n v="0"/>
  </r>
  <r>
    <s v="U17857"/>
    <x v="41"/>
    <x v="1"/>
    <x v="3"/>
    <x v="1"/>
    <s v="Unemployed"/>
    <n v="5713.52"/>
    <n v="2193.4699999999998"/>
    <n v="16798.009999999998"/>
    <s v="No"/>
    <s v="None"/>
    <n v="0"/>
    <n v="0"/>
    <n v="0"/>
    <n v="0"/>
    <n v="0"/>
    <n v="568"/>
    <n v="0.25"/>
    <x v="4"/>
    <x v="593"/>
    <n v="0"/>
  </r>
  <r>
    <s v="U17894"/>
    <x v="44"/>
    <x v="1"/>
    <x v="2"/>
    <x v="1"/>
    <s v="Teacher"/>
    <n v="3490.42"/>
    <n v="2995.88"/>
    <n v="7576.38"/>
    <s v="Yes"/>
    <s v="Business"/>
    <n v="121265.17"/>
    <n v="180"/>
    <n v="1912.01"/>
    <n v="17.53"/>
    <n v="0.55000000000000004"/>
    <n v="439"/>
    <n v="0.18"/>
    <x v="3"/>
    <x v="290"/>
    <n v="1"/>
  </r>
  <r>
    <s v="U17919"/>
    <x v="40"/>
    <x v="0"/>
    <x v="0"/>
    <x v="1"/>
    <s v="Student"/>
    <n v="2329.75"/>
    <n v="882.52"/>
    <n v="19652.29"/>
    <s v="No"/>
    <s v="None"/>
    <n v="0"/>
    <n v="0"/>
    <n v="0"/>
    <n v="0"/>
    <n v="0"/>
    <n v="366"/>
    <n v="0.7"/>
    <x v="2"/>
    <x v="720"/>
    <n v="0"/>
  </r>
  <r>
    <s v="U17946"/>
    <x v="5"/>
    <x v="0"/>
    <x v="3"/>
    <x v="1"/>
    <s v="Driver"/>
    <n v="3013.28"/>
    <n v="1507.48"/>
    <n v="28875.919999999998"/>
    <s v="Yes"/>
    <s v="Business"/>
    <n v="346164.4"/>
    <n v="240"/>
    <n v="3596.66"/>
    <n v="11.1"/>
    <n v="1.19"/>
    <n v="743"/>
    <n v="0.8"/>
    <x v="2"/>
    <x v="889"/>
    <n v="1"/>
  </r>
  <r>
    <s v="U17947"/>
    <x v="45"/>
    <x v="0"/>
    <x v="3"/>
    <x v="1"/>
    <s v="Salesperson"/>
    <n v="3748"/>
    <n v="1923.74"/>
    <n v="30722.43"/>
    <s v="No"/>
    <s v="None"/>
    <n v="0"/>
    <n v="0"/>
    <n v="0"/>
    <n v="0"/>
    <n v="0"/>
    <n v="484"/>
    <n v="0.68"/>
    <x v="1"/>
    <x v="890"/>
    <n v="0"/>
  </r>
  <r>
    <s v="U17954"/>
    <x v="22"/>
    <x v="1"/>
    <x v="0"/>
    <x v="1"/>
    <s v="Manager"/>
    <n v="2699.14"/>
    <n v="1324.04"/>
    <n v="10153.07"/>
    <s v="Yes"/>
    <s v="Home"/>
    <n v="249697.49"/>
    <n v="240"/>
    <n v="4710.75"/>
    <n v="22.37"/>
    <n v="1.75"/>
    <n v="616"/>
    <n v="0.31"/>
    <x v="1"/>
    <x v="35"/>
    <n v="1"/>
  </r>
  <r>
    <s v="U17964"/>
    <x v="10"/>
    <x v="1"/>
    <x v="2"/>
    <x v="2"/>
    <s v="Student"/>
    <n v="4541.9399999999996"/>
    <n v="3746.95"/>
    <n v="13124.06"/>
    <s v="Yes"/>
    <s v="Business"/>
    <n v="377757.63"/>
    <n v="300"/>
    <n v="4663.2700000000004"/>
    <n v="14.4"/>
    <n v="1.03"/>
    <n v="509"/>
    <n v="0.24"/>
    <x v="0"/>
    <x v="891"/>
    <n v="1"/>
  </r>
  <r>
    <s v="U17975"/>
    <x v="0"/>
    <x v="1"/>
    <x v="3"/>
    <x v="1"/>
    <s v="Student"/>
    <n v="3146.81"/>
    <n v="2251.9299999999998"/>
    <n v="18104.84"/>
    <s v="No"/>
    <s v="None"/>
    <n v="0"/>
    <n v="0"/>
    <n v="0"/>
    <n v="0"/>
    <n v="0"/>
    <n v="594"/>
    <n v="0.48"/>
    <x v="1"/>
    <x v="487"/>
    <n v="0"/>
  </r>
  <r>
    <s v="U18008"/>
    <x v="14"/>
    <x v="0"/>
    <x v="0"/>
    <x v="1"/>
    <s v="Teacher"/>
    <n v="3389.99"/>
    <n v="2917.43"/>
    <n v="14303.69"/>
    <s v="No"/>
    <s v="None"/>
    <n v="0"/>
    <n v="0"/>
    <n v="0"/>
    <n v="0"/>
    <n v="0"/>
    <n v="681"/>
    <n v="0.35"/>
    <x v="1"/>
    <x v="421"/>
    <n v="0"/>
  </r>
  <r>
    <s v="U18014"/>
    <x v="3"/>
    <x v="0"/>
    <x v="3"/>
    <x v="2"/>
    <s v="Doctor"/>
    <n v="6470.93"/>
    <n v="4528.5600000000004"/>
    <n v="67833.5"/>
    <s v="Yes"/>
    <s v="Business"/>
    <n v="150894.29999999999"/>
    <n v="180"/>
    <n v="2028.82"/>
    <n v="14.19"/>
    <n v="0.31"/>
    <n v="571"/>
    <n v="0.87"/>
    <x v="3"/>
    <x v="703"/>
    <n v="0"/>
  </r>
  <r>
    <s v="U18015"/>
    <x v="49"/>
    <x v="0"/>
    <x v="2"/>
    <x v="2"/>
    <s v="Manager"/>
    <n v="1506.94"/>
    <n v="954.47"/>
    <n v="16184.24"/>
    <s v="Yes"/>
    <s v="Home"/>
    <n v="157277.57999999999"/>
    <n v="240"/>
    <n v="2205.85"/>
    <n v="16.149999999999999"/>
    <n v="1.46"/>
    <n v="505"/>
    <n v="0.89"/>
    <x v="0"/>
    <x v="892"/>
    <n v="1"/>
  </r>
  <r>
    <s v="U18017"/>
    <x v="11"/>
    <x v="1"/>
    <x v="3"/>
    <x v="2"/>
    <s v="Student"/>
    <n v="3068.34"/>
    <n v="2392.33"/>
    <n v="16724.89"/>
    <s v="No"/>
    <s v="None"/>
    <n v="0"/>
    <n v="0"/>
    <n v="0"/>
    <n v="0"/>
    <n v="0"/>
    <n v="613"/>
    <n v="0.45"/>
    <x v="1"/>
    <x v="136"/>
    <n v="0"/>
  </r>
  <r>
    <s v="U18032"/>
    <x v="36"/>
    <x v="1"/>
    <x v="3"/>
    <x v="0"/>
    <s v="Teacher"/>
    <n v="4168.3100000000004"/>
    <n v="2750.61"/>
    <n v="14782.5"/>
    <s v="No"/>
    <s v="None"/>
    <n v="0"/>
    <n v="0"/>
    <n v="0"/>
    <n v="0"/>
    <n v="0"/>
    <n v="840"/>
    <n v="0.3"/>
    <x v="3"/>
    <x v="893"/>
    <n v="0"/>
  </r>
  <r>
    <s v="U18035"/>
    <x v="26"/>
    <x v="0"/>
    <x v="3"/>
    <x v="0"/>
    <s v="Accountant"/>
    <n v="1413.88"/>
    <n v="550.91"/>
    <n v="7243.14"/>
    <s v="No"/>
    <s v="None"/>
    <n v="0"/>
    <n v="0"/>
    <n v="0"/>
    <n v="0"/>
    <n v="0"/>
    <n v="493"/>
    <n v="0.43"/>
    <x v="3"/>
    <x v="894"/>
    <n v="0"/>
  </r>
  <r>
    <s v="U18047"/>
    <x v="30"/>
    <x v="0"/>
    <x v="1"/>
    <x v="1"/>
    <s v="Manager"/>
    <n v="5587.27"/>
    <n v="1858.36"/>
    <n v="52120.84"/>
    <s v="No"/>
    <s v="None"/>
    <n v="0"/>
    <n v="0"/>
    <n v="0"/>
    <n v="0"/>
    <n v="0"/>
    <n v="410"/>
    <n v="0.78"/>
    <x v="4"/>
    <x v="317"/>
    <n v="0"/>
  </r>
  <r>
    <s v="U18060"/>
    <x v="23"/>
    <x v="1"/>
    <x v="3"/>
    <x v="2"/>
    <s v="Doctor"/>
    <n v="3103.18"/>
    <n v="1170.83"/>
    <n v="33731.57"/>
    <s v="No"/>
    <s v="None"/>
    <n v="0"/>
    <n v="0"/>
    <n v="0"/>
    <n v="0"/>
    <n v="0"/>
    <n v="830"/>
    <n v="0.91"/>
    <x v="4"/>
    <x v="895"/>
    <n v="0"/>
  </r>
  <r>
    <s v="U18094"/>
    <x v="18"/>
    <x v="1"/>
    <x v="2"/>
    <x v="0"/>
    <s v="Engineer"/>
    <n v="2303.41"/>
    <n v="1849.54"/>
    <n v="8897.23"/>
    <s v="No"/>
    <s v="None"/>
    <n v="0"/>
    <n v="0"/>
    <n v="0"/>
    <n v="0"/>
    <n v="0"/>
    <n v="650"/>
    <n v="0.32"/>
    <x v="4"/>
    <x v="896"/>
    <n v="0"/>
  </r>
  <r>
    <s v="U18097"/>
    <x v="23"/>
    <x v="0"/>
    <x v="0"/>
    <x v="1"/>
    <s v="Manager"/>
    <n v="3615.9"/>
    <n v="2113.48"/>
    <n v="39784.5"/>
    <s v="No"/>
    <s v="None"/>
    <n v="0"/>
    <n v="0"/>
    <n v="0"/>
    <n v="0"/>
    <n v="0"/>
    <n v="681"/>
    <n v="0.92"/>
    <x v="1"/>
    <x v="291"/>
    <n v="0"/>
  </r>
  <r>
    <s v="U18100"/>
    <x v="25"/>
    <x v="0"/>
    <x v="3"/>
    <x v="2"/>
    <s v="Doctor"/>
    <n v="4105.28"/>
    <n v="3217.57"/>
    <n v="22146.959999999999"/>
    <s v="No"/>
    <s v="None"/>
    <n v="0"/>
    <n v="0"/>
    <n v="0"/>
    <n v="0"/>
    <n v="0"/>
    <n v="710"/>
    <n v="0.45"/>
    <x v="2"/>
    <x v="847"/>
    <n v="0"/>
  </r>
  <r>
    <s v="U18104"/>
    <x v="25"/>
    <x v="2"/>
    <x v="2"/>
    <x v="1"/>
    <s v="Teacher"/>
    <n v="1834.67"/>
    <n v="605.05999999999995"/>
    <n v="17721.689999999999"/>
    <s v="No"/>
    <s v="None"/>
    <n v="0"/>
    <n v="0"/>
    <n v="0"/>
    <n v="0"/>
    <n v="0"/>
    <n v="798"/>
    <n v="0.8"/>
    <x v="3"/>
    <x v="897"/>
    <n v="0"/>
  </r>
  <r>
    <s v="U18130"/>
    <x v="32"/>
    <x v="0"/>
    <x v="3"/>
    <x v="1"/>
    <s v="Accountant"/>
    <n v="2100.85"/>
    <n v="913.81"/>
    <n v="14334.56"/>
    <s v="Yes"/>
    <s v="Car"/>
    <n v="380268.73"/>
    <n v="300"/>
    <n v="4081.16"/>
    <n v="12.27"/>
    <n v="1.94"/>
    <n v="405"/>
    <n v="0.56999999999999995"/>
    <x v="3"/>
    <x v="317"/>
    <n v="1"/>
  </r>
  <r>
    <s v="U18149"/>
    <x v="43"/>
    <x v="0"/>
    <x v="3"/>
    <x v="3"/>
    <s v="Teacher"/>
    <n v="7617.43"/>
    <n v="4826.3"/>
    <n v="53459.28"/>
    <s v="No"/>
    <s v="None"/>
    <n v="0"/>
    <n v="0"/>
    <n v="0"/>
    <n v="0"/>
    <n v="0"/>
    <n v="430"/>
    <n v="0.57999999999999996"/>
    <x v="2"/>
    <x v="231"/>
    <n v="0"/>
  </r>
  <r>
    <s v="U18152"/>
    <x v="27"/>
    <x v="0"/>
    <x v="0"/>
    <x v="2"/>
    <s v="Accountant"/>
    <n v="4076.44"/>
    <n v="1301.32"/>
    <n v="25452.78"/>
    <s v="Yes"/>
    <s v="Education"/>
    <n v="241395.15"/>
    <n v="60"/>
    <n v="4392.4799999999996"/>
    <n v="3.51"/>
    <n v="1.08"/>
    <n v="484"/>
    <n v="0.52"/>
    <x v="0"/>
    <x v="898"/>
    <n v="1"/>
  </r>
  <r>
    <s v="U18173"/>
    <x v="44"/>
    <x v="0"/>
    <x v="2"/>
    <x v="3"/>
    <s v="Unemployed"/>
    <n v="4397.54"/>
    <n v="3294.43"/>
    <n v="42953.23"/>
    <s v="No"/>
    <s v="None"/>
    <n v="0"/>
    <n v="0"/>
    <n v="0"/>
    <n v="0"/>
    <n v="0"/>
    <n v="602"/>
    <n v="0.81"/>
    <x v="4"/>
    <x v="385"/>
    <n v="0"/>
  </r>
  <r>
    <s v="U18190"/>
    <x v="33"/>
    <x v="0"/>
    <x v="3"/>
    <x v="2"/>
    <s v="Engineer"/>
    <n v="5840.41"/>
    <n v="4349.91"/>
    <n v="16423.09"/>
    <s v="Yes"/>
    <s v="Education"/>
    <n v="10510.43"/>
    <n v="12"/>
    <n v="930.25"/>
    <n v="11.27"/>
    <n v="0.16"/>
    <n v="730"/>
    <n v="0.23"/>
    <x v="1"/>
    <x v="899"/>
    <n v="0"/>
  </r>
  <r>
    <s v="U18204"/>
    <x v="42"/>
    <x v="0"/>
    <x v="2"/>
    <x v="1"/>
    <s v="Driver"/>
    <n v="7214.07"/>
    <n v="4234.05"/>
    <n v="36243.870000000003"/>
    <s v="No"/>
    <s v="None"/>
    <n v="0"/>
    <n v="0"/>
    <n v="0"/>
    <n v="0"/>
    <n v="0"/>
    <n v="846"/>
    <n v="0.42"/>
    <x v="1"/>
    <x v="900"/>
    <n v="0"/>
  </r>
  <r>
    <s v="U18210"/>
    <x v="27"/>
    <x v="1"/>
    <x v="2"/>
    <x v="3"/>
    <s v="Manager"/>
    <n v="5712.56"/>
    <n v="4087.01"/>
    <n v="25378.63"/>
    <s v="No"/>
    <s v="None"/>
    <n v="0"/>
    <n v="0"/>
    <n v="0"/>
    <n v="0"/>
    <n v="0"/>
    <n v="783"/>
    <n v="0.37"/>
    <x v="1"/>
    <x v="901"/>
    <n v="0"/>
  </r>
  <r>
    <s v="U18246"/>
    <x v="28"/>
    <x v="1"/>
    <x v="4"/>
    <x v="2"/>
    <s v="Driver"/>
    <n v="2790.4"/>
    <n v="1628.57"/>
    <n v="8791.19"/>
    <s v="No"/>
    <s v="None"/>
    <n v="0"/>
    <n v="0"/>
    <n v="0"/>
    <n v="0"/>
    <n v="0"/>
    <n v="801"/>
    <n v="0.26"/>
    <x v="3"/>
    <x v="189"/>
    <n v="0"/>
  </r>
  <r>
    <s v="U18257"/>
    <x v="38"/>
    <x v="0"/>
    <x v="3"/>
    <x v="1"/>
    <s v="Manager"/>
    <n v="6851.33"/>
    <n v="5960.66"/>
    <n v="46410.55"/>
    <s v="No"/>
    <s v="None"/>
    <n v="0"/>
    <n v="0"/>
    <n v="0"/>
    <n v="0"/>
    <n v="0"/>
    <n v="585"/>
    <n v="0.56000000000000005"/>
    <x v="4"/>
    <x v="278"/>
    <n v="0"/>
  </r>
  <r>
    <s v="U18285"/>
    <x v="41"/>
    <x v="0"/>
    <x v="0"/>
    <x v="0"/>
    <s v="Doctor"/>
    <n v="2288.2399999999998"/>
    <n v="1659.83"/>
    <n v="25705.71"/>
    <s v="No"/>
    <s v="None"/>
    <n v="0"/>
    <n v="0"/>
    <n v="0"/>
    <n v="0"/>
    <n v="0"/>
    <n v="332"/>
    <n v="0.94"/>
    <x v="1"/>
    <x v="902"/>
    <n v="0"/>
  </r>
  <r>
    <s v="U18286"/>
    <x v="48"/>
    <x v="1"/>
    <x v="3"/>
    <x v="0"/>
    <s v="Teacher"/>
    <n v="5775.74"/>
    <n v="4299.09"/>
    <n v="60258.79"/>
    <s v="No"/>
    <s v="None"/>
    <n v="0"/>
    <n v="0"/>
    <n v="0"/>
    <n v="0"/>
    <n v="0"/>
    <n v="580"/>
    <n v="0.87"/>
    <x v="1"/>
    <x v="903"/>
    <n v="0"/>
  </r>
  <r>
    <s v="U18290"/>
    <x v="48"/>
    <x v="1"/>
    <x v="3"/>
    <x v="2"/>
    <s v="Unemployed"/>
    <n v="3815.43"/>
    <n v="2332.4499999999998"/>
    <n v="41704.69"/>
    <s v="No"/>
    <s v="None"/>
    <n v="0"/>
    <n v="0"/>
    <n v="0"/>
    <n v="0"/>
    <n v="0"/>
    <n v="618"/>
    <n v="0.91"/>
    <x v="2"/>
    <x v="713"/>
    <n v="0"/>
  </r>
  <r>
    <s v="U18292"/>
    <x v="46"/>
    <x v="2"/>
    <x v="3"/>
    <x v="1"/>
    <s v="Accountant"/>
    <n v="5841.87"/>
    <n v="3544.72"/>
    <n v="26348.07"/>
    <s v="No"/>
    <s v="None"/>
    <n v="0"/>
    <n v="0"/>
    <n v="0"/>
    <n v="0"/>
    <n v="0"/>
    <n v="339"/>
    <n v="0.38"/>
    <x v="0"/>
    <x v="904"/>
    <n v="0"/>
  </r>
  <r>
    <s v="U18307"/>
    <x v="5"/>
    <x v="0"/>
    <x v="3"/>
    <x v="1"/>
    <s v="Driver"/>
    <n v="3052.66"/>
    <n v="1334.55"/>
    <n v="13843.59"/>
    <s v="No"/>
    <s v="None"/>
    <n v="0"/>
    <n v="0"/>
    <n v="0"/>
    <n v="0"/>
    <n v="0"/>
    <n v="821"/>
    <n v="0.38"/>
    <x v="0"/>
    <x v="905"/>
    <n v="0"/>
  </r>
  <r>
    <s v="U18322"/>
    <x v="15"/>
    <x v="1"/>
    <x v="3"/>
    <x v="3"/>
    <s v="Unemployed"/>
    <n v="6112.84"/>
    <n v="2865.41"/>
    <n v="21721.56"/>
    <s v="Yes"/>
    <s v="Car"/>
    <n v="319648.42"/>
    <n v="360"/>
    <n v="6104.08"/>
    <n v="22.89"/>
    <n v="1"/>
    <n v="713"/>
    <n v="0.3"/>
    <x v="4"/>
    <x v="423"/>
    <n v="1"/>
  </r>
  <r>
    <s v="U18341"/>
    <x v="9"/>
    <x v="1"/>
    <x v="3"/>
    <x v="2"/>
    <s v="Manager"/>
    <n v="5188.33"/>
    <n v="2142.3200000000002"/>
    <n v="48600.12"/>
    <s v="No"/>
    <s v="None"/>
    <n v="0"/>
    <n v="0"/>
    <n v="0"/>
    <n v="0"/>
    <n v="0"/>
    <n v="480"/>
    <n v="0.78"/>
    <x v="1"/>
    <x v="383"/>
    <n v="0"/>
  </r>
  <r>
    <s v="U18364"/>
    <x v="31"/>
    <x v="0"/>
    <x v="0"/>
    <x v="1"/>
    <s v="Salesperson"/>
    <n v="2145.81"/>
    <n v="1235.8499999999999"/>
    <n v="10972.13"/>
    <s v="No"/>
    <s v="None"/>
    <n v="0"/>
    <n v="0"/>
    <n v="0"/>
    <n v="0"/>
    <n v="0"/>
    <n v="740"/>
    <n v="0.43"/>
    <x v="2"/>
    <x v="79"/>
    <n v="0"/>
  </r>
  <r>
    <s v="U18366"/>
    <x v="51"/>
    <x v="0"/>
    <x v="3"/>
    <x v="0"/>
    <s v="Salesperson"/>
    <n v="500"/>
    <n v="406.39"/>
    <n v="5707.65"/>
    <s v="No"/>
    <s v="None"/>
    <n v="0"/>
    <n v="0"/>
    <n v="0"/>
    <n v="0"/>
    <n v="0"/>
    <n v="694"/>
    <n v="0.95"/>
    <x v="1"/>
    <x v="696"/>
    <n v="0"/>
  </r>
  <r>
    <s v="U18368"/>
    <x v="0"/>
    <x v="1"/>
    <x v="2"/>
    <x v="2"/>
    <s v="Unemployed"/>
    <n v="4750.6000000000004"/>
    <n v="2615.54"/>
    <n v="43929.279999999999"/>
    <s v="Yes"/>
    <s v="Business"/>
    <n v="51007.64"/>
    <n v="240"/>
    <n v="1079.76"/>
    <n v="25.23"/>
    <n v="0.23"/>
    <n v="698"/>
    <n v="0.77"/>
    <x v="1"/>
    <x v="83"/>
    <n v="0"/>
  </r>
  <r>
    <s v="U18408"/>
    <x v="51"/>
    <x v="0"/>
    <x v="0"/>
    <x v="1"/>
    <s v="Engineer"/>
    <n v="7901.03"/>
    <n v="2857.23"/>
    <n v="87823.18"/>
    <s v="Yes"/>
    <s v="Home"/>
    <n v="152951.78"/>
    <n v="60"/>
    <n v="3864.03"/>
    <n v="17.760000000000002"/>
    <n v="0.49"/>
    <n v="695"/>
    <n v="0.93"/>
    <x v="2"/>
    <x v="906"/>
    <n v="1"/>
  </r>
  <r>
    <s v="U18412"/>
    <x v="48"/>
    <x v="0"/>
    <x v="2"/>
    <x v="1"/>
    <s v="Teacher"/>
    <n v="2059.62"/>
    <n v="1132.06"/>
    <n v="19370.38"/>
    <s v="No"/>
    <s v="None"/>
    <n v="0"/>
    <n v="0"/>
    <n v="0"/>
    <n v="0"/>
    <n v="0"/>
    <n v="589"/>
    <n v="0.78"/>
    <x v="2"/>
    <x v="857"/>
    <n v="0"/>
  </r>
  <r>
    <s v="U18416"/>
    <x v="42"/>
    <x v="0"/>
    <x v="2"/>
    <x v="1"/>
    <s v="Manager"/>
    <n v="2739.69"/>
    <n v="2056.0700000000002"/>
    <n v="6274.3"/>
    <s v="Yes"/>
    <s v="Car"/>
    <n v="194996.78"/>
    <n v="60"/>
    <n v="3951.97"/>
    <n v="7.98"/>
    <n v="1.44"/>
    <n v="486"/>
    <n v="0.19"/>
    <x v="2"/>
    <x v="343"/>
    <n v="1"/>
  </r>
  <r>
    <s v="U18426"/>
    <x v="14"/>
    <x v="0"/>
    <x v="2"/>
    <x v="1"/>
    <s v="Doctor"/>
    <n v="5571.21"/>
    <n v="4977.62"/>
    <n v="43299.06"/>
    <s v="No"/>
    <s v="None"/>
    <n v="0"/>
    <n v="0"/>
    <n v="0"/>
    <n v="0"/>
    <n v="0"/>
    <n v="568"/>
    <n v="0.65"/>
    <x v="2"/>
    <x v="368"/>
    <n v="0"/>
  </r>
  <r>
    <s v="U18431"/>
    <x v="13"/>
    <x v="0"/>
    <x v="3"/>
    <x v="1"/>
    <s v="Driver"/>
    <n v="2109.9499999999998"/>
    <n v="1369.09"/>
    <n v="22482.93"/>
    <s v="Yes"/>
    <s v="Car"/>
    <n v="111725.2"/>
    <n v="180"/>
    <n v="906.38"/>
    <n v="5.39"/>
    <n v="0.43"/>
    <n v="325"/>
    <n v="0.89"/>
    <x v="1"/>
    <x v="907"/>
    <n v="1"/>
  </r>
  <r>
    <s v="U18448"/>
    <x v="16"/>
    <x v="0"/>
    <x v="1"/>
    <x v="1"/>
    <s v="Teacher"/>
    <n v="2974.37"/>
    <n v="1901.74"/>
    <n v="18177.22"/>
    <s v="Yes"/>
    <s v="Home"/>
    <n v="150366.35999999999"/>
    <n v="120"/>
    <n v="1789.59"/>
    <n v="7.56"/>
    <n v="0.6"/>
    <n v="617"/>
    <n v="0.51"/>
    <x v="3"/>
    <x v="908"/>
    <n v="1"/>
  </r>
  <r>
    <s v="U18449"/>
    <x v="42"/>
    <x v="0"/>
    <x v="2"/>
    <x v="2"/>
    <s v="Doctor"/>
    <n v="7774.29"/>
    <n v="4236.28"/>
    <n v="44340.14"/>
    <s v="No"/>
    <s v="None"/>
    <n v="0"/>
    <n v="0"/>
    <n v="0"/>
    <n v="0"/>
    <n v="0"/>
    <n v="762"/>
    <n v="0.48"/>
    <x v="1"/>
    <x v="45"/>
    <n v="0"/>
  </r>
  <r>
    <s v="U18452"/>
    <x v="10"/>
    <x v="1"/>
    <x v="2"/>
    <x v="2"/>
    <s v="Unemployed"/>
    <n v="5834.2"/>
    <n v="4836.79"/>
    <n v="23520.34"/>
    <s v="No"/>
    <s v="None"/>
    <n v="0"/>
    <n v="0"/>
    <n v="0"/>
    <n v="0"/>
    <n v="0"/>
    <n v="359"/>
    <n v="0.34"/>
    <x v="0"/>
    <x v="166"/>
    <n v="0"/>
  </r>
  <r>
    <s v="U18472"/>
    <x v="20"/>
    <x v="1"/>
    <x v="3"/>
    <x v="0"/>
    <s v="Teacher"/>
    <n v="3741.97"/>
    <n v="2331.4899999999998"/>
    <n v="29712.67"/>
    <s v="No"/>
    <s v="None"/>
    <n v="0"/>
    <n v="0"/>
    <n v="0"/>
    <n v="0"/>
    <n v="0"/>
    <n v="702"/>
    <n v="0.66"/>
    <x v="3"/>
    <x v="12"/>
    <n v="0"/>
  </r>
  <r>
    <s v="U18497"/>
    <x v="14"/>
    <x v="0"/>
    <x v="3"/>
    <x v="2"/>
    <s v="Accountant"/>
    <n v="4484.03"/>
    <n v="2065.19"/>
    <n v="27411.82"/>
    <s v="No"/>
    <s v="None"/>
    <n v="0"/>
    <n v="0"/>
    <n v="0"/>
    <n v="0"/>
    <n v="0"/>
    <n v="599"/>
    <n v="0.51"/>
    <x v="3"/>
    <x v="909"/>
    <n v="0"/>
  </r>
  <r>
    <s v="U18515"/>
    <x v="3"/>
    <x v="0"/>
    <x v="0"/>
    <x v="1"/>
    <s v="Driver"/>
    <n v="6880.99"/>
    <n v="6156.17"/>
    <n v="72716.960000000006"/>
    <s v="No"/>
    <s v="None"/>
    <n v="0"/>
    <n v="0"/>
    <n v="0"/>
    <n v="0"/>
    <n v="0"/>
    <n v="467"/>
    <n v="0.88"/>
    <x v="1"/>
    <x v="262"/>
    <n v="0"/>
  </r>
  <r>
    <s v="U18518"/>
    <x v="12"/>
    <x v="0"/>
    <x v="4"/>
    <x v="1"/>
    <s v="Student"/>
    <n v="2554.81"/>
    <n v="1939"/>
    <n v="19313.939999999999"/>
    <s v="No"/>
    <s v="None"/>
    <n v="0"/>
    <n v="0"/>
    <n v="0"/>
    <n v="0"/>
    <n v="0"/>
    <n v="591"/>
    <n v="0.63"/>
    <x v="0"/>
    <x v="305"/>
    <n v="0"/>
  </r>
  <r>
    <s v="U18529"/>
    <x v="3"/>
    <x v="1"/>
    <x v="3"/>
    <x v="1"/>
    <s v="Manager"/>
    <n v="7258.04"/>
    <n v="5304.77"/>
    <n v="81188.59"/>
    <s v="Yes"/>
    <s v="Education"/>
    <n v="16810.099999999999"/>
    <n v="240"/>
    <n v="310.17"/>
    <n v="21.85"/>
    <n v="0.04"/>
    <n v="395"/>
    <n v="0.93"/>
    <x v="1"/>
    <x v="661"/>
    <n v="0"/>
  </r>
  <r>
    <s v="U18551"/>
    <x v="3"/>
    <x v="0"/>
    <x v="4"/>
    <x v="1"/>
    <s v="Engineer"/>
    <n v="3294.43"/>
    <n v="1675.31"/>
    <n v="6475.82"/>
    <s v="No"/>
    <s v="None"/>
    <n v="0"/>
    <n v="0"/>
    <n v="0"/>
    <n v="0"/>
    <n v="0"/>
    <n v="719"/>
    <n v="0.16"/>
    <x v="2"/>
    <x v="910"/>
    <n v="0"/>
  </r>
  <r>
    <s v="U18554"/>
    <x v="34"/>
    <x v="0"/>
    <x v="3"/>
    <x v="0"/>
    <s v="Unemployed"/>
    <n v="3901.77"/>
    <n v="1717.8"/>
    <n v="27921.81"/>
    <s v="Yes"/>
    <s v="Car"/>
    <n v="255796.96"/>
    <n v="360"/>
    <n v="3295.86"/>
    <n v="15.3"/>
    <n v="0.84"/>
    <n v="380"/>
    <n v="0.6"/>
    <x v="4"/>
    <x v="414"/>
    <n v="1"/>
  </r>
  <r>
    <s v="U18558"/>
    <x v="0"/>
    <x v="2"/>
    <x v="0"/>
    <x v="3"/>
    <s v="Engineer"/>
    <n v="5954.85"/>
    <n v="4923.41"/>
    <n v="26576.45"/>
    <s v="No"/>
    <s v="None"/>
    <n v="0"/>
    <n v="0"/>
    <n v="0"/>
    <n v="0"/>
    <n v="0"/>
    <n v="354"/>
    <n v="0.37"/>
    <x v="3"/>
    <x v="137"/>
    <n v="0"/>
  </r>
  <r>
    <s v="U18580"/>
    <x v="47"/>
    <x v="1"/>
    <x v="1"/>
    <x v="1"/>
    <s v="Engineer"/>
    <n v="508.09"/>
    <n v="411.87"/>
    <n v="4309.7299999999996"/>
    <s v="No"/>
    <s v="None"/>
    <n v="0"/>
    <n v="0"/>
    <n v="0"/>
    <n v="0"/>
    <n v="0"/>
    <n v="354"/>
    <n v="0.71"/>
    <x v="1"/>
    <x v="375"/>
    <n v="0"/>
  </r>
  <r>
    <s v="U18599"/>
    <x v="4"/>
    <x v="0"/>
    <x v="3"/>
    <x v="2"/>
    <s v="Student"/>
    <n v="5642.07"/>
    <n v="2245.88"/>
    <n v="24950.35"/>
    <s v="Yes"/>
    <s v="Car"/>
    <n v="235815.27"/>
    <n v="180"/>
    <n v="3899.85"/>
    <n v="18.600000000000001"/>
    <n v="0.69"/>
    <n v="420"/>
    <n v="0.37"/>
    <x v="2"/>
    <x v="911"/>
    <n v="1"/>
  </r>
  <r>
    <s v="U18613"/>
    <x v="36"/>
    <x v="0"/>
    <x v="3"/>
    <x v="3"/>
    <s v="Doctor"/>
    <n v="7273.16"/>
    <n v="4874.63"/>
    <n v="9932.9599999999991"/>
    <s v="Yes"/>
    <s v="Education"/>
    <n v="359346.99"/>
    <n v="180"/>
    <n v="3331.19"/>
    <n v="7.5"/>
    <n v="0.46"/>
    <n v="389"/>
    <n v="0.11"/>
    <x v="4"/>
    <x v="415"/>
    <n v="1"/>
  </r>
  <r>
    <s v="U18637"/>
    <x v="32"/>
    <x v="0"/>
    <x v="2"/>
    <x v="3"/>
    <s v="Salesperson"/>
    <n v="4756.04"/>
    <n v="3085.22"/>
    <n v="9052.7199999999993"/>
    <s v="No"/>
    <s v="None"/>
    <n v="0"/>
    <n v="0"/>
    <n v="0"/>
    <n v="0"/>
    <n v="0"/>
    <n v="633"/>
    <n v="0.16"/>
    <x v="3"/>
    <x v="187"/>
    <n v="0"/>
  </r>
  <r>
    <s v="U18688"/>
    <x v="2"/>
    <x v="0"/>
    <x v="2"/>
    <x v="2"/>
    <s v="Salesperson"/>
    <n v="5427.07"/>
    <n v="3938"/>
    <n v="21229.54"/>
    <s v="No"/>
    <s v="None"/>
    <n v="0"/>
    <n v="0"/>
    <n v="0"/>
    <n v="0"/>
    <n v="0"/>
    <n v="599"/>
    <n v="0.33"/>
    <x v="4"/>
    <x v="683"/>
    <n v="0"/>
  </r>
  <r>
    <s v="U18690"/>
    <x v="36"/>
    <x v="1"/>
    <x v="3"/>
    <x v="2"/>
    <s v="Engineer"/>
    <n v="4432.78"/>
    <n v="1875.24"/>
    <n v="50696.51"/>
    <s v="No"/>
    <s v="None"/>
    <n v="0"/>
    <n v="0"/>
    <n v="0"/>
    <n v="0"/>
    <n v="0"/>
    <n v="323"/>
    <n v="0.95"/>
    <x v="1"/>
    <x v="718"/>
    <n v="0"/>
  </r>
  <r>
    <s v="U18708"/>
    <x v="34"/>
    <x v="0"/>
    <x v="1"/>
    <x v="2"/>
    <s v="Manager"/>
    <n v="6073.01"/>
    <n v="4872.58"/>
    <n v="44901.75"/>
    <s v="No"/>
    <s v="None"/>
    <n v="0"/>
    <n v="0"/>
    <n v="0"/>
    <n v="0"/>
    <n v="0"/>
    <n v="621"/>
    <n v="0.62"/>
    <x v="3"/>
    <x v="201"/>
    <n v="0"/>
  </r>
  <r>
    <s v="U18724"/>
    <x v="32"/>
    <x v="0"/>
    <x v="0"/>
    <x v="2"/>
    <s v="Manager"/>
    <n v="6898.8"/>
    <n v="2692.2"/>
    <n v="40943.449999999997"/>
    <s v="Yes"/>
    <s v="Home"/>
    <n v="64297.37"/>
    <n v="36"/>
    <n v="2638.43"/>
    <n v="27.39"/>
    <n v="0.38"/>
    <n v="445"/>
    <n v="0.49"/>
    <x v="1"/>
    <x v="453"/>
    <n v="0"/>
  </r>
  <r>
    <s v="U18752"/>
    <x v="3"/>
    <x v="1"/>
    <x v="3"/>
    <x v="1"/>
    <s v="Accountant"/>
    <n v="3718.25"/>
    <n v="2368.1999999999998"/>
    <n v="30546.9"/>
    <s v="Yes"/>
    <s v="Business"/>
    <n v="45784.43"/>
    <n v="180"/>
    <n v="406.17"/>
    <n v="6.79"/>
    <n v="0.11"/>
    <n v="539"/>
    <n v="0.68"/>
    <x v="3"/>
    <x v="912"/>
    <n v="0"/>
  </r>
  <r>
    <s v="U18758"/>
    <x v="35"/>
    <x v="1"/>
    <x v="3"/>
    <x v="1"/>
    <s v="Engineer"/>
    <n v="3215.39"/>
    <n v="1079.27"/>
    <n v="24398.66"/>
    <s v="No"/>
    <s v="None"/>
    <n v="0"/>
    <n v="0"/>
    <n v="0"/>
    <n v="0"/>
    <n v="0"/>
    <n v="754"/>
    <n v="0.63"/>
    <x v="1"/>
    <x v="837"/>
    <n v="0"/>
  </r>
  <r>
    <s v="U18767"/>
    <x v="40"/>
    <x v="1"/>
    <x v="2"/>
    <x v="2"/>
    <s v="Salesperson"/>
    <n v="2526.1799999999998"/>
    <n v="1114.24"/>
    <n v="13327.2"/>
    <s v="Yes"/>
    <s v="Car"/>
    <n v="80212.03"/>
    <n v="180"/>
    <n v="1074.1500000000001"/>
    <n v="14.11"/>
    <n v="0.43"/>
    <n v="792"/>
    <n v="0.44"/>
    <x v="1"/>
    <x v="31"/>
    <n v="1"/>
  </r>
  <r>
    <s v="U18768"/>
    <x v="4"/>
    <x v="0"/>
    <x v="2"/>
    <x v="2"/>
    <s v="Driver"/>
    <n v="8102.55"/>
    <n v="2874.36"/>
    <n v="93713.4"/>
    <s v="Yes"/>
    <s v="Car"/>
    <n v="476575.84"/>
    <n v="60"/>
    <n v="15299.04"/>
    <n v="29.59"/>
    <n v="1.89"/>
    <n v="635"/>
    <n v="0.96"/>
    <x v="3"/>
    <x v="630"/>
    <n v="1"/>
  </r>
  <r>
    <s v="U18773"/>
    <x v="6"/>
    <x v="1"/>
    <x v="2"/>
    <x v="0"/>
    <s v="Unemployed"/>
    <n v="4731.05"/>
    <n v="3383.75"/>
    <n v="30105.48"/>
    <s v="No"/>
    <s v="None"/>
    <n v="0"/>
    <n v="0"/>
    <n v="0"/>
    <n v="0"/>
    <n v="0"/>
    <n v="530"/>
    <n v="0.53"/>
    <x v="3"/>
    <x v="732"/>
    <n v="0"/>
  </r>
  <r>
    <s v="U18783"/>
    <x v="12"/>
    <x v="1"/>
    <x v="3"/>
    <x v="2"/>
    <s v="Salesperson"/>
    <n v="5737.77"/>
    <n v="4790.26"/>
    <n v="42746.879999999997"/>
    <s v="Yes"/>
    <s v="Education"/>
    <n v="444978.06"/>
    <n v="300"/>
    <n v="11061.02"/>
    <n v="29.81"/>
    <n v="1.93"/>
    <n v="546"/>
    <n v="0.62"/>
    <x v="4"/>
    <x v="830"/>
    <n v="1"/>
  </r>
  <r>
    <s v="U18798"/>
    <x v="36"/>
    <x v="0"/>
    <x v="3"/>
    <x v="1"/>
    <s v="Engineer"/>
    <n v="5162.78"/>
    <n v="2761.53"/>
    <n v="10356.879999999999"/>
    <s v="No"/>
    <s v="None"/>
    <n v="0"/>
    <n v="0"/>
    <n v="0"/>
    <n v="0"/>
    <n v="0"/>
    <n v="360"/>
    <n v="0.17"/>
    <x v="1"/>
    <x v="565"/>
    <n v="0"/>
  </r>
  <r>
    <s v="U18833"/>
    <x v="37"/>
    <x v="0"/>
    <x v="3"/>
    <x v="1"/>
    <s v="Accountant"/>
    <n v="2758.39"/>
    <n v="1297.27"/>
    <n v="22688.21"/>
    <s v="No"/>
    <s v="None"/>
    <n v="0"/>
    <n v="0"/>
    <n v="0"/>
    <n v="0"/>
    <n v="0"/>
    <n v="640"/>
    <n v="0.69"/>
    <x v="0"/>
    <x v="913"/>
    <n v="0"/>
  </r>
  <r>
    <s v="U18836"/>
    <x v="2"/>
    <x v="0"/>
    <x v="3"/>
    <x v="0"/>
    <s v="Driver"/>
    <n v="1875.81"/>
    <n v="909.16"/>
    <n v="3221.81"/>
    <s v="No"/>
    <s v="None"/>
    <n v="0"/>
    <n v="0"/>
    <n v="0"/>
    <n v="0"/>
    <n v="0"/>
    <n v="731"/>
    <n v="0.14000000000000001"/>
    <x v="2"/>
    <x v="914"/>
    <n v="0"/>
  </r>
  <r>
    <s v="U18846"/>
    <x v="44"/>
    <x v="0"/>
    <x v="3"/>
    <x v="1"/>
    <s v="Accountant"/>
    <n v="3118.62"/>
    <n v="1742.47"/>
    <n v="30345.03"/>
    <s v="No"/>
    <s v="None"/>
    <n v="0"/>
    <n v="0"/>
    <n v="0"/>
    <n v="0"/>
    <n v="0"/>
    <n v="367"/>
    <n v="0.81"/>
    <x v="4"/>
    <x v="382"/>
    <n v="0"/>
  </r>
  <r>
    <s v="U18855"/>
    <x v="14"/>
    <x v="0"/>
    <x v="0"/>
    <x v="1"/>
    <s v="Salesperson"/>
    <n v="2657.48"/>
    <n v="1228.8"/>
    <n v="8454.5499999999993"/>
    <s v="No"/>
    <s v="None"/>
    <n v="0"/>
    <n v="0"/>
    <n v="0"/>
    <n v="0"/>
    <n v="0"/>
    <n v="513"/>
    <n v="0.27"/>
    <x v="1"/>
    <x v="492"/>
    <n v="0"/>
  </r>
  <r>
    <s v="U18856"/>
    <x v="3"/>
    <x v="1"/>
    <x v="3"/>
    <x v="2"/>
    <s v="Manager"/>
    <n v="3110.78"/>
    <n v="1358.45"/>
    <n v="33648.42"/>
    <s v="No"/>
    <s v="None"/>
    <n v="0"/>
    <n v="0"/>
    <n v="0"/>
    <n v="0"/>
    <n v="0"/>
    <n v="400"/>
    <n v="0.9"/>
    <x v="3"/>
    <x v="915"/>
    <n v="0"/>
  </r>
  <r>
    <s v="U18884"/>
    <x v="43"/>
    <x v="1"/>
    <x v="3"/>
    <x v="1"/>
    <s v="Manager"/>
    <n v="6378.94"/>
    <n v="2303.16"/>
    <n v="25174.81"/>
    <s v="No"/>
    <s v="None"/>
    <n v="0"/>
    <n v="0"/>
    <n v="0"/>
    <n v="0"/>
    <n v="0"/>
    <n v="782"/>
    <n v="0.33"/>
    <x v="4"/>
    <x v="703"/>
    <n v="0"/>
  </r>
  <r>
    <s v="U18885"/>
    <x v="2"/>
    <x v="1"/>
    <x v="2"/>
    <x v="1"/>
    <s v="Unemployed"/>
    <n v="4205.0600000000004"/>
    <n v="2721.25"/>
    <n v="8663.41"/>
    <s v="No"/>
    <s v="None"/>
    <n v="0"/>
    <n v="0"/>
    <n v="0"/>
    <n v="0"/>
    <n v="0"/>
    <n v="444"/>
    <n v="0.17"/>
    <x v="2"/>
    <x v="498"/>
    <n v="0"/>
  </r>
  <r>
    <s v="U18900"/>
    <x v="10"/>
    <x v="1"/>
    <x v="2"/>
    <x v="2"/>
    <s v="Accountant"/>
    <n v="3487.93"/>
    <n v="2821.73"/>
    <n v="32476.98"/>
    <s v="No"/>
    <s v="None"/>
    <n v="0"/>
    <n v="0"/>
    <n v="0"/>
    <n v="0"/>
    <n v="0"/>
    <n v="488"/>
    <n v="0.78"/>
    <x v="4"/>
    <x v="561"/>
    <n v="0"/>
  </r>
  <r>
    <s v="U18906"/>
    <x v="27"/>
    <x v="1"/>
    <x v="3"/>
    <x v="1"/>
    <s v="Teacher"/>
    <n v="4175.16"/>
    <n v="3035.56"/>
    <n v="10834.78"/>
    <s v="No"/>
    <s v="None"/>
    <n v="0"/>
    <n v="0"/>
    <n v="0"/>
    <n v="0"/>
    <n v="0"/>
    <n v="762"/>
    <n v="0.22"/>
    <x v="4"/>
    <x v="169"/>
    <n v="0"/>
  </r>
  <r>
    <s v="U18912"/>
    <x v="16"/>
    <x v="1"/>
    <x v="0"/>
    <x v="0"/>
    <s v="Unemployed"/>
    <n v="2675.04"/>
    <n v="1565.44"/>
    <n v="19756.61"/>
    <s v="No"/>
    <s v="None"/>
    <n v="0"/>
    <n v="0"/>
    <n v="0"/>
    <n v="0"/>
    <n v="0"/>
    <n v="769"/>
    <n v="0.62"/>
    <x v="2"/>
    <x v="912"/>
    <n v="0"/>
  </r>
  <r>
    <s v="U18917"/>
    <x v="12"/>
    <x v="1"/>
    <x v="1"/>
    <x v="1"/>
    <s v="Doctor"/>
    <n v="2448.23"/>
    <n v="1658.51"/>
    <n v="13956.24"/>
    <s v="Yes"/>
    <s v="Car"/>
    <n v="370473.33"/>
    <n v="300"/>
    <n v="3566.96"/>
    <n v="10.76"/>
    <n v="1.46"/>
    <n v="339"/>
    <n v="0.48"/>
    <x v="4"/>
    <x v="734"/>
    <n v="1"/>
  </r>
  <r>
    <s v="U18922"/>
    <x v="9"/>
    <x v="0"/>
    <x v="3"/>
    <x v="1"/>
    <s v="Unemployed"/>
    <n v="2202.36"/>
    <n v="1523.31"/>
    <n v="6641.03"/>
    <s v="No"/>
    <s v="None"/>
    <n v="0"/>
    <n v="0"/>
    <n v="0"/>
    <n v="0"/>
    <n v="0"/>
    <n v="785"/>
    <n v="0.25"/>
    <x v="0"/>
    <x v="441"/>
    <n v="0"/>
  </r>
  <r>
    <s v="U18923"/>
    <x v="21"/>
    <x v="0"/>
    <x v="3"/>
    <x v="1"/>
    <s v="Unemployed"/>
    <n v="2899.54"/>
    <n v="2598.9299999999998"/>
    <n v="29639.64"/>
    <s v="Yes"/>
    <s v="Home"/>
    <n v="332139.49"/>
    <n v="180"/>
    <n v="5036.5"/>
    <n v="16.68"/>
    <n v="1.74"/>
    <n v="569"/>
    <n v="0.85"/>
    <x v="4"/>
    <x v="775"/>
    <n v="1"/>
  </r>
  <r>
    <s v="U18958"/>
    <x v="30"/>
    <x v="1"/>
    <x v="2"/>
    <x v="1"/>
    <s v="Engineer"/>
    <n v="859.61"/>
    <n v="734.46"/>
    <n v="6823.21"/>
    <s v="No"/>
    <s v="None"/>
    <n v="0"/>
    <n v="0"/>
    <n v="0"/>
    <n v="0"/>
    <n v="0"/>
    <n v="307"/>
    <n v="0.66"/>
    <x v="1"/>
    <x v="739"/>
    <n v="0"/>
  </r>
  <r>
    <s v="U18969"/>
    <x v="7"/>
    <x v="0"/>
    <x v="0"/>
    <x v="2"/>
    <s v="Unemployed"/>
    <n v="639.15"/>
    <n v="537.63"/>
    <n v="5248.61"/>
    <s v="No"/>
    <s v="None"/>
    <n v="0"/>
    <n v="0"/>
    <n v="0"/>
    <n v="0"/>
    <n v="0"/>
    <n v="569"/>
    <n v="0.68"/>
    <x v="2"/>
    <x v="510"/>
    <n v="0"/>
  </r>
  <r>
    <s v="U18971"/>
    <x v="10"/>
    <x v="0"/>
    <x v="0"/>
    <x v="1"/>
    <s v="Salesperson"/>
    <n v="5201.34"/>
    <n v="2352.2600000000002"/>
    <n v="52277.01"/>
    <s v="Yes"/>
    <s v="Car"/>
    <n v="305318.45"/>
    <n v="180"/>
    <n v="6404.35"/>
    <n v="24.51"/>
    <n v="1.23"/>
    <n v="786"/>
    <n v="0.84"/>
    <x v="3"/>
    <x v="907"/>
    <n v="1"/>
  </r>
  <r>
    <s v="U18995"/>
    <x v="49"/>
    <x v="0"/>
    <x v="3"/>
    <x v="3"/>
    <s v="Manager"/>
    <n v="4300.28"/>
    <n v="1641.59"/>
    <n v="28232.639999999999"/>
    <s v="Yes"/>
    <s v="Car"/>
    <n v="379505.27"/>
    <n v="300"/>
    <n v="1978.11"/>
    <n v="3.88"/>
    <n v="0.46"/>
    <n v="668"/>
    <n v="0.55000000000000004"/>
    <x v="0"/>
    <x v="420"/>
    <n v="1"/>
  </r>
  <r>
    <s v="U19016"/>
    <x v="22"/>
    <x v="1"/>
    <x v="3"/>
    <x v="1"/>
    <s v="Driver"/>
    <n v="4016.61"/>
    <n v="2164.64"/>
    <n v="34877.08"/>
    <s v="No"/>
    <s v="None"/>
    <n v="0"/>
    <n v="0"/>
    <n v="0"/>
    <n v="0"/>
    <n v="0"/>
    <n v="313"/>
    <n v="0.72"/>
    <x v="3"/>
    <x v="545"/>
    <n v="0"/>
  </r>
  <r>
    <s v="U19046"/>
    <x v="6"/>
    <x v="0"/>
    <x v="1"/>
    <x v="1"/>
    <s v="Manager"/>
    <n v="4836.17"/>
    <n v="1969.45"/>
    <n v="31973.14"/>
    <s v="Yes"/>
    <s v="Education"/>
    <n v="152997.17000000001"/>
    <n v="240"/>
    <n v="3732.07"/>
    <n v="29.18"/>
    <n v="0.77"/>
    <n v="485"/>
    <n v="0.55000000000000004"/>
    <x v="1"/>
    <x v="458"/>
    <n v="1"/>
  </r>
  <r>
    <s v="U19052"/>
    <x v="29"/>
    <x v="0"/>
    <x v="3"/>
    <x v="1"/>
    <s v="Doctor"/>
    <n v="4091.66"/>
    <n v="1769.69"/>
    <n v="29859.53"/>
    <s v="No"/>
    <s v="None"/>
    <n v="0"/>
    <n v="0"/>
    <n v="0"/>
    <n v="0"/>
    <n v="0"/>
    <n v="567"/>
    <n v="0.61"/>
    <x v="4"/>
    <x v="416"/>
    <n v="0"/>
  </r>
  <r>
    <s v="U19063"/>
    <x v="34"/>
    <x v="1"/>
    <x v="2"/>
    <x v="1"/>
    <s v="Student"/>
    <n v="3470.22"/>
    <n v="1869.99"/>
    <n v="22101.24"/>
    <s v="Yes"/>
    <s v="Home"/>
    <n v="372466.96"/>
    <n v="360"/>
    <n v="2701.94"/>
    <n v="7.88"/>
    <n v="0.78"/>
    <n v="564"/>
    <n v="0.53"/>
    <x v="1"/>
    <x v="916"/>
    <n v="1"/>
  </r>
  <r>
    <s v="U19069"/>
    <x v="50"/>
    <x v="1"/>
    <x v="3"/>
    <x v="1"/>
    <s v="Driver"/>
    <n v="5741.46"/>
    <n v="3852.58"/>
    <n v="61159.03"/>
    <s v="Yes"/>
    <s v="Home"/>
    <n v="375737.52"/>
    <n v="360"/>
    <n v="8475.65"/>
    <n v="27.06"/>
    <n v="1.48"/>
    <n v="702"/>
    <n v="0.89"/>
    <x v="1"/>
    <x v="917"/>
    <n v="1"/>
  </r>
  <r>
    <s v="U19074"/>
    <x v="26"/>
    <x v="0"/>
    <x v="3"/>
    <x v="1"/>
    <s v="Doctor"/>
    <n v="7889.54"/>
    <n v="5956.4"/>
    <n v="62503.94"/>
    <s v="No"/>
    <s v="None"/>
    <n v="0"/>
    <n v="0"/>
    <n v="0"/>
    <n v="0"/>
    <n v="0"/>
    <n v="393"/>
    <n v="0.66"/>
    <x v="0"/>
    <x v="856"/>
    <n v="0"/>
  </r>
  <r>
    <s v="U19097"/>
    <x v="23"/>
    <x v="0"/>
    <x v="3"/>
    <x v="3"/>
    <s v="Engineer"/>
    <n v="4876.6000000000004"/>
    <n v="2933.28"/>
    <n v="13463.58"/>
    <s v="Yes"/>
    <s v="Car"/>
    <n v="93398.83"/>
    <n v="24"/>
    <n v="5020.05"/>
    <n v="25.75"/>
    <n v="1.03"/>
    <n v="615"/>
    <n v="0.23"/>
    <x v="0"/>
    <x v="918"/>
    <n v="1"/>
  </r>
  <r>
    <s v="U19122"/>
    <x v="24"/>
    <x v="0"/>
    <x v="0"/>
    <x v="1"/>
    <s v="Salesperson"/>
    <n v="6452.46"/>
    <n v="3967.82"/>
    <n v="61736.05"/>
    <s v="No"/>
    <s v="None"/>
    <n v="0"/>
    <n v="0"/>
    <n v="0"/>
    <n v="0"/>
    <n v="0"/>
    <n v="603"/>
    <n v="0.8"/>
    <x v="1"/>
    <x v="578"/>
    <n v="0"/>
  </r>
  <r>
    <s v="U19230"/>
    <x v="31"/>
    <x v="1"/>
    <x v="3"/>
    <x v="1"/>
    <s v="Doctor"/>
    <n v="4024.45"/>
    <n v="1862.54"/>
    <n v="24347.91"/>
    <s v="No"/>
    <s v="None"/>
    <n v="0"/>
    <n v="0"/>
    <n v="0"/>
    <n v="0"/>
    <n v="0"/>
    <n v="484"/>
    <n v="0.5"/>
    <x v="4"/>
    <x v="23"/>
    <n v="0"/>
  </r>
  <r>
    <s v="U19236"/>
    <x v="7"/>
    <x v="0"/>
    <x v="2"/>
    <x v="1"/>
    <s v="Student"/>
    <n v="5057.22"/>
    <n v="4242.24"/>
    <n v="37142.720000000001"/>
    <s v="Yes"/>
    <s v="Education"/>
    <n v="87064.17"/>
    <n v="36"/>
    <n v="3685.05"/>
    <n v="29.77"/>
    <n v="0.73"/>
    <n v="758"/>
    <n v="0.61"/>
    <x v="3"/>
    <x v="524"/>
    <n v="1"/>
  </r>
  <r>
    <s v="U19247"/>
    <x v="30"/>
    <x v="0"/>
    <x v="3"/>
    <x v="3"/>
    <s v="Student"/>
    <n v="2878.61"/>
    <n v="1095.18"/>
    <n v="33974.949999999997"/>
    <s v="No"/>
    <s v="None"/>
    <n v="0"/>
    <n v="0"/>
    <n v="0"/>
    <n v="0"/>
    <n v="0"/>
    <n v="403"/>
    <n v="0.98"/>
    <x v="1"/>
    <x v="919"/>
    <n v="0"/>
  </r>
  <r>
    <s v="U19250"/>
    <x v="2"/>
    <x v="0"/>
    <x v="2"/>
    <x v="1"/>
    <s v="Manager"/>
    <n v="5171.6099999999997"/>
    <n v="3985.3"/>
    <n v="27398.37"/>
    <s v="No"/>
    <s v="None"/>
    <n v="0"/>
    <n v="0"/>
    <n v="0"/>
    <n v="0"/>
    <n v="0"/>
    <n v="523"/>
    <n v="0.44"/>
    <x v="2"/>
    <x v="920"/>
    <n v="0"/>
  </r>
  <r>
    <s v="U19290"/>
    <x v="12"/>
    <x v="1"/>
    <x v="3"/>
    <x v="0"/>
    <s v="Teacher"/>
    <n v="2599.29"/>
    <n v="1442.65"/>
    <n v="28902.23"/>
    <s v="No"/>
    <s v="None"/>
    <n v="0"/>
    <n v="0"/>
    <n v="0"/>
    <n v="0"/>
    <n v="0"/>
    <n v="463"/>
    <n v="0.93"/>
    <x v="0"/>
    <x v="921"/>
    <n v="0"/>
  </r>
  <r>
    <s v="U19316"/>
    <x v="1"/>
    <x v="1"/>
    <x v="2"/>
    <x v="2"/>
    <s v="Teacher"/>
    <n v="3888.37"/>
    <n v="2958.85"/>
    <n v="39820.43"/>
    <s v="Yes"/>
    <s v="Car"/>
    <n v="115194.36"/>
    <n v="60"/>
    <n v="3146.28"/>
    <n v="21.46"/>
    <n v="0.81"/>
    <n v="390"/>
    <n v="0.85"/>
    <x v="4"/>
    <x v="922"/>
    <n v="1"/>
  </r>
  <r>
    <s v="U19324"/>
    <x v="40"/>
    <x v="0"/>
    <x v="0"/>
    <x v="1"/>
    <s v="Manager"/>
    <n v="7972.81"/>
    <n v="3450.59"/>
    <n v="17140.97"/>
    <s v="No"/>
    <s v="None"/>
    <n v="0"/>
    <n v="0"/>
    <n v="0"/>
    <n v="0"/>
    <n v="0"/>
    <n v="634"/>
    <n v="0.18"/>
    <x v="2"/>
    <x v="923"/>
    <n v="0"/>
  </r>
  <r>
    <s v="U19326"/>
    <x v="18"/>
    <x v="0"/>
    <x v="2"/>
    <x v="1"/>
    <s v="Salesperson"/>
    <n v="3413.82"/>
    <n v="2978.91"/>
    <n v="29673.72"/>
    <s v="No"/>
    <s v="None"/>
    <n v="0"/>
    <n v="0"/>
    <n v="0"/>
    <n v="0"/>
    <n v="0"/>
    <n v="355"/>
    <n v="0.72"/>
    <x v="4"/>
    <x v="684"/>
    <n v="0"/>
  </r>
  <r>
    <s v="U19333"/>
    <x v="9"/>
    <x v="0"/>
    <x v="1"/>
    <x v="1"/>
    <s v="Student"/>
    <n v="621.27"/>
    <n v="271.32"/>
    <n v="7065.41"/>
    <s v="No"/>
    <s v="None"/>
    <n v="0"/>
    <n v="0"/>
    <n v="0"/>
    <n v="0"/>
    <n v="0"/>
    <n v="406"/>
    <n v="0.95"/>
    <x v="0"/>
    <x v="800"/>
    <n v="0"/>
  </r>
  <r>
    <s v="U19335"/>
    <x v="2"/>
    <x v="1"/>
    <x v="3"/>
    <x v="2"/>
    <s v="Engineer"/>
    <n v="3718.3"/>
    <n v="2059.2600000000002"/>
    <n v="17406.38"/>
    <s v="Yes"/>
    <s v="Home"/>
    <n v="49381.48"/>
    <n v="24"/>
    <n v="2543.3200000000002"/>
    <n v="21.24"/>
    <n v="0.68"/>
    <n v="827"/>
    <n v="0.39"/>
    <x v="3"/>
    <x v="924"/>
    <n v="1"/>
  </r>
  <r>
    <s v="U19342"/>
    <x v="6"/>
    <x v="0"/>
    <x v="0"/>
    <x v="1"/>
    <s v="Salesperson"/>
    <n v="3914.08"/>
    <n v="2767.63"/>
    <n v="42607.47"/>
    <s v="No"/>
    <s v="None"/>
    <n v="0"/>
    <n v="0"/>
    <n v="0"/>
    <n v="0"/>
    <n v="0"/>
    <n v="715"/>
    <n v="0.91"/>
    <x v="4"/>
    <x v="528"/>
    <n v="0"/>
  </r>
  <r>
    <s v="U19352"/>
    <x v="39"/>
    <x v="0"/>
    <x v="3"/>
    <x v="2"/>
    <s v="Unemployed"/>
    <n v="2787.17"/>
    <n v="2369.87"/>
    <n v="32043.3"/>
    <s v="Yes"/>
    <s v="Business"/>
    <n v="282261.26"/>
    <n v="360"/>
    <n v="1902.6"/>
    <n v="7.13"/>
    <n v="0.68"/>
    <n v="694"/>
    <n v="0.96"/>
    <x v="4"/>
    <x v="551"/>
    <n v="1"/>
  </r>
  <r>
    <s v="U19357"/>
    <x v="25"/>
    <x v="1"/>
    <x v="2"/>
    <x v="1"/>
    <s v="Salesperson"/>
    <n v="2817.41"/>
    <n v="2306.6799999999998"/>
    <n v="22936.53"/>
    <s v="No"/>
    <s v="None"/>
    <n v="0"/>
    <n v="0"/>
    <n v="0"/>
    <n v="0"/>
    <n v="0"/>
    <n v="544"/>
    <n v="0.68"/>
    <x v="2"/>
    <x v="187"/>
    <n v="0"/>
  </r>
  <r>
    <s v="U19382"/>
    <x v="47"/>
    <x v="0"/>
    <x v="2"/>
    <x v="1"/>
    <s v="Teacher"/>
    <n v="4906.21"/>
    <n v="3342.08"/>
    <n v="43858.19"/>
    <s v="Yes"/>
    <s v="Car"/>
    <n v="64079.16"/>
    <n v="24"/>
    <n v="2994.63"/>
    <n v="11.27"/>
    <n v="0.61"/>
    <n v="580"/>
    <n v="0.74"/>
    <x v="3"/>
    <x v="925"/>
    <n v="1"/>
  </r>
  <r>
    <s v="U19386"/>
    <x v="17"/>
    <x v="1"/>
    <x v="3"/>
    <x v="1"/>
    <s v="Driver"/>
    <n v="500"/>
    <n v="282.20999999999998"/>
    <n v="1665.57"/>
    <s v="No"/>
    <s v="None"/>
    <n v="0"/>
    <n v="0"/>
    <n v="0"/>
    <n v="0"/>
    <n v="0"/>
    <n v="476"/>
    <n v="0.28000000000000003"/>
    <x v="2"/>
    <x v="741"/>
    <n v="0"/>
  </r>
  <r>
    <s v="U19389"/>
    <x v="7"/>
    <x v="0"/>
    <x v="2"/>
    <x v="3"/>
    <s v="Unemployed"/>
    <n v="5182.8100000000004"/>
    <n v="2799.58"/>
    <n v="16828.37"/>
    <s v="No"/>
    <s v="None"/>
    <n v="0"/>
    <n v="0"/>
    <n v="0"/>
    <n v="0"/>
    <n v="0"/>
    <n v="597"/>
    <n v="0.27"/>
    <x v="2"/>
    <x v="595"/>
    <n v="0"/>
  </r>
  <r>
    <s v="U19395"/>
    <x v="22"/>
    <x v="1"/>
    <x v="3"/>
    <x v="1"/>
    <s v="Student"/>
    <n v="5704.22"/>
    <n v="4063.97"/>
    <n v="47656.15"/>
    <s v="Yes"/>
    <s v="Education"/>
    <n v="201573.45"/>
    <n v="360"/>
    <n v="1225.43"/>
    <n v="6.13"/>
    <n v="0.21"/>
    <n v="559"/>
    <n v="0.7"/>
    <x v="1"/>
    <x v="593"/>
    <n v="0"/>
  </r>
  <r>
    <s v="U19407"/>
    <x v="34"/>
    <x v="0"/>
    <x v="3"/>
    <x v="0"/>
    <s v="Driver"/>
    <n v="3662.33"/>
    <n v="2076.8200000000002"/>
    <n v="6721.58"/>
    <s v="Yes"/>
    <s v="Home"/>
    <n v="331418.51"/>
    <n v="240"/>
    <n v="6494.06"/>
    <n v="23.28"/>
    <n v="1.77"/>
    <n v="324"/>
    <n v="0.15"/>
    <x v="1"/>
    <x v="295"/>
    <n v="1"/>
  </r>
  <r>
    <s v="U19412"/>
    <x v="40"/>
    <x v="0"/>
    <x v="0"/>
    <x v="1"/>
    <s v="Manager"/>
    <n v="2531.3200000000002"/>
    <n v="1510.58"/>
    <n v="28863.52"/>
    <s v="Yes"/>
    <s v="Car"/>
    <n v="2748.16"/>
    <n v="12"/>
    <n v="253.51"/>
    <n v="19.190000000000001"/>
    <n v="0.1"/>
    <n v="528"/>
    <n v="0.95"/>
    <x v="2"/>
    <x v="199"/>
    <n v="0"/>
  </r>
  <r>
    <s v="U19427"/>
    <x v="28"/>
    <x v="1"/>
    <x v="3"/>
    <x v="1"/>
    <s v="Doctor"/>
    <n v="5439.47"/>
    <n v="4827.34"/>
    <n v="25710.52"/>
    <s v="No"/>
    <s v="None"/>
    <n v="0"/>
    <n v="0"/>
    <n v="0"/>
    <n v="0"/>
    <n v="0"/>
    <n v="763"/>
    <n v="0.39"/>
    <x v="1"/>
    <x v="926"/>
    <n v="0"/>
  </r>
  <r>
    <s v="U19434"/>
    <x v="32"/>
    <x v="1"/>
    <x v="0"/>
    <x v="3"/>
    <s v="Salesperson"/>
    <n v="4659.3500000000004"/>
    <n v="1651.01"/>
    <n v="40912.78"/>
    <s v="No"/>
    <s v="None"/>
    <n v="0"/>
    <n v="0"/>
    <n v="0"/>
    <n v="0"/>
    <n v="0"/>
    <n v="424"/>
    <n v="0.73"/>
    <x v="2"/>
    <x v="271"/>
    <n v="0"/>
  </r>
  <r>
    <s v="U19444"/>
    <x v="48"/>
    <x v="1"/>
    <x v="2"/>
    <x v="3"/>
    <s v="Unemployed"/>
    <n v="5326.9"/>
    <n v="4397.3"/>
    <n v="45482.87"/>
    <s v="No"/>
    <s v="None"/>
    <n v="0"/>
    <n v="0"/>
    <n v="0"/>
    <n v="0"/>
    <n v="0"/>
    <n v="636"/>
    <n v="0.71"/>
    <x v="2"/>
    <x v="173"/>
    <n v="0"/>
  </r>
  <r>
    <s v="U19451"/>
    <x v="20"/>
    <x v="1"/>
    <x v="2"/>
    <x v="1"/>
    <s v="Doctor"/>
    <n v="3665.53"/>
    <n v="2863.16"/>
    <n v="26654.52"/>
    <s v="No"/>
    <s v="None"/>
    <n v="0"/>
    <n v="0"/>
    <n v="0"/>
    <n v="0"/>
    <n v="0"/>
    <n v="613"/>
    <n v="0.61"/>
    <x v="3"/>
    <x v="518"/>
    <n v="0"/>
  </r>
  <r>
    <s v="U19461"/>
    <x v="0"/>
    <x v="1"/>
    <x v="2"/>
    <x v="1"/>
    <s v="Student"/>
    <n v="5582.63"/>
    <n v="2990.4"/>
    <n v="11595.16"/>
    <s v="No"/>
    <s v="None"/>
    <n v="0"/>
    <n v="0"/>
    <n v="0"/>
    <n v="0"/>
    <n v="0"/>
    <n v="775"/>
    <n v="0.17"/>
    <x v="3"/>
    <x v="787"/>
    <n v="0"/>
  </r>
  <r>
    <s v="U19464"/>
    <x v="2"/>
    <x v="0"/>
    <x v="2"/>
    <x v="3"/>
    <s v="Engineer"/>
    <n v="5303.64"/>
    <n v="2214.37"/>
    <n v="55453.8"/>
    <s v="No"/>
    <s v="None"/>
    <n v="0"/>
    <n v="0"/>
    <n v="0"/>
    <n v="0"/>
    <n v="0"/>
    <n v="720"/>
    <n v="0.87"/>
    <x v="3"/>
    <x v="230"/>
    <n v="0"/>
  </r>
  <r>
    <s v="U19482"/>
    <x v="42"/>
    <x v="0"/>
    <x v="2"/>
    <x v="1"/>
    <s v="Accountant"/>
    <n v="7776.07"/>
    <n v="6027.75"/>
    <n v="26729.39"/>
    <s v="No"/>
    <s v="None"/>
    <n v="0"/>
    <n v="0"/>
    <n v="0"/>
    <n v="0"/>
    <n v="0"/>
    <n v="574"/>
    <n v="0.28999999999999998"/>
    <x v="0"/>
    <x v="587"/>
    <n v="0"/>
  </r>
  <r>
    <s v="U19488"/>
    <x v="8"/>
    <x v="1"/>
    <x v="2"/>
    <x v="1"/>
    <s v="Teacher"/>
    <n v="4207.22"/>
    <n v="3316.11"/>
    <n v="9087.02"/>
    <s v="No"/>
    <s v="None"/>
    <n v="0"/>
    <n v="0"/>
    <n v="0"/>
    <n v="0"/>
    <n v="0"/>
    <n v="391"/>
    <n v="0.18"/>
    <x v="0"/>
    <x v="927"/>
    <n v="0"/>
  </r>
  <r>
    <s v="U19501"/>
    <x v="31"/>
    <x v="1"/>
    <x v="3"/>
    <x v="1"/>
    <s v="Doctor"/>
    <n v="4228.08"/>
    <n v="1295.92"/>
    <n v="5254.68"/>
    <s v="No"/>
    <s v="None"/>
    <n v="0"/>
    <n v="0"/>
    <n v="0"/>
    <n v="0"/>
    <n v="0"/>
    <n v="784"/>
    <n v="0.1"/>
    <x v="2"/>
    <x v="928"/>
    <n v="0"/>
  </r>
  <r>
    <s v="U19505"/>
    <x v="46"/>
    <x v="0"/>
    <x v="1"/>
    <x v="1"/>
    <s v="Driver"/>
    <n v="2045.03"/>
    <n v="1450.96"/>
    <n v="17905.05"/>
    <s v="No"/>
    <s v="None"/>
    <n v="0"/>
    <n v="0"/>
    <n v="0"/>
    <n v="0"/>
    <n v="0"/>
    <n v="611"/>
    <n v="0.73"/>
    <x v="3"/>
    <x v="184"/>
    <n v="0"/>
  </r>
  <r>
    <s v="U19536"/>
    <x v="46"/>
    <x v="0"/>
    <x v="0"/>
    <x v="3"/>
    <s v="Teacher"/>
    <n v="3545"/>
    <n v="1257.01"/>
    <n v="39660.19"/>
    <s v="No"/>
    <s v="None"/>
    <n v="0"/>
    <n v="0"/>
    <n v="0"/>
    <n v="0"/>
    <n v="0"/>
    <n v="841"/>
    <n v="0.93"/>
    <x v="0"/>
    <x v="285"/>
    <n v="0"/>
  </r>
  <r>
    <s v="U19553"/>
    <x v="33"/>
    <x v="1"/>
    <x v="3"/>
    <x v="1"/>
    <s v="Driver"/>
    <n v="4609.5600000000004"/>
    <n v="3331.08"/>
    <n v="45585.06"/>
    <s v="Yes"/>
    <s v="Car"/>
    <n v="184432.92"/>
    <n v="24"/>
    <n v="8392.81"/>
    <n v="8.61"/>
    <n v="1.82"/>
    <n v="439"/>
    <n v="0.82"/>
    <x v="4"/>
    <x v="929"/>
    <n v="1"/>
  </r>
  <r>
    <s v="U19562"/>
    <x v="50"/>
    <x v="2"/>
    <x v="3"/>
    <x v="1"/>
    <s v="Unemployed"/>
    <n v="1932.26"/>
    <n v="759.36"/>
    <n v="10811.69"/>
    <s v="No"/>
    <s v="None"/>
    <n v="0"/>
    <n v="0"/>
    <n v="0"/>
    <n v="0"/>
    <n v="0"/>
    <n v="550"/>
    <n v="0.47"/>
    <x v="3"/>
    <x v="183"/>
    <n v="0"/>
  </r>
  <r>
    <s v="U19567"/>
    <x v="38"/>
    <x v="0"/>
    <x v="3"/>
    <x v="1"/>
    <s v="Manager"/>
    <n v="500"/>
    <n v="374.73"/>
    <n v="4742.6400000000003"/>
    <s v="No"/>
    <s v="None"/>
    <n v="0"/>
    <n v="0"/>
    <n v="0"/>
    <n v="0"/>
    <n v="0"/>
    <n v="602"/>
    <n v="0.79"/>
    <x v="3"/>
    <x v="930"/>
    <n v="0"/>
  </r>
  <r>
    <s v="U19590"/>
    <x v="32"/>
    <x v="1"/>
    <x v="0"/>
    <x v="2"/>
    <s v="Unemployed"/>
    <n v="5595.54"/>
    <n v="1979.64"/>
    <n v="58311.09"/>
    <s v="Yes"/>
    <s v="Education"/>
    <n v="92430.71"/>
    <n v="300"/>
    <n v="1999.79"/>
    <n v="25.92"/>
    <n v="0.36"/>
    <n v="463"/>
    <n v="0.87"/>
    <x v="1"/>
    <x v="806"/>
    <n v="0"/>
  </r>
  <r>
    <s v="U19594"/>
    <x v="14"/>
    <x v="0"/>
    <x v="3"/>
    <x v="1"/>
    <s v="Engineer"/>
    <n v="5766.14"/>
    <n v="3180.87"/>
    <n v="49394.76"/>
    <s v="No"/>
    <s v="None"/>
    <n v="0"/>
    <n v="0"/>
    <n v="0"/>
    <n v="0"/>
    <n v="0"/>
    <n v="589"/>
    <n v="0.71"/>
    <x v="4"/>
    <x v="301"/>
    <n v="0"/>
  </r>
  <r>
    <s v="U19595"/>
    <x v="38"/>
    <x v="1"/>
    <x v="4"/>
    <x v="3"/>
    <s v="Student"/>
    <n v="10928.64"/>
    <n v="8400.64"/>
    <n v="119391.42"/>
    <s v="Yes"/>
    <s v="Home"/>
    <n v="5306.45"/>
    <n v="240"/>
    <n v="129.09"/>
    <n v="29.1"/>
    <n v="0.01"/>
    <n v="655"/>
    <n v="0.91"/>
    <x v="2"/>
    <x v="541"/>
    <n v="0"/>
  </r>
  <r>
    <s v="U19599"/>
    <x v="12"/>
    <x v="1"/>
    <x v="0"/>
    <x v="1"/>
    <s v="Driver"/>
    <n v="4067.47"/>
    <n v="2411.5300000000002"/>
    <n v="40333.339999999997"/>
    <s v="Yes"/>
    <s v="Education"/>
    <n v="304785.53000000003"/>
    <n v="120"/>
    <n v="5419.39"/>
    <n v="17.63"/>
    <n v="1.33"/>
    <n v="712"/>
    <n v="0.83"/>
    <x v="0"/>
    <x v="931"/>
    <n v="1"/>
  </r>
  <r>
    <s v="U19613"/>
    <x v="46"/>
    <x v="1"/>
    <x v="0"/>
    <x v="1"/>
    <s v="Student"/>
    <n v="6058.07"/>
    <n v="5175.84"/>
    <n v="50954.89"/>
    <s v="Yes"/>
    <s v="Car"/>
    <n v="176583.73"/>
    <n v="120"/>
    <n v="4450.33"/>
    <n v="28.42"/>
    <n v="0.73"/>
    <n v="775"/>
    <n v="0.7"/>
    <x v="4"/>
    <x v="32"/>
    <n v="1"/>
  </r>
  <r>
    <s v="U19636"/>
    <x v="38"/>
    <x v="1"/>
    <x v="0"/>
    <x v="2"/>
    <s v="Accountant"/>
    <n v="9178.2999999999993"/>
    <n v="7992.2"/>
    <n v="81764.22"/>
    <s v="No"/>
    <s v="None"/>
    <n v="0"/>
    <n v="0"/>
    <n v="0"/>
    <n v="0"/>
    <n v="0"/>
    <n v="850"/>
    <n v="0.74"/>
    <x v="2"/>
    <x v="732"/>
    <n v="0"/>
  </r>
  <r>
    <s v="U19653"/>
    <x v="0"/>
    <x v="1"/>
    <x v="2"/>
    <x v="1"/>
    <s v="Unemployed"/>
    <n v="2860.12"/>
    <n v="2502.13"/>
    <n v="29596.959999999999"/>
    <s v="No"/>
    <s v="None"/>
    <n v="0"/>
    <n v="0"/>
    <n v="0"/>
    <n v="0"/>
    <n v="0"/>
    <n v="520"/>
    <n v="0.86"/>
    <x v="3"/>
    <x v="744"/>
    <n v="0"/>
  </r>
  <r>
    <s v="U19670"/>
    <x v="13"/>
    <x v="1"/>
    <x v="1"/>
    <x v="1"/>
    <s v="Accountant"/>
    <n v="6413.2"/>
    <n v="3434.35"/>
    <n v="65314.21"/>
    <s v="Yes"/>
    <s v="Home"/>
    <n v="320262.27"/>
    <n v="60"/>
    <n v="9931.09"/>
    <n v="27.79"/>
    <n v="1.55"/>
    <n v="554"/>
    <n v="0.85"/>
    <x v="1"/>
    <x v="606"/>
    <n v="1"/>
  </r>
  <r>
    <s v="U19684"/>
    <x v="41"/>
    <x v="1"/>
    <x v="3"/>
    <x v="3"/>
    <s v="Engineer"/>
    <n v="1107.49"/>
    <n v="567.67999999999995"/>
    <n v="10714.58"/>
    <s v="Yes"/>
    <s v="Car"/>
    <n v="121669.58"/>
    <n v="180"/>
    <n v="1769.18"/>
    <n v="15.79"/>
    <n v="1.6"/>
    <n v="398"/>
    <n v="0.81"/>
    <x v="4"/>
    <x v="425"/>
    <n v="1"/>
  </r>
  <r>
    <s v="U19686"/>
    <x v="14"/>
    <x v="0"/>
    <x v="3"/>
    <x v="1"/>
    <s v="Manager"/>
    <n v="3446.2"/>
    <n v="1527.47"/>
    <n v="29880.94"/>
    <s v="No"/>
    <s v="None"/>
    <n v="0"/>
    <n v="0"/>
    <n v="0"/>
    <n v="0"/>
    <n v="0"/>
    <n v="442"/>
    <n v="0.72"/>
    <x v="0"/>
    <x v="932"/>
    <n v="0"/>
  </r>
  <r>
    <s v="U19687"/>
    <x v="25"/>
    <x v="0"/>
    <x v="2"/>
    <x v="2"/>
    <s v="Driver"/>
    <n v="5604.37"/>
    <n v="2824.51"/>
    <n v="34268.49"/>
    <s v="No"/>
    <s v="None"/>
    <n v="0"/>
    <n v="0"/>
    <n v="0"/>
    <n v="0"/>
    <n v="0"/>
    <n v="366"/>
    <n v="0.51"/>
    <x v="4"/>
    <x v="214"/>
    <n v="0"/>
  </r>
  <r>
    <s v="U19700"/>
    <x v="46"/>
    <x v="0"/>
    <x v="3"/>
    <x v="1"/>
    <s v="Manager"/>
    <n v="4289.12"/>
    <n v="1710.19"/>
    <n v="49256.54"/>
    <s v="No"/>
    <s v="None"/>
    <n v="0"/>
    <n v="0"/>
    <n v="0"/>
    <n v="0"/>
    <n v="0"/>
    <n v="505"/>
    <n v="0.96"/>
    <x v="1"/>
    <x v="523"/>
    <n v="0"/>
  </r>
  <r>
    <s v="U19703"/>
    <x v="28"/>
    <x v="0"/>
    <x v="3"/>
    <x v="1"/>
    <s v="Accountant"/>
    <n v="3669.49"/>
    <n v="1653.2"/>
    <n v="40623.29"/>
    <s v="No"/>
    <s v="None"/>
    <n v="0"/>
    <n v="0"/>
    <n v="0"/>
    <n v="0"/>
    <n v="0"/>
    <n v="576"/>
    <n v="0.92"/>
    <x v="3"/>
    <x v="879"/>
    <n v="0"/>
  </r>
  <r>
    <s v="U19706"/>
    <x v="41"/>
    <x v="1"/>
    <x v="0"/>
    <x v="2"/>
    <s v="Engineer"/>
    <n v="5006.4799999999996"/>
    <n v="2638.1"/>
    <n v="34864.9"/>
    <s v="Yes"/>
    <s v="Home"/>
    <n v="122878.55"/>
    <n v="240"/>
    <n v="2898.64"/>
    <n v="28.2"/>
    <n v="0.57999999999999996"/>
    <n v="574"/>
    <n v="0.57999999999999996"/>
    <x v="3"/>
    <x v="170"/>
    <n v="1"/>
  </r>
  <r>
    <s v="U19714"/>
    <x v="9"/>
    <x v="1"/>
    <x v="2"/>
    <x v="1"/>
    <s v="Student"/>
    <n v="3565.78"/>
    <n v="3205.69"/>
    <n v="30607.57"/>
    <s v="No"/>
    <s v="None"/>
    <n v="0"/>
    <n v="0"/>
    <n v="0"/>
    <n v="0"/>
    <n v="0"/>
    <n v="780"/>
    <n v="0.72"/>
    <x v="4"/>
    <x v="933"/>
    <n v="0"/>
  </r>
  <r>
    <s v="U19756"/>
    <x v="28"/>
    <x v="1"/>
    <x v="2"/>
    <x v="2"/>
    <s v="Teacher"/>
    <n v="4635.38"/>
    <n v="2370.17"/>
    <n v="20119.21"/>
    <s v="No"/>
    <s v="None"/>
    <n v="0"/>
    <n v="0"/>
    <n v="0"/>
    <n v="0"/>
    <n v="0"/>
    <n v="513"/>
    <n v="0.36"/>
    <x v="4"/>
    <x v="934"/>
    <n v="0"/>
  </r>
  <r>
    <s v="U19771"/>
    <x v="51"/>
    <x v="0"/>
    <x v="3"/>
    <x v="2"/>
    <s v="Teacher"/>
    <n v="3669.2"/>
    <n v="2278.54"/>
    <n v="40242.660000000003"/>
    <s v="No"/>
    <s v="None"/>
    <n v="0"/>
    <n v="0"/>
    <n v="0"/>
    <n v="0"/>
    <n v="0"/>
    <n v="781"/>
    <n v="0.91"/>
    <x v="4"/>
    <x v="32"/>
    <n v="0"/>
  </r>
  <r>
    <s v="U19776"/>
    <x v="51"/>
    <x v="1"/>
    <x v="3"/>
    <x v="0"/>
    <s v="Unemployed"/>
    <n v="1929.02"/>
    <n v="1350.73"/>
    <n v="12053.77"/>
    <s v="Yes"/>
    <s v="Business"/>
    <n v="339265.36"/>
    <n v="360"/>
    <n v="3655.09"/>
    <n v="12.63"/>
    <n v="1.89"/>
    <n v="777"/>
    <n v="0.52"/>
    <x v="2"/>
    <x v="935"/>
    <n v="1"/>
  </r>
  <r>
    <s v="U19779"/>
    <x v="13"/>
    <x v="1"/>
    <x v="2"/>
    <x v="1"/>
    <s v="Manager"/>
    <n v="2360.61"/>
    <n v="1029.7"/>
    <n v="5564.8"/>
    <s v="No"/>
    <s v="None"/>
    <n v="0"/>
    <n v="0"/>
    <n v="0"/>
    <n v="0"/>
    <n v="0"/>
    <n v="549"/>
    <n v="0.2"/>
    <x v="3"/>
    <x v="936"/>
    <n v="0"/>
  </r>
  <r>
    <s v="U19788"/>
    <x v="1"/>
    <x v="1"/>
    <x v="2"/>
    <x v="1"/>
    <s v="Teacher"/>
    <n v="5376.21"/>
    <n v="4346.66"/>
    <n v="26152.32"/>
    <s v="Yes"/>
    <s v="Education"/>
    <n v="132367.88"/>
    <n v="360"/>
    <n v="3200.58"/>
    <n v="29.01"/>
    <n v="0.6"/>
    <n v="692"/>
    <n v="0.41"/>
    <x v="3"/>
    <x v="937"/>
    <n v="1"/>
  </r>
  <r>
    <s v="U19811"/>
    <x v="17"/>
    <x v="1"/>
    <x v="2"/>
    <x v="1"/>
    <s v="Manager"/>
    <n v="2581.54"/>
    <n v="2322.4499999999998"/>
    <n v="23424.85"/>
    <s v="No"/>
    <s v="None"/>
    <n v="0"/>
    <n v="0"/>
    <n v="0"/>
    <n v="0"/>
    <n v="0"/>
    <n v="600"/>
    <n v="0.76"/>
    <x v="0"/>
    <x v="938"/>
    <n v="0"/>
  </r>
  <r>
    <s v="U19816"/>
    <x v="4"/>
    <x v="1"/>
    <x v="2"/>
    <x v="3"/>
    <s v="Doctor"/>
    <n v="500"/>
    <n v="211.24"/>
    <n v="2160.62"/>
    <s v="Yes"/>
    <s v="Business"/>
    <n v="85273.01"/>
    <n v="300"/>
    <n v="666.08"/>
    <n v="8.14"/>
    <n v="1.33"/>
    <n v="689"/>
    <n v="0.36"/>
    <x v="4"/>
    <x v="397"/>
    <n v="1"/>
  </r>
  <r>
    <s v="U19818"/>
    <x v="21"/>
    <x v="0"/>
    <x v="2"/>
    <x v="1"/>
    <s v="Doctor"/>
    <n v="5683.05"/>
    <n v="4896.7299999999996"/>
    <n v="66739.83"/>
    <s v="No"/>
    <s v="None"/>
    <n v="0"/>
    <n v="0"/>
    <n v="0"/>
    <n v="0"/>
    <n v="0"/>
    <n v="680"/>
    <n v="0.98"/>
    <x v="3"/>
    <x v="939"/>
    <n v="0"/>
  </r>
  <r>
    <s v="U19892"/>
    <x v="7"/>
    <x v="0"/>
    <x v="2"/>
    <x v="2"/>
    <s v="Student"/>
    <n v="4509.62"/>
    <n v="1405.45"/>
    <n v="49968.13"/>
    <s v="No"/>
    <s v="None"/>
    <n v="0"/>
    <n v="0"/>
    <n v="0"/>
    <n v="0"/>
    <n v="0"/>
    <n v="387"/>
    <n v="0.92"/>
    <x v="2"/>
    <x v="566"/>
    <n v="0"/>
  </r>
  <r>
    <s v="U19901"/>
    <x v="37"/>
    <x v="0"/>
    <x v="4"/>
    <x v="3"/>
    <s v="Student"/>
    <n v="6089.56"/>
    <n v="2015.16"/>
    <n v="38244.879999999997"/>
    <s v="No"/>
    <s v="None"/>
    <n v="0"/>
    <n v="0"/>
    <n v="0"/>
    <n v="0"/>
    <n v="0"/>
    <n v="836"/>
    <n v="0.52"/>
    <x v="1"/>
    <x v="380"/>
    <n v="0"/>
  </r>
  <r>
    <s v="U19914"/>
    <x v="8"/>
    <x v="0"/>
    <x v="2"/>
    <x v="1"/>
    <s v="Student"/>
    <n v="3279.68"/>
    <n v="2312.44"/>
    <n v="20933.36"/>
    <s v="Yes"/>
    <s v="Business"/>
    <n v="254314.66"/>
    <n v="120"/>
    <n v="5915.07"/>
    <n v="25.72"/>
    <n v="1.8"/>
    <n v="587"/>
    <n v="0.53"/>
    <x v="2"/>
    <x v="501"/>
    <n v="1"/>
  </r>
  <r>
    <s v="U19915"/>
    <x v="20"/>
    <x v="0"/>
    <x v="3"/>
    <x v="2"/>
    <s v="Student"/>
    <n v="6906.72"/>
    <n v="5627.17"/>
    <n v="32366.18"/>
    <s v="No"/>
    <s v="None"/>
    <n v="0"/>
    <n v="0"/>
    <n v="0"/>
    <n v="0"/>
    <n v="0"/>
    <n v="403"/>
    <n v="0.39"/>
    <x v="4"/>
    <x v="914"/>
    <n v="0"/>
  </r>
  <r>
    <s v="U19920"/>
    <x v="11"/>
    <x v="1"/>
    <x v="3"/>
    <x v="1"/>
    <s v="Driver"/>
    <n v="6216.67"/>
    <n v="3684.59"/>
    <n v="13640.21"/>
    <s v="No"/>
    <s v="None"/>
    <n v="0"/>
    <n v="0"/>
    <n v="0"/>
    <n v="0"/>
    <n v="0"/>
    <n v="502"/>
    <n v="0.18"/>
    <x v="0"/>
    <x v="940"/>
    <n v="0"/>
  </r>
  <r>
    <s v="U19938"/>
    <x v="1"/>
    <x v="0"/>
    <x v="2"/>
    <x v="1"/>
    <s v="Teacher"/>
    <n v="1943.9"/>
    <n v="587.12"/>
    <n v="22821.31"/>
    <s v="No"/>
    <s v="None"/>
    <n v="0"/>
    <n v="0"/>
    <n v="0"/>
    <n v="0"/>
    <n v="0"/>
    <n v="530"/>
    <n v="0.98"/>
    <x v="4"/>
    <x v="898"/>
    <n v="0"/>
  </r>
  <r>
    <s v="U19943"/>
    <x v="29"/>
    <x v="1"/>
    <x v="2"/>
    <x v="1"/>
    <s v="Teacher"/>
    <n v="4682.87"/>
    <n v="3731.77"/>
    <n v="32777.39"/>
    <s v="No"/>
    <s v="None"/>
    <n v="0"/>
    <n v="0"/>
    <n v="0"/>
    <n v="0"/>
    <n v="0"/>
    <n v="537"/>
    <n v="0.57999999999999996"/>
    <x v="1"/>
    <x v="392"/>
    <n v="0"/>
  </r>
  <r>
    <s v="U19956"/>
    <x v="43"/>
    <x v="0"/>
    <x v="0"/>
    <x v="1"/>
    <s v="Teacher"/>
    <n v="3614.17"/>
    <n v="3188.74"/>
    <n v="27914.400000000001"/>
    <s v="Yes"/>
    <s v="Education"/>
    <n v="157523.46"/>
    <n v="36"/>
    <n v="5100.6099999999997"/>
    <n v="10.24"/>
    <n v="1.41"/>
    <n v="791"/>
    <n v="0.64"/>
    <x v="4"/>
    <x v="93"/>
    <n v="1"/>
  </r>
  <r>
    <s v="U19969"/>
    <x v="49"/>
    <x v="1"/>
    <x v="3"/>
    <x v="1"/>
    <s v="Engineer"/>
    <n v="5827.37"/>
    <n v="3710.64"/>
    <n v="22752.89"/>
    <s v="No"/>
    <s v="None"/>
    <n v="0"/>
    <n v="0"/>
    <n v="0"/>
    <n v="0"/>
    <n v="0"/>
    <n v="825"/>
    <n v="0.33"/>
    <x v="1"/>
    <x v="325"/>
    <n v="0"/>
  </r>
  <r>
    <s v="U19974"/>
    <x v="20"/>
    <x v="0"/>
    <x v="3"/>
    <x v="1"/>
    <s v="Manager"/>
    <n v="1581.46"/>
    <n v="1290.99"/>
    <n v="8047.37"/>
    <s v="Yes"/>
    <s v="Business"/>
    <n v="21474.86"/>
    <n v="360"/>
    <n v="462.82"/>
    <n v="25.85"/>
    <n v="0.28999999999999998"/>
    <n v="734"/>
    <n v="0.42"/>
    <x v="1"/>
    <x v="666"/>
    <n v="0"/>
  </r>
  <r>
    <s v="U19979"/>
    <x v="12"/>
    <x v="0"/>
    <x v="3"/>
    <x v="1"/>
    <s v="Student"/>
    <n v="5039.53"/>
    <n v="3101.91"/>
    <n v="42447.8"/>
    <s v="Yes"/>
    <s v="Business"/>
    <n v="287805.49"/>
    <n v="240"/>
    <n v="4537.2"/>
    <n v="18.43"/>
    <n v="0.9"/>
    <n v="467"/>
    <n v="0.7"/>
    <x v="3"/>
    <x v="941"/>
    <n v="1"/>
  </r>
  <r>
    <s v="U19996"/>
    <x v="36"/>
    <x v="0"/>
    <x v="2"/>
    <x v="1"/>
    <s v="Salesperson"/>
    <n v="5178.72"/>
    <n v="2376.81"/>
    <n v="13958.21"/>
    <s v="No"/>
    <s v="None"/>
    <n v="0"/>
    <n v="0"/>
    <n v="0"/>
    <n v="0"/>
    <n v="0"/>
    <n v="455"/>
    <n v="0.22"/>
    <x v="3"/>
    <x v="305"/>
    <n v="0"/>
  </r>
  <r>
    <s v="U19997"/>
    <x v="47"/>
    <x v="0"/>
    <x v="2"/>
    <x v="0"/>
    <s v="Unemployed"/>
    <n v="2034.84"/>
    <n v="1459.03"/>
    <n v="20155.439999999999"/>
    <s v="Yes"/>
    <s v="Business"/>
    <n v="260958.33"/>
    <n v="240"/>
    <n v="1985.78"/>
    <n v="6.76"/>
    <n v="0.98"/>
    <n v="368"/>
    <n v="0.83"/>
    <x v="3"/>
    <x v="942"/>
    <n v="1"/>
  </r>
  <r>
    <s v="U20000"/>
    <x v="38"/>
    <x v="0"/>
    <x v="3"/>
    <x v="1"/>
    <s v="Student"/>
    <n v="3814.8"/>
    <n v="1413.19"/>
    <n v="37701.300000000003"/>
    <s v="No"/>
    <s v="None"/>
    <n v="0"/>
    <n v="0"/>
    <n v="0"/>
    <n v="0"/>
    <n v="0"/>
    <n v="565"/>
    <n v="0.82"/>
    <x v="4"/>
    <x v="520"/>
    <n v="0"/>
  </r>
  <r>
    <s v="U20003"/>
    <x v="26"/>
    <x v="2"/>
    <x v="3"/>
    <x v="1"/>
    <s v="Accountant"/>
    <n v="2865.94"/>
    <n v="1379.88"/>
    <n v="30769.25"/>
    <s v="No"/>
    <s v="None"/>
    <n v="0"/>
    <n v="0"/>
    <n v="0"/>
    <n v="0"/>
    <n v="0"/>
    <n v="376"/>
    <n v="0.89"/>
    <x v="3"/>
    <x v="634"/>
    <n v="0"/>
  </r>
  <r>
    <s v="U20029"/>
    <x v="4"/>
    <x v="0"/>
    <x v="3"/>
    <x v="1"/>
    <s v="Engineer"/>
    <n v="2680.12"/>
    <n v="1007.61"/>
    <n v="20418.72"/>
    <s v="No"/>
    <s v="None"/>
    <n v="0"/>
    <n v="0"/>
    <n v="0"/>
    <n v="0"/>
    <n v="0"/>
    <n v="352"/>
    <n v="0.63"/>
    <x v="3"/>
    <x v="930"/>
    <n v="0"/>
  </r>
  <r>
    <s v="U20046"/>
    <x v="16"/>
    <x v="1"/>
    <x v="2"/>
    <x v="1"/>
    <s v="Salesperson"/>
    <n v="1536.86"/>
    <n v="512.72"/>
    <n v="17291.34"/>
    <s v="No"/>
    <s v="None"/>
    <n v="0"/>
    <n v="0"/>
    <n v="0"/>
    <n v="0"/>
    <n v="0"/>
    <n v="505"/>
    <n v="0.94"/>
    <x v="3"/>
    <x v="943"/>
    <n v="0"/>
  </r>
  <r>
    <s v="U20057"/>
    <x v="6"/>
    <x v="1"/>
    <x v="0"/>
    <x v="0"/>
    <s v="Accountant"/>
    <n v="4935.63"/>
    <n v="2489.29"/>
    <n v="56899.44"/>
    <s v="No"/>
    <s v="None"/>
    <n v="0"/>
    <n v="0"/>
    <n v="0"/>
    <n v="0"/>
    <n v="0"/>
    <n v="546"/>
    <n v="0.96"/>
    <x v="0"/>
    <x v="934"/>
    <n v="0"/>
  </r>
  <r>
    <s v="U20068"/>
    <x v="24"/>
    <x v="0"/>
    <x v="0"/>
    <x v="1"/>
    <s v="Doctor"/>
    <n v="3940.81"/>
    <n v="2524.1"/>
    <n v="27994.34"/>
    <s v="Yes"/>
    <s v="Home"/>
    <n v="438299.32"/>
    <n v="300"/>
    <n v="6577.35"/>
    <n v="17.79"/>
    <n v="1.67"/>
    <n v="540"/>
    <n v="0.59"/>
    <x v="2"/>
    <x v="378"/>
    <n v="1"/>
  </r>
  <r>
    <s v="U20071"/>
    <x v="9"/>
    <x v="0"/>
    <x v="0"/>
    <x v="0"/>
    <s v="Doctor"/>
    <n v="5119.12"/>
    <n v="2468.9899999999998"/>
    <n v="56464.66"/>
    <s v="No"/>
    <s v="None"/>
    <n v="0"/>
    <n v="0"/>
    <n v="0"/>
    <n v="0"/>
    <n v="0"/>
    <n v="817"/>
    <n v="0.92"/>
    <x v="4"/>
    <x v="318"/>
    <n v="0"/>
  </r>
  <r>
    <s v="U20072"/>
    <x v="9"/>
    <x v="1"/>
    <x v="0"/>
    <x v="1"/>
    <s v="Accountant"/>
    <n v="3853.64"/>
    <n v="1910.35"/>
    <n v="37395.730000000003"/>
    <s v="No"/>
    <s v="None"/>
    <n v="0"/>
    <n v="0"/>
    <n v="0"/>
    <n v="0"/>
    <n v="0"/>
    <n v="395"/>
    <n v="0.81"/>
    <x v="0"/>
    <x v="587"/>
    <n v="0"/>
  </r>
  <r>
    <s v="U20093"/>
    <x v="28"/>
    <x v="1"/>
    <x v="1"/>
    <x v="1"/>
    <s v="Student"/>
    <n v="3265.23"/>
    <n v="1209.8399999999999"/>
    <n v="15604.66"/>
    <s v="Yes"/>
    <s v="Business"/>
    <n v="64831.27"/>
    <n v="36"/>
    <n v="2394.52"/>
    <n v="19.55"/>
    <n v="0.73"/>
    <n v="849"/>
    <n v="0.4"/>
    <x v="2"/>
    <x v="595"/>
    <n v="1"/>
  </r>
  <r>
    <s v="U20131"/>
    <x v="34"/>
    <x v="0"/>
    <x v="3"/>
    <x v="3"/>
    <s v="Driver"/>
    <n v="7417.03"/>
    <n v="3667.47"/>
    <n v="52239.61"/>
    <s v="No"/>
    <s v="None"/>
    <n v="0"/>
    <n v="0"/>
    <n v="0"/>
    <n v="0"/>
    <n v="0"/>
    <n v="315"/>
    <n v="0.59"/>
    <x v="1"/>
    <x v="556"/>
    <n v="0"/>
  </r>
  <r>
    <s v="U20148"/>
    <x v="10"/>
    <x v="0"/>
    <x v="2"/>
    <x v="1"/>
    <s v="Manager"/>
    <n v="1965.63"/>
    <n v="1165.6199999999999"/>
    <n v="10481.959999999999"/>
    <s v="Yes"/>
    <s v="Business"/>
    <n v="121609.31"/>
    <n v="180"/>
    <n v="1764.93"/>
    <n v="15.75"/>
    <n v="0.9"/>
    <n v="568"/>
    <n v="0.44"/>
    <x v="4"/>
    <x v="566"/>
    <n v="1"/>
  </r>
  <r>
    <s v="U20178"/>
    <x v="21"/>
    <x v="0"/>
    <x v="2"/>
    <x v="2"/>
    <s v="Accountant"/>
    <n v="1110.54"/>
    <n v="906.24"/>
    <n v="10390.41"/>
    <s v="No"/>
    <s v="None"/>
    <n v="0"/>
    <n v="0"/>
    <n v="0"/>
    <n v="0"/>
    <n v="0"/>
    <n v="396"/>
    <n v="0.78"/>
    <x v="4"/>
    <x v="944"/>
    <n v="0"/>
  </r>
  <r>
    <s v="U20183"/>
    <x v="28"/>
    <x v="0"/>
    <x v="1"/>
    <x v="2"/>
    <s v="Driver"/>
    <n v="6150.11"/>
    <n v="4805.92"/>
    <n v="64227.199999999997"/>
    <s v="Yes"/>
    <s v="Home"/>
    <n v="11202.98"/>
    <n v="24"/>
    <n v="490.89"/>
    <n v="4.88"/>
    <n v="0.08"/>
    <n v="584"/>
    <n v="0.87"/>
    <x v="4"/>
    <x v="497"/>
    <n v="0"/>
  </r>
  <r>
    <s v="U20198"/>
    <x v="48"/>
    <x v="1"/>
    <x v="3"/>
    <x v="1"/>
    <s v="Teacher"/>
    <n v="5225.28"/>
    <n v="2241.62"/>
    <n v="11380.2"/>
    <s v="No"/>
    <s v="None"/>
    <n v="0"/>
    <n v="0"/>
    <n v="0"/>
    <n v="0"/>
    <n v="0"/>
    <n v="478"/>
    <n v="0.18"/>
    <x v="2"/>
    <x v="945"/>
    <n v="0"/>
  </r>
  <r>
    <s v="U20213"/>
    <x v="40"/>
    <x v="0"/>
    <x v="4"/>
    <x v="1"/>
    <s v="Salesperson"/>
    <n v="5254.25"/>
    <n v="4614.22"/>
    <n v="45067.34"/>
    <s v="No"/>
    <s v="None"/>
    <n v="0"/>
    <n v="0"/>
    <n v="0"/>
    <n v="0"/>
    <n v="0"/>
    <n v="472"/>
    <n v="0.71"/>
    <x v="2"/>
    <x v="82"/>
    <n v="0"/>
  </r>
  <r>
    <s v="U20239"/>
    <x v="36"/>
    <x v="1"/>
    <x v="2"/>
    <x v="1"/>
    <s v="Accountant"/>
    <n v="3300.35"/>
    <n v="2887.01"/>
    <n v="30893.3"/>
    <s v="No"/>
    <s v="None"/>
    <n v="0"/>
    <n v="0"/>
    <n v="0"/>
    <n v="0"/>
    <n v="0"/>
    <n v="415"/>
    <n v="0.78"/>
    <x v="4"/>
    <x v="882"/>
    <n v="0"/>
  </r>
  <r>
    <s v="U20241"/>
    <x v="28"/>
    <x v="1"/>
    <x v="2"/>
    <x v="1"/>
    <s v="Driver"/>
    <n v="3868.02"/>
    <n v="2915.71"/>
    <n v="25002.23"/>
    <s v="No"/>
    <s v="None"/>
    <n v="0"/>
    <n v="0"/>
    <n v="0"/>
    <n v="0"/>
    <n v="0"/>
    <n v="753"/>
    <n v="0.54"/>
    <x v="4"/>
    <x v="652"/>
    <n v="0"/>
  </r>
  <r>
    <s v="U20275"/>
    <x v="28"/>
    <x v="0"/>
    <x v="2"/>
    <x v="2"/>
    <s v="Accountant"/>
    <n v="3762.64"/>
    <n v="1957.19"/>
    <n v="25038.14"/>
    <s v="Yes"/>
    <s v="Education"/>
    <n v="2899.16"/>
    <n v="12"/>
    <n v="264.33"/>
    <n v="16.940000000000001"/>
    <n v="7.0000000000000007E-2"/>
    <n v="508"/>
    <n v="0.55000000000000004"/>
    <x v="3"/>
    <x v="946"/>
    <n v="0"/>
  </r>
  <r>
    <s v="U20276"/>
    <x v="25"/>
    <x v="1"/>
    <x v="3"/>
    <x v="1"/>
    <s v="Accountant"/>
    <n v="4686.51"/>
    <n v="2451.1799999999998"/>
    <n v="8918.4699999999993"/>
    <s v="Yes"/>
    <s v="Business"/>
    <n v="254032.9"/>
    <n v="300"/>
    <n v="2079.89"/>
    <n v="8.6999999999999993"/>
    <n v="0.44"/>
    <n v="828"/>
    <n v="0.16"/>
    <x v="0"/>
    <x v="947"/>
    <n v="1"/>
  </r>
  <r>
    <s v="U20301"/>
    <x v="4"/>
    <x v="1"/>
    <x v="3"/>
    <x v="0"/>
    <s v="Unemployed"/>
    <n v="2453.25"/>
    <n v="1958.84"/>
    <n v="28648.09"/>
    <s v="Yes"/>
    <s v="Education"/>
    <n v="227055.67"/>
    <n v="120"/>
    <n v="2200.86"/>
    <n v="3.08"/>
    <n v="0.9"/>
    <n v="638"/>
    <n v="0.97"/>
    <x v="4"/>
    <x v="948"/>
    <n v="1"/>
  </r>
  <r>
    <s v="U20318"/>
    <x v="2"/>
    <x v="1"/>
    <x v="3"/>
    <x v="3"/>
    <s v="Teacher"/>
    <n v="8386.81"/>
    <n v="6076.51"/>
    <n v="79355.5"/>
    <s v="Yes"/>
    <s v="Car"/>
    <n v="334087.99"/>
    <n v="360"/>
    <n v="2113.86"/>
    <n v="6.51"/>
    <n v="0.25"/>
    <n v="738"/>
    <n v="0.79"/>
    <x v="2"/>
    <x v="949"/>
    <n v="0"/>
  </r>
  <r>
    <s v="U20320"/>
    <x v="18"/>
    <x v="0"/>
    <x v="1"/>
    <x v="0"/>
    <s v="Student"/>
    <n v="3039.44"/>
    <n v="1867.79"/>
    <n v="6826.87"/>
    <s v="No"/>
    <s v="None"/>
    <n v="0"/>
    <n v="0"/>
    <n v="0"/>
    <n v="0"/>
    <n v="0"/>
    <n v="353"/>
    <n v="0.19"/>
    <x v="3"/>
    <x v="703"/>
    <n v="0"/>
  </r>
  <r>
    <s v="U20333"/>
    <x v="15"/>
    <x v="0"/>
    <x v="3"/>
    <x v="2"/>
    <s v="Unemployed"/>
    <n v="7260.03"/>
    <n v="3110.6"/>
    <n v="72112.44"/>
    <s v="No"/>
    <s v="None"/>
    <n v="0"/>
    <n v="0"/>
    <n v="0"/>
    <n v="0"/>
    <n v="0"/>
    <n v="525"/>
    <n v="0.83"/>
    <x v="4"/>
    <x v="817"/>
    <n v="0"/>
  </r>
  <r>
    <s v="U20344"/>
    <x v="2"/>
    <x v="1"/>
    <x v="2"/>
    <x v="2"/>
    <s v="Manager"/>
    <n v="2699.94"/>
    <n v="2394.9299999999998"/>
    <n v="28890.09"/>
    <s v="No"/>
    <s v="None"/>
    <n v="0"/>
    <n v="0"/>
    <n v="0"/>
    <n v="0"/>
    <n v="0"/>
    <n v="546"/>
    <n v="0.89"/>
    <x v="0"/>
    <x v="950"/>
    <n v="0"/>
  </r>
  <r>
    <s v="U20366"/>
    <x v="7"/>
    <x v="0"/>
    <x v="3"/>
    <x v="1"/>
    <s v="Student"/>
    <n v="6919.33"/>
    <n v="2280.2199999999998"/>
    <n v="23566.32"/>
    <s v="Yes"/>
    <s v="Car"/>
    <n v="334408.46000000002"/>
    <n v="360"/>
    <n v="6593.72"/>
    <n v="23.64"/>
    <n v="0.95"/>
    <n v="822"/>
    <n v="0.28000000000000003"/>
    <x v="0"/>
    <x v="517"/>
    <n v="1"/>
  </r>
  <r>
    <s v="U20373"/>
    <x v="50"/>
    <x v="1"/>
    <x v="0"/>
    <x v="0"/>
    <s v="Unemployed"/>
    <n v="3871.18"/>
    <n v="2771.8"/>
    <n v="45355.38"/>
    <s v="Yes"/>
    <s v="Car"/>
    <n v="109405.6"/>
    <n v="240"/>
    <n v="1756.97"/>
    <n v="18.809999999999999"/>
    <n v="0.45"/>
    <n v="776"/>
    <n v="0.98"/>
    <x v="3"/>
    <x v="951"/>
    <n v="1"/>
  </r>
  <r>
    <s v="U20396"/>
    <x v="34"/>
    <x v="1"/>
    <x v="2"/>
    <x v="2"/>
    <s v="Student"/>
    <n v="4570.93"/>
    <n v="4046.53"/>
    <n v="14257.01"/>
    <s v="No"/>
    <s v="None"/>
    <n v="0"/>
    <n v="0"/>
    <n v="0"/>
    <n v="0"/>
    <n v="0"/>
    <n v="714"/>
    <n v="0.26"/>
    <x v="4"/>
    <x v="397"/>
    <n v="0"/>
  </r>
  <r>
    <s v="U20405"/>
    <x v="42"/>
    <x v="0"/>
    <x v="3"/>
    <x v="1"/>
    <s v="Accountant"/>
    <n v="847.95"/>
    <n v="337.7"/>
    <n v="7606.33"/>
    <s v="No"/>
    <s v="None"/>
    <n v="0"/>
    <n v="0"/>
    <n v="0"/>
    <n v="0"/>
    <n v="0"/>
    <n v="500"/>
    <n v="0.75"/>
    <x v="2"/>
    <x v="659"/>
    <n v="0"/>
  </r>
  <r>
    <s v="U20431"/>
    <x v="23"/>
    <x v="2"/>
    <x v="3"/>
    <x v="1"/>
    <s v="Salesperson"/>
    <n v="1241.33"/>
    <n v="703.94"/>
    <n v="13333.35"/>
    <s v="No"/>
    <s v="None"/>
    <n v="0"/>
    <n v="0"/>
    <n v="0"/>
    <n v="0"/>
    <n v="0"/>
    <n v="585"/>
    <n v="0.9"/>
    <x v="4"/>
    <x v="498"/>
    <n v="0"/>
  </r>
  <r>
    <s v="U20455"/>
    <x v="19"/>
    <x v="0"/>
    <x v="0"/>
    <x v="2"/>
    <s v="Driver"/>
    <n v="2968.07"/>
    <n v="2450.0100000000002"/>
    <n v="27116.49"/>
    <s v="No"/>
    <s v="None"/>
    <n v="0"/>
    <n v="0"/>
    <n v="0"/>
    <n v="0"/>
    <n v="0"/>
    <n v="788"/>
    <n v="0.76"/>
    <x v="1"/>
    <x v="95"/>
    <n v="0"/>
  </r>
  <r>
    <s v="U20462"/>
    <x v="24"/>
    <x v="1"/>
    <x v="2"/>
    <x v="2"/>
    <s v="Doctor"/>
    <n v="4060.09"/>
    <n v="1872.62"/>
    <n v="27312.51"/>
    <s v="No"/>
    <s v="None"/>
    <n v="0"/>
    <n v="0"/>
    <n v="0"/>
    <n v="0"/>
    <n v="0"/>
    <n v="689"/>
    <n v="0.56000000000000005"/>
    <x v="0"/>
    <x v="952"/>
    <n v="0"/>
  </r>
  <r>
    <s v="U20466"/>
    <x v="41"/>
    <x v="1"/>
    <x v="4"/>
    <x v="1"/>
    <s v="Salesperson"/>
    <n v="1204.24"/>
    <n v="464.19"/>
    <n v="8385.9500000000007"/>
    <s v="No"/>
    <s v="None"/>
    <n v="0"/>
    <n v="0"/>
    <n v="0"/>
    <n v="0"/>
    <n v="0"/>
    <n v="816"/>
    <n v="0.57999999999999996"/>
    <x v="1"/>
    <x v="393"/>
    <n v="0"/>
  </r>
  <r>
    <s v="U20475"/>
    <x v="3"/>
    <x v="0"/>
    <x v="3"/>
    <x v="1"/>
    <s v="Student"/>
    <n v="1276.8800000000001"/>
    <n v="401.67"/>
    <n v="7922.39"/>
    <s v="No"/>
    <s v="None"/>
    <n v="0"/>
    <n v="0"/>
    <n v="0"/>
    <n v="0"/>
    <n v="0"/>
    <n v="309"/>
    <n v="0.52"/>
    <x v="4"/>
    <x v="771"/>
    <n v="0"/>
  </r>
  <r>
    <s v="U20488"/>
    <x v="50"/>
    <x v="1"/>
    <x v="3"/>
    <x v="0"/>
    <s v="Driver"/>
    <n v="3792.97"/>
    <n v="3378.27"/>
    <n v="16956.52"/>
    <s v="No"/>
    <s v="None"/>
    <n v="0"/>
    <n v="0"/>
    <n v="0"/>
    <n v="0"/>
    <n v="0"/>
    <n v="632"/>
    <n v="0.37"/>
    <x v="4"/>
    <x v="953"/>
    <n v="0"/>
  </r>
  <r>
    <s v="U20490"/>
    <x v="2"/>
    <x v="1"/>
    <x v="2"/>
    <x v="1"/>
    <s v="Unemployed"/>
    <n v="3792.4"/>
    <n v="1181.05"/>
    <n v="35800.36"/>
    <s v="No"/>
    <s v="None"/>
    <n v="0"/>
    <n v="0"/>
    <n v="0"/>
    <n v="0"/>
    <n v="0"/>
    <n v="358"/>
    <n v="0.79"/>
    <x v="4"/>
    <x v="954"/>
    <n v="0"/>
  </r>
  <r>
    <s v="U20496"/>
    <x v="8"/>
    <x v="1"/>
    <x v="3"/>
    <x v="1"/>
    <s v="Salesperson"/>
    <n v="2056.34"/>
    <n v="1836.5"/>
    <n v="6691.73"/>
    <s v="No"/>
    <s v="None"/>
    <n v="0"/>
    <n v="0"/>
    <n v="0"/>
    <n v="0"/>
    <n v="0"/>
    <n v="546"/>
    <n v="0.27"/>
    <x v="1"/>
    <x v="955"/>
    <n v="0"/>
  </r>
  <r>
    <s v="U20512"/>
    <x v="46"/>
    <x v="0"/>
    <x v="4"/>
    <x v="1"/>
    <s v="Driver"/>
    <n v="3730.7"/>
    <n v="3194.18"/>
    <n v="8123.21"/>
    <s v="No"/>
    <s v="None"/>
    <n v="0"/>
    <n v="0"/>
    <n v="0"/>
    <n v="0"/>
    <n v="0"/>
    <n v="373"/>
    <n v="0.18"/>
    <x v="3"/>
    <x v="956"/>
    <n v="0"/>
  </r>
  <r>
    <s v="U20534"/>
    <x v="28"/>
    <x v="0"/>
    <x v="2"/>
    <x v="1"/>
    <s v="Student"/>
    <n v="4685.82"/>
    <n v="3742.81"/>
    <n v="46392.05"/>
    <s v="No"/>
    <s v="None"/>
    <n v="0"/>
    <n v="0"/>
    <n v="0"/>
    <n v="0"/>
    <n v="0"/>
    <n v="649"/>
    <n v="0.83"/>
    <x v="0"/>
    <x v="909"/>
    <n v="0"/>
  </r>
  <r>
    <s v="U20542"/>
    <x v="18"/>
    <x v="0"/>
    <x v="2"/>
    <x v="1"/>
    <s v="Student"/>
    <n v="5591.48"/>
    <n v="4819.5600000000004"/>
    <n v="30563.06"/>
    <s v="No"/>
    <s v="None"/>
    <n v="0"/>
    <n v="0"/>
    <n v="0"/>
    <n v="0"/>
    <n v="0"/>
    <n v="557"/>
    <n v="0.46"/>
    <x v="4"/>
    <x v="532"/>
    <n v="0"/>
  </r>
  <r>
    <s v="U20543"/>
    <x v="0"/>
    <x v="0"/>
    <x v="3"/>
    <x v="1"/>
    <s v="Doctor"/>
    <n v="4296.26"/>
    <n v="1331.89"/>
    <n v="9401.8799999999992"/>
    <s v="Yes"/>
    <s v="Home"/>
    <n v="125697.82"/>
    <n v="300"/>
    <n v="2833.85"/>
    <n v="27.02"/>
    <n v="0.66"/>
    <n v="392"/>
    <n v="0.18"/>
    <x v="1"/>
    <x v="957"/>
    <n v="1"/>
  </r>
  <r>
    <s v="U20566"/>
    <x v="19"/>
    <x v="0"/>
    <x v="2"/>
    <x v="1"/>
    <s v="Salesperson"/>
    <n v="4254.7299999999996"/>
    <n v="3571.11"/>
    <n v="12473.46"/>
    <s v="Yes"/>
    <s v="Car"/>
    <n v="126474.09"/>
    <n v="180"/>
    <n v="2355.9899999999998"/>
    <n v="21.43"/>
    <n v="0.55000000000000004"/>
    <n v="375"/>
    <n v="0.24"/>
    <x v="0"/>
    <x v="137"/>
    <n v="1"/>
  </r>
  <r>
    <s v="U20567"/>
    <x v="44"/>
    <x v="1"/>
    <x v="2"/>
    <x v="2"/>
    <s v="Driver"/>
    <n v="5806.99"/>
    <n v="4207.46"/>
    <n v="67653.73"/>
    <s v="Yes"/>
    <s v="Education"/>
    <n v="426456.63"/>
    <n v="300"/>
    <n v="4732.82"/>
    <n v="12.76"/>
    <n v="0.82"/>
    <n v="714"/>
    <n v="0.97"/>
    <x v="2"/>
    <x v="958"/>
    <n v="1"/>
  </r>
  <r>
    <s v="U20569"/>
    <x v="18"/>
    <x v="1"/>
    <x v="2"/>
    <x v="1"/>
    <s v="Accountant"/>
    <n v="3668.66"/>
    <n v="3049.13"/>
    <n v="11574.28"/>
    <s v="No"/>
    <s v="None"/>
    <n v="0"/>
    <n v="0"/>
    <n v="0"/>
    <n v="0"/>
    <n v="0"/>
    <n v="748"/>
    <n v="0.26"/>
    <x v="4"/>
    <x v="959"/>
    <n v="0"/>
  </r>
  <r>
    <s v="U20585"/>
    <x v="35"/>
    <x v="0"/>
    <x v="0"/>
    <x v="3"/>
    <s v="Driver"/>
    <n v="7760.58"/>
    <n v="4019.13"/>
    <n v="77239.759999999995"/>
    <s v="No"/>
    <s v="None"/>
    <n v="0"/>
    <n v="0"/>
    <n v="0"/>
    <n v="0"/>
    <n v="0"/>
    <n v="592"/>
    <n v="0.83"/>
    <x v="4"/>
    <x v="960"/>
    <n v="0"/>
  </r>
  <r>
    <s v="U20593"/>
    <x v="35"/>
    <x v="1"/>
    <x v="3"/>
    <x v="2"/>
    <s v="Accountant"/>
    <n v="3488.01"/>
    <n v="2298.8200000000002"/>
    <n v="25046.03"/>
    <s v="No"/>
    <s v="None"/>
    <n v="0"/>
    <n v="0"/>
    <n v="0"/>
    <n v="0"/>
    <n v="0"/>
    <n v="768"/>
    <n v="0.6"/>
    <x v="4"/>
    <x v="961"/>
    <n v="0"/>
  </r>
  <r>
    <s v="U20598"/>
    <x v="28"/>
    <x v="1"/>
    <x v="2"/>
    <x v="1"/>
    <s v="Engineer"/>
    <n v="5179.2"/>
    <n v="2625.08"/>
    <n v="6919.3"/>
    <s v="No"/>
    <s v="None"/>
    <n v="0"/>
    <n v="0"/>
    <n v="0"/>
    <n v="0"/>
    <n v="0"/>
    <n v="767"/>
    <n v="0.11"/>
    <x v="2"/>
    <x v="694"/>
    <n v="0"/>
  </r>
  <r>
    <s v="U20610"/>
    <x v="49"/>
    <x v="2"/>
    <x v="2"/>
    <x v="2"/>
    <s v="Manager"/>
    <n v="4024.59"/>
    <n v="3121.05"/>
    <n v="27312.07"/>
    <s v="No"/>
    <s v="None"/>
    <n v="0"/>
    <n v="0"/>
    <n v="0"/>
    <n v="0"/>
    <n v="0"/>
    <n v="419"/>
    <n v="0.56999999999999995"/>
    <x v="2"/>
    <x v="962"/>
    <n v="0"/>
  </r>
  <r>
    <s v="U20628"/>
    <x v="39"/>
    <x v="1"/>
    <x v="0"/>
    <x v="2"/>
    <s v="Doctor"/>
    <n v="4481.97"/>
    <n v="3713.5"/>
    <n v="30883.71"/>
    <s v="No"/>
    <s v="None"/>
    <n v="0"/>
    <n v="0"/>
    <n v="0"/>
    <n v="0"/>
    <n v="0"/>
    <n v="559"/>
    <n v="0.56999999999999995"/>
    <x v="3"/>
    <x v="359"/>
    <n v="0"/>
  </r>
  <r>
    <s v="U20650"/>
    <x v="23"/>
    <x v="0"/>
    <x v="0"/>
    <x v="2"/>
    <s v="Engineer"/>
    <n v="2832.19"/>
    <n v="2445.1999999999998"/>
    <n v="8854.2099999999991"/>
    <s v="No"/>
    <s v="None"/>
    <n v="0"/>
    <n v="0"/>
    <n v="0"/>
    <n v="0"/>
    <n v="0"/>
    <n v="656"/>
    <n v="0.26"/>
    <x v="4"/>
    <x v="603"/>
    <n v="0"/>
  </r>
  <r>
    <s v="U20651"/>
    <x v="35"/>
    <x v="1"/>
    <x v="3"/>
    <x v="3"/>
    <s v="Teacher"/>
    <n v="7767.34"/>
    <n v="4670.66"/>
    <n v="38467.08"/>
    <s v="Yes"/>
    <s v="Home"/>
    <n v="375441.29"/>
    <n v="120"/>
    <n v="7297.98"/>
    <n v="20.170000000000002"/>
    <n v="0.94"/>
    <n v="584"/>
    <n v="0.41"/>
    <x v="0"/>
    <x v="963"/>
    <n v="1"/>
  </r>
  <r>
    <s v="U20665"/>
    <x v="39"/>
    <x v="2"/>
    <x v="2"/>
    <x v="1"/>
    <s v="Student"/>
    <n v="6373.08"/>
    <n v="4582.4399999999996"/>
    <n v="55398.97"/>
    <s v="Yes"/>
    <s v="Home"/>
    <n v="434509.55"/>
    <n v="360"/>
    <n v="10126.61"/>
    <n v="27.96"/>
    <n v="1.59"/>
    <n v="401"/>
    <n v="0.72"/>
    <x v="3"/>
    <x v="619"/>
    <n v="1"/>
  </r>
  <r>
    <s v="U20676"/>
    <x v="5"/>
    <x v="1"/>
    <x v="3"/>
    <x v="1"/>
    <s v="Doctor"/>
    <n v="6428.41"/>
    <n v="3041.23"/>
    <n v="64731.66"/>
    <s v="No"/>
    <s v="None"/>
    <n v="0"/>
    <n v="0"/>
    <n v="0"/>
    <n v="0"/>
    <n v="0"/>
    <n v="599"/>
    <n v="0.84"/>
    <x v="4"/>
    <x v="964"/>
    <n v="0"/>
  </r>
  <r>
    <s v="U20695"/>
    <x v="46"/>
    <x v="1"/>
    <x v="4"/>
    <x v="1"/>
    <s v="Manager"/>
    <n v="3882.13"/>
    <n v="3205.91"/>
    <n v="37230.68"/>
    <s v="No"/>
    <s v="None"/>
    <n v="0"/>
    <n v="0"/>
    <n v="0"/>
    <n v="0"/>
    <n v="0"/>
    <n v="484"/>
    <n v="0.8"/>
    <x v="4"/>
    <x v="861"/>
    <n v="0"/>
  </r>
  <r>
    <s v="U20710"/>
    <x v="19"/>
    <x v="1"/>
    <x v="3"/>
    <x v="1"/>
    <s v="Manager"/>
    <n v="4823.53"/>
    <n v="4283.37"/>
    <n v="46650.66"/>
    <s v="No"/>
    <s v="None"/>
    <n v="0"/>
    <n v="0"/>
    <n v="0"/>
    <n v="0"/>
    <n v="0"/>
    <n v="660"/>
    <n v="0.81"/>
    <x v="4"/>
    <x v="500"/>
    <n v="0"/>
  </r>
  <r>
    <s v="U20724"/>
    <x v="7"/>
    <x v="1"/>
    <x v="0"/>
    <x v="1"/>
    <s v="Engineer"/>
    <n v="2980.29"/>
    <n v="2527.66"/>
    <n v="35103.440000000002"/>
    <s v="No"/>
    <s v="None"/>
    <n v="0"/>
    <n v="0"/>
    <n v="0"/>
    <n v="0"/>
    <n v="0"/>
    <n v="719"/>
    <n v="0.98"/>
    <x v="4"/>
    <x v="691"/>
    <n v="0"/>
  </r>
  <r>
    <s v="U20741"/>
    <x v="19"/>
    <x v="2"/>
    <x v="2"/>
    <x v="1"/>
    <s v="Accountant"/>
    <n v="2366.48"/>
    <n v="1901.37"/>
    <n v="12301.05"/>
    <s v="Yes"/>
    <s v="Education"/>
    <n v="472498.48"/>
    <n v="240"/>
    <n v="2779.31"/>
    <n v="3.66"/>
    <n v="1.17"/>
    <n v="526"/>
    <n v="0.43"/>
    <x v="4"/>
    <x v="857"/>
    <n v="1"/>
  </r>
  <r>
    <s v="U20748"/>
    <x v="2"/>
    <x v="0"/>
    <x v="3"/>
    <x v="3"/>
    <s v="Manager"/>
    <n v="4017.51"/>
    <n v="2584.3000000000002"/>
    <n v="41276.19"/>
    <s v="Yes"/>
    <s v="Car"/>
    <n v="494244.67"/>
    <n v="240"/>
    <n v="5981.61"/>
    <n v="13.54"/>
    <n v="1.49"/>
    <n v="641"/>
    <n v="0.86"/>
    <x v="1"/>
    <x v="750"/>
    <n v="1"/>
  </r>
  <r>
    <s v="U20753"/>
    <x v="35"/>
    <x v="1"/>
    <x v="4"/>
    <x v="0"/>
    <s v="Unemployed"/>
    <n v="2418.1"/>
    <n v="1943.27"/>
    <n v="9515.92"/>
    <s v="Yes"/>
    <s v="Home"/>
    <n v="218695.88"/>
    <n v="300"/>
    <n v="3924.94"/>
    <n v="21.43"/>
    <n v="1.62"/>
    <n v="501"/>
    <n v="0.33"/>
    <x v="4"/>
    <x v="829"/>
    <n v="1"/>
  </r>
  <r>
    <s v="U20758"/>
    <x v="42"/>
    <x v="1"/>
    <x v="2"/>
    <x v="1"/>
    <s v="Manager"/>
    <n v="5136.2299999999996"/>
    <n v="3300.95"/>
    <n v="41262.86"/>
    <s v="No"/>
    <s v="None"/>
    <n v="0"/>
    <n v="0"/>
    <n v="0"/>
    <n v="0"/>
    <n v="0"/>
    <n v="556"/>
    <n v="0.67"/>
    <x v="4"/>
    <x v="773"/>
    <n v="0"/>
  </r>
  <r>
    <s v="U20765"/>
    <x v="21"/>
    <x v="0"/>
    <x v="2"/>
    <x v="1"/>
    <s v="Unemployed"/>
    <n v="8038.19"/>
    <n v="6312.6"/>
    <n v="25818.92"/>
    <s v="No"/>
    <s v="None"/>
    <n v="0"/>
    <n v="0"/>
    <n v="0"/>
    <n v="0"/>
    <n v="0"/>
    <n v="799"/>
    <n v="0.27"/>
    <x v="1"/>
    <x v="965"/>
    <n v="0"/>
  </r>
  <r>
    <s v="U20769"/>
    <x v="28"/>
    <x v="1"/>
    <x v="3"/>
    <x v="3"/>
    <s v="Doctor"/>
    <n v="5135.8100000000004"/>
    <n v="1645.92"/>
    <n v="47785.55"/>
    <s v="No"/>
    <s v="None"/>
    <n v="0"/>
    <n v="0"/>
    <n v="0"/>
    <n v="0"/>
    <n v="0"/>
    <n v="433"/>
    <n v="0.78"/>
    <x v="0"/>
    <x v="494"/>
    <n v="0"/>
  </r>
  <r>
    <s v="U20776"/>
    <x v="27"/>
    <x v="1"/>
    <x v="3"/>
    <x v="1"/>
    <s v="Manager"/>
    <n v="1747.67"/>
    <n v="1560.73"/>
    <n v="7066.4"/>
    <s v="No"/>
    <s v="None"/>
    <n v="0"/>
    <n v="0"/>
    <n v="0"/>
    <n v="0"/>
    <n v="0"/>
    <n v="713"/>
    <n v="0.34"/>
    <x v="2"/>
    <x v="966"/>
    <n v="0"/>
  </r>
  <r>
    <s v="U20795"/>
    <x v="0"/>
    <x v="0"/>
    <x v="3"/>
    <x v="1"/>
    <s v="Salesperson"/>
    <n v="8423.0300000000007"/>
    <n v="3740.06"/>
    <n v="41515.24"/>
    <s v="Yes"/>
    <s v="Car"/>
    <n v="472502.12"/>
    <n v="36"/>
    <n v="15563.26"/>
    <n v="11.42"/>
    <n v="1.85"/>
    <n v="325"/>
    <n v="0.41"/>
    <x v="1"/>
    <x v="7"/>
    <n v="1"/>
  </r>
  <r>
    <s v="U20798"/>
    <x v="18"/>
    <x v="0"/>
    <x v="3"/>
    <x v="1"/>
    <s v="Teacher"/>
    <n v="4742.87"/>
    <n v="3395.26"/>
    <n v="51833.25"/>
    <s v="Yes"/>
    <s v="Business"/>
    <n v="375049.14"/>
    <n v="300"/>
    <n v="2810.73"/>
    <n v="7.66"/>
    <n v="0.59"/>
    <n v="538"/>
    <n v="0.91"/>
    <x v="2"/>
    <x v="967"/>
    <n v="1"/>
  </r>
  <r>
    <s v="U20807"/>
    <x v="24"/>
    <x v="0"/>
    <x v="3"/>
    <x v="1"/>
    <s v="Accountant"/>
    <n v="6584.21"/>
    <n v="3190.01"/>
    <n v="65953.86"/>
    <s v="No"/>
    <s v="None"/>
    <n v="0"/>
    <n v="0"/>
    <n v="0"/>
    <n v="0"/>
    <n v="0"/>
    <n v="317"/>
    <n v="0.83"/>
    <x v="4"/>
    <x v="968"/>
    <n v="0"/>
  </r>
  <r>
    <s v="U20811"/>
    <x v="24"/>
    <x v="1"/>
    <x v="4"/>
    <x v="2"/>
    <s v="Engineer"/>
    <n v="4674.5600000000004"/>
    <n v="1938.46"/>
    <n v="31885.54"/>
    <s v="No"/>
    <s v="None"/>
    <n v="0"/>
    <n v="0"/>
    <n v="0"/>
    <n v="0"/>
    <n v="0"/>
    <n v="394"/>
    <n v="0.56999999999999995"/>
    <x v="3"/>
    <x v="969"/>
    <n v="0"/>
  </r>
  <r>
    <s v="U20813"/>
    <x v="47"/>
    <x v="0"/>
    <x v="0"/>
    <x v="2"/>
    <s v="Teacher"/>
    <n v="3417.82"/>
    <n v="1891.3"/>
    <n v="13403.83"/>
    <s v="No"/>
    <s v="None"/>
    <n v="0"/>
    <n v="0"/>
    <n v="0"/>
    <n v="0"/>
    <n v="0"/>
    <n v="737"/>
    <n v="0.33"/>
    <x v="0"/>
    <x v="400"/>
    <n v="0"/>
  </r>
  <r>
    <s v="U20837"/>
    <x v="50"/>
    <x v="1"/>
    <x v="2"/>
    <x v="1"/>
    <s v="Teacher"/>
    <n v="6888.11"/>
    <n v="5056.29"/>
    <n v="23985.77"/>
    <s v="No"/>
    <s v="None"/>
    <n v="0"/>
    <n v="0"/>
    <n v="0"/>
    <n v="0"/>
    <n v="0"/>
    <n v="572"/>
    <n v="0.28999999999999998"/>
    <x v="4"/>
    <x v="169"/>
    <n v="0"/>
  </r>
  <r>
    <s v="U20858"/>
    <x v="47"/>
    <x v="1"/>
    <x v="0"/>
    <x v="2"/>
    <s v="Student"/>
    <n v="3242.53"/>
    <n v="2367.9299999999998"/>
    <n v="18047.29"/>
    <s v="No"/>
    <s v="None"/>
    <n v="0"/>
    <n v="0"/>
    <n v="0"/>
    <n v="0"/>
    <n v="0"/>
    <n v="373"/>
    <n v="0.46"/>
    <x v="0"/>
    <x v="970"/>
    <n v="0"/>
  </r>
  <r>
    <s v="U20861"/>
    <x v="8"/>
    <x v="1"/>
    <x v="2"/>
    <x v="1"/>
    <s v="Manager"/>
    <n v="4467.57"/>
    <n v="2395.5500000000002"/>
    <n v="45473.14"/>
    <s v="Yes"/>
    <s v="Car"/>
    <n v="190332.9"/>
    <n v="36"/>
    <n v="7818.45"/>
    <n v="27.47"/>
    <n v="1.75"/>
    <n v="696"/>
    <n v="0.85"/>
    <x v="0"/>
    <x v="971"/>
    <n v="1"/>
  </r>
  <r>
    <s v="U20870"/>
    <x v="12"/>
    <x v="1"/>
    <x v="3"/>
    <x v="1"/>
    <s v="Student"/>
    <n v="2108.9"/>
    <n v="1091.1199999999999"/>
    <n v="19735.03"/>
    <s v="Yes"/>
    <s v="Business"/>
    <n v="200518.74"/>
    <n v="240"/>
    <n v="3585.14"/>
    <n v="21.13"/>
    <n v="1.7"/>
    <n v="789"/>
    <n v="0.78"/>
    <x v="4"/>
    <x v="56"/>
    <n v="1"/>
  </r>
  <r>
    <s v="U20953"/>
    <x v="45"/>
    <x v="1"/>
    <x v="2"/>
    <x v="1"/>
    <s v="Doctor"/>
    <n v="5550.6"/>
    <n v="4145"/>
    <n v="23721.06"/>
    <s v="No"/>
    <s v="None"/>
    <n v="0"/>
    <n v="0"/>
    <n v="0"/>
    <n v="0"/>
    <n v="0"/>
    <n v="769"/>
    <n v="0.36"/>
    <x v="1"/>
    <x v="972"/>
    <n v="0"/>
  </r>
  <r>
    <s v="U20987"/>
    <x v="46"/>
    <x v="1"/>
    <x v="2"/>
    <x v="2"/>
    <s v="Teacher"/>
    <n v="5021.6899999999996"/>
    <n v="2958.06"/>
    <n v="26092.28"/>
    <s v="No"/>
    <s v="None"/>
    <n v="0"/>
    <n v="0"/>
    <n v="0"/>
    <n v="0"/>
    <n v="0"/>
    <n v="554"/>
    <n v="0.43"/>
    <x v="4"/>
    <x v="973"/>
    <n v="0"/>
  </r>
  <r>
    <s v="U20996"/>
    <x v="36"/>
    <x v="1"/>
    <x v="2"/>
    <x v="2"/>
    <s v="Engineer"/>
    <n v="3004.22"/>
    <n v="2569.48"/>
    <n v="32534.2"/>
    <s v="Yes"/>
    <s v="Car"/>
    <n v="79644.41"/>
    <n v="36"/>
    <n v="2998.56"/>
    <n v="20.95"/>
    <n v="1"/>
    <n v="709"/>
    <n v="0.9"/>
    <x v="4"/>
    <x v="78"/>
    <n v="1"/>
  </r>
  <r>
    <s v="U21014"/>
    <x v="48"/>
    <x v="0"/>
    <x v="0"/>
    <x v="2"/>
    <s v="Teacher"/>
    <n v="7048.28"/>
    <n v="5083.1000000000004"/>
    <n v="42654.57"/>
    <s v="No"/>
    <s v="None"/>
    <n v="0"/>
    <n v="0"/>
    <n v="0"/>
    <n v="0"/>
    <n v="0"/>
    <n v="566"/>
    <n v="0.5"/>
    <x v="0"/>
    <x v="90"/>
    <n v="0"/>
  </r>
  <r>
    <s v="U21060"/>
    <x v="30"/>
    <x v="0"/>
    <x v="3"/>
    <x v="2"/>
    <s v="Doctor"/>
    <n v="6690.15"/>
    <n v="2907.59"/>
    <n v="20732.78"/>
    <s v="Yes"/>
    <s v="Business"/>
    <n v="27725.94"/>
    <n v="180"/>
    <n v="648.74"/>
    <n v="27.61"/>
    <n v="0.1"/>
    <n v="565"/>
    <n v="0.26"/>
    <x v="3"/>
    <x v="490"/>
    <n v="0"/>
  </r>
  <r>
    <s v="U21062"/>
    <x v="50"/>
    <x v="0"/>
    <x v="2"/>
    <x v="1"/>
    <s v="Manager"/>
    <n v="3246.88"/>
    <n v="1177.93"/>
    <n v="8520.68"/>
    <s v="No"/>
    <s v="None"/>
    <n v="0"/>
    <n v="0"/>
    <n v="0"/>
    <n v="0"/>
    <n v="0"/>
    <n v="308"/>
    <n v="0.22"/>
    <x v="4"/>
    <x v="974"/>
    <n v="0"/>
  </r>
  <r>
    <s v="U21077"/>
    <x v="2"/>
    <x v="0"/>
    <x v="2"/>
    <x v="1"/>
    <s v="Unemployed"/>
    <n v="3488.08"/>
    <n v="2277.5500000000002"/>
    <n v="39740.85"/>
    <s v="Yes"/>
    <s v="Car"/>
    <n v="33072.449999999997"/>
    <n v="60"/>
    <n v="716.6"/>
    <n v="10.85"/>
    <n v="0.21"/>
    <n v="513"/>
    <n v="0.95"/>
    <x v="2"/>
    <x v="171"/>
    <n v="0"/>
  </r>
  <r>
    <s v="U21081"/>
    <x v="20"/>
    <x v="0"/>
    <x v="3"/>
    <x v="0"/>
    <s v="Manager"/>
    <n v="5958.86"/>
    <n v="2778.82"/>
    <n v="16455.439999999999"/>
    <s v="No"/>
    <s v="None"/>
    <n v="0"/>
    <n v="0"/>
    <n v="0"/>
    <n v="0"/>
    <n v="0"/>
    <n v="332"/>
    <n v="0.23"/>
    <x v="2"/>
    <x v="779"/>
    <n v="0"/>
  </r>
  <r>
    <s v="U21089"/>
    <x v="5"/>
    <x v="0"/>
    <x v="2"/>
    <x v="2"/>
    <s v="Unemployed"/>
    <n v="6630.23"/>
    <n v="3460.23"/>
    <n v="35171.300000000003"/>
    <s v="No"/>
    <s v="None"/>
    <n v="0"/>
    <n v="0"/>
    <n v="0"/>
    <n v="0"/>
    <n v="0"/>
    <n v="495"/>
    <n v="0.44"/>
    <x v="3"/>
    <x v="622"/>
    <n v="0"/>
  </r>
  <r>
    <s v="U21095"/>
    <x v="14"/>
    <x v="0"/>
    <x v="0"/>
    <x v="1"/>
    <s v="Accountant"/>
    <n v="6841.59"/>
    <n v="2214.71"/>
    <n v="14893.14"/>
    <s v="No"/>
    <s v="None"/>
    <n v="0"/>
    <n v="0"/>
    <n v="0"/>
    <n v="0"/>
    <n v="0"/>
    <n v="590"/>
    <n v="0.18"/>
    <x v="3"/>
    <x v="111"/>
    <n v="0"/>
  </r>
  <r>
    <s v="U21104"/>
    <x v="30"/>
    <x v="0"/>
    <x v="0"/>
    <x v="3"/>
    <s v="Unemployed"/>
    <n v="500"/>
    <n v="361.29"/>
    <n v="5558.17"/>
    <s v="No"/>
    <s v="None"/>
    <n v="0"/>
    <n v="0"/>
    <n v="0"/>
    <n v="0"/>
    <n v="0"/>
    <n v="846"/>
    <n v="0.93"/>
    <x v="1"/>
    <x v="975"/>
    <n v="0"/>
  </r>
  <r>
    <s v="U21115"/>
    <x v="23"/>
    <x v="1"/>
    <x v="0"/>
    <x v="2"/>
    <s v="Doctor"/>
    <n v="4898.58"/>
    <n v="1682.46"/>
    <n v="10919.46"/>
    <s v="Yes"/>
    <s v="Car"/>
    <n v="104796.62"/>
    <n v="300"/>
    <n v="2461.5700000000002"/>
    <n v="28.16"/>
    <n v="0.5"/>
    <n v="787"/>
    <n v="0.19"/>
    <x v="2"/>
    <x v="830"/>
    <n v="1"/>
  </r>
  <r>
    <s v="U21157"/>
    <x v="35"/>
    <x v="1"/>
    <x v="2"/>
    <x v="3"/>
    <s v="Doctor"/>
    <n v="1972.82"/>
    <n v="679.88"/>
    <n v="9620.4599999999991"/>
    <s v="No"/>
    <s v="None"/>
    <n v="0"/>
    <n v="0"/>
    <n v="0"/>
    <n v="0"/>
    <n v="0"/>
    <n v="465"/>
    <n v="0.41"/>
    <x v="4"/>
    <x v="327"/>
    <n v="0"/>
  </r>
  <r>
    <s v="U21160"/>
    <x v="28"/>
    <x v="0"/>
    <x v="3"/>
    <x v="2"/>
    <s v="Manager"/>
    <n v="6596.96"/>
    <n v="2005.19"/>
    <n v="14098.68"/>
    <s v="Yes"/>
    <s v="Education"/>
    <n v="267424.45"/>
    <n v="360"/>
    <n v="3170.75"/>
    <n v="14.01"/>
    <n v="0.48"/>
    <n v="303"/>
    <n v="0.18"/>
    <x v="1"/>
    <x v="951"/>
    <n v="1"/>
  </r>
  <r>
    <s v="U21171"/>
    <x v="3"/>
    <x v="1"/>
    <x v="3"/>
    <x v="2"/>
    <s v="Doctor"/>
    <n v="5946.24"/>
    <n v="4233.32"/>
    <n v="46846.68"/>
    <s v="Yes"/>
    <s v="Car"/>
    <n v="7305.66"/>
    <n v="180"/>
    <n v="98.92"/>
    <n v="14.33"/>
    <n v="0.02"/>
    <n v="554"/>
    <n v="0.66"/>
    <x v="0"/>
    <x v="557"/>
    <n v="0"/>
  </r>
  <r>
    <s v="U21181"/>
    <x v="35"/>
    <x v="1"/>
    <x v="3"/>
    <x v="1"/>
    <s v="Doctor"/>
    <n v="2705.89"/>
    <n v="2110.27"/>
    <n v="12337.83"/>
    <s v="No"/>
    <s v="None"/>
    <n v="0"/>
    <n v="0"/>
    <n v="0"/>
    <n v="0"/>
    <n v="0"/>
    <n v="453"/>
    <n v="0.38"/>
    <x v="1"/>
    <x v="976"/>
    <n v="0"/>
  </r>
  <r>
    <s v="U21184"/>
    <x v="10"/>
    <x v="0"/>
    <x v="3"/>
    <x v="2"/>
    <s v="Manager"/>
    <n v="5556.07"/>
    <n v="3057.11"/>
    <n v="16867.03"/>
    <s v="No"/>
    <s v="None"/>
    <n v="0"/>
    <n v="0"/>
    <n v="0"/>
    <n v="0"/>
    <n v="0"/>
    <n v="459"/>
    <n v="0.25"/>
    <x v="2"/>
    <x v="41"/>
    <n v="0"/>
  </r>
  <r>
    <s v="U21214"/>
    <x v="32"/>
    <x v="0"/>
    <x v="3"/>
    <x v="0"/>
    <s v="Student"/>
    <n v="5913.01"/>
    <n v="3688.68"/>
    <n v="53573.43"/>
    <s v="Yes"/>
    <s v="Education"/>
    <n v="357528.79"/>
    <n v="180"/>
    <n v="4235.8999999999996"/>
    <n v="11.76"/>
    <n v="0.72"/>
    <n v="333"/>
    <n v="0.76"/>
    <x v="4"/>
    <x v="446"/>
    <n v="1"/>
  </r>
  <r>
    <s v="U21220"/>
    <x v="28"/>
    <x v="1"/>
    <x v="2"/>
    <x v="2"/>
    <s v="Driver"/>
    <n v="7735.82"/>
    <n v="3255.78"/>
    <n v="34756.6"/>
    <s v="No"/>
    <s v="None"/>
    <n v="0"/>
    <n v="0"/>
    <n v="0"/>
    <n v="0"/>
    <n v="0"/>
    <n v="478"/>
    <n v="0.37"/>
    <x v="3"/>
    <x v="172"/>
    <n v="0"/>
  </r>
  <r>
    <s v="U21249"/>
    <x v="41"/>
    <x v="0"/>
    <x v="3"/>
    <x v="1"/>
    <s v="Teacher"/>
    <n v="3312.22"/>
    <n v="1115.25"/>
    <n v="21605.24"/>
    <s v="No"/>
    <s v="None"/>
    <n v="0"/>
    <n v="0"/>
    <n v="0"/>
    <n v="0"/>
    <n v="0"/>
    <n v="534"/>
    <n v="0.54"/>
    <x v="2"/>
    <x v="549"/>
    <n v="0"/>
  </r>
  <r>
    <s v="U21258"/>
    <x v="4"/>
    <x v="1"/>
    <x v="3"/>
    <x v="2"/>
    <s v="Accountant"/>
    <n v="3451.2"/>
    <n v="1939.59"/>
    <n v="8263.5300000000007"/>
    <s v="No"/>
    <s v="None"/>
    <n v="0"/>
    <n v="0"/>
    <n v="0"/>
    <n v="0"/>
    <n v="0"/>
    <n v="311"/>
    <n v="0.2"/>
    <x v="0"/>
    <x v="342"/>
    <n v="0"/>
  </r>
  <r>
    <s v="U21272"/>
    <x v="2"/>
    <x v="0"/>
    <x v="2"/>
    <x v="2"/>
    <s v="Teacher"/>
    <n v="2483.92"/>
    <n v="1880.87"/>
    <n v="29092.87"/>
    <s v="No"/>
    <s v="None"/>
    <n v="0"/>
    <n v="0"/>
    <n v="0"/>
    <n v="0"/>
    <n v="0"/>
    <n v="680"/>
    <n v="0.98"/>
    <x v="0"/>
    <x v="977"/>
    <n v="0"/>
  </r>
  <r>
    <s v="U21279"/>
    <x v="18"/>
    <x v="0"/>
    <x v="2"/>
    <x v="0"/>
    <s v="Unemployed"/>
    <n v="4902.82"/>
    <n v="4301.21"/>
    <n v="53231.24"/>
    <s v="No"/>
    <s v="None"/>
    <n v="0"/>
    <n v="0"/>
    <n v="0"/>
    <n v="0"/>
    <n v="0"/>
    <n v="340"/>
    <n v="0.9"/>
    <x v="0"/>
    <x v="978"/>
    <n v="0"/>
  </r>
  <r>
    <s v="U21312"/>
    <x v="12"/>
    <x v="1"/>
    <x v="0"/>
    <x v="1"/>
    <s v="Teacher"/>
    <n v="4804.2"/>
    <n v="2807.63"/>
    <n v="25702.36"/>
    <s v="No"/>
    <s v="None"/>
    <n v="0"/>
    <n v="0"/>
    <n v="0"/>
    <n v="0"/>
    <n v="0"/>
    <n v="567"/>
    <n v="0.45"/>
    <x v="0"/>
    <x v="979"/>
    <n v="0"/>
  </r>
  <r>
    <s v="U21316"/>
    <x v="50"/>
    <x v="0"/>
    <x v="3"/>
    <x v="1"/>
    <s v="Manager"/>
    <n v="4301.93"/>
    <n v="2574.9"/>
    <n v="31087.25"/>
    <s v="No"/>
    <s v="None"/>
    <n v="0"/>
    <n v="0"/>
    <n v="0"/>
    <n v="0"/>
    <n v="0"/>
    <n v="514"/>
    <n v="0.6"/>
    <x v="4"/>
    <x v="980"/>
    <n v="0"/>
  </r>
  <r>
    <s v="U21320"/>
    <x v="15"/>
    <x v="1"/>
    <x v="0"/>
    <x v="1"/>
    <s v="Unemployed"/>
    <n v="4141.0600000000004"/>
    <n v="3061.92"/>
    <n v="43402.02"/>
    <s v="No"/>
    <s v="None"/>
    <n v="0"/>
    <n v="0"/>
    <n v="0"/>
    <n v="0"/>
    <n v="0"/>
    <n v="762"/>
    <n v="0.87"/>
    <x v="1"/>
    <x v="981"/>
    <n v="0"/>
  </r>
  <r>
    <s v="U21326"/>
    <x v="48"/>
    <x v="0"/>
    <x v="1"/>
    <x v="1"/>
    <s v="Manager"/>
    <n v="3293.2"/>
    <n v="2458.15"/>
    <n v="15705.2"/>
    <s v="No"/>
    <s v="None"/>
    <n v="0"/>
    <n v="0"/>
    <n v="0"/>
    <n v="0"/>
    <n v="0"/>
    <n v="312"/>
    <n v="0.4"/>
    <x v="1"/>
    <x v="616"/>
    <n v="0"/>
  </r>
  <r>
    <s v="U21382"/>
    <x v="5"/>
    <x v="0"/>
    <x v="0"/>
    <x v="1"/>
    <s v="Accountant"/>
    <n v="6265.34"/>
    <n v="2420.37"/>
    <n v="60457.58"/>
    <s v="No"/>
    <s v="None"/>
    <n v="0"/>
    <n v="0"/>
    <n v="0"/>
    <n v="0"/>
    <n v="0"/>
    <n v="411"/>
    <n v="0.8"/>
    <x v="2"/>
    <x v="982"/>
    <n v="0"/>
  </r>
  <r>
    <s v="U21385"/>
    <x v="29"/>
    <x v="0"/>
    <x v="2"/>
    <x v="1"/>
    <s v="Engineer"/>
    <n v="3434.72"/>
    <n v="1111.6099999999999"/>
    <n v="39667.67"/>
    <s v="Yes"/>
    <s v="Home"/>
    <n v="112665.59"/>
    <n v="120"/>
    <n v="1273.57"/>
    <n v="6.4"/>
    <n v="0.37"/>
    <n v="586"/>
    <n v="0.96"/>
    <x v="2"/>
    <x v="983"/>
    <n v="0"/>
  </r>
  <r>
    <s v="U21403"/>
    <x v="12"/>
    <x v="1"/>
    <x v="3"/>
    <x v="1"/>
    <s v="Unemployed"/>
    <n v="3598.1"/>
    <n v="1928.93"/>
    <n v="22644.98"/>
    <s v="No"/>
    <s v="None"/>
    <n v="0"/>
    <n v="0"/>
    <n v="0"/>
    <n v="0"/>
    <n v="0"/>
    <n v="588"/>
    <n v="0.52"/>
    <x v="3"/>
    <x v="602"/>
    <n v="0"/>
  </r>
  <r>
    <s v="U21436"/>
    <x v="39"/>
    <x v="0"/>
    <x v="0"/>
    <x v="1"/>
    <s v="Student"/>
    <n v="5069.9799999999996"/>
    <n v="2477.04"/>
    <n v="50180.76"/>
    <s v="No"/>
    <s v="None"/>
    <n v="0"/>
    <n v="0"/>
    <n v="0"/>
    <n v="0"/>
    <n v="0"/>
    <n v="656"/>
    <n v="0.82"/>
    <x v="1"/>
    <x v="984"/>
    <n v="0"/>
  </r>
  <r>
    <s v="U21452"/>
    <x v="5"/>
    <x v="0"/>
    <x v="4"/>
    <x v="1"/>
    <s v="Manager"/>
    <n v="7309.43"/>
    <n v="2222.5500000000002"/>
    <n v="15905.51"/>
    <s v="No"/>
    <s v="None"/>
    <n v="0"/>
    <n v="0"/>
    <n v="0"/>
    <n v="0"/>
    <n v="0"/>
    <n v="540"/>
    <n v="0.18"/>
    <x v="2"/>
    <x v="985"/>
    <n v="0"/>
  </r>
  <r>
    <s v="U21484"/>
    <x v="24"/>
    <x v="0"/>
    <x v="1"/>
    <x v="0"/>
    <s v="Engineer"/>
    <n v="4118.3999999999996"/>
    <n v="3592.22"/>
    <n v="34259.32"/>
    <s v="No"/>
    <s v="None"/>
    <n v="0"/>
    <n v="0"/>
    <n v="0"/>
    <n v="0"/>
    <n v="0"/>
    <n v="840"/>
    <n v="0.69"/>
    <x v="2"/>
    <x v="986"/>
    <n v="0"/>
  </r>
  <r>
    <s v="U21485"/>
    <x v="3"/>
    <x v="0"/>
    <x v="3"/>
    <x v="2"/>
    <s v="Accountant"/>
    <n v="5753.92"/>
    <n v="5172.21"/>
    <n v="12051.64"/>
    <s v="Yes"/>
    <s v="Car"/>
    <n v="164392.21"/>
    <n v="60"/>
    <n v="4305.2299999999996"/>
    <n v="19.45"/>
    <n v="0.75"/>
    <n v="455"/>
    <n v="0.17"/>
    <x v="3"/>
    <x v="548"/>
    <n v="1"/>
  </r>
  <r>
    <s v="U21498"/>
    <x v="9"/>
    <x v="1"/>
    <x v="0"/>
    <x v="1"/>
    <s v="Engineer"/>
    <n v="6345.68"/>
    <n v="3792.56"/>
    <n v="15032.31"/>
    <s v="No"/>
    <s v="None"/>
    <n v="0"/>
    <n v="0"/>
    <n v="0"/>
    <n v="0"/>
    <n v="0"/>
    <n v="628"/>
    <n v="0.2"/>
    <x v="3"/>
    <x v="987"/>
    <n v="0"/>
  </r>
  <r>
    <s v="U21516"/>
    <x v="26"/>
    <x v="0"/>
    <x v="3"/>
    <x v="1"/>
    <s v="Driver"/>
    <n v="500"/>
    <n v="342.35"/>
    <n v="1222.99"/>
    <s v="No"/>
    <s v="None"/>
    <n v="0"/>
    <n v="0"/>
    <n v="0"/>
    <n v="0"/>
    <n v="0"/>
    <n v="313"/>
    <n v="0.2"/>
    <x v="2"/>
    <x v="832"/>
    <n v="0"/>
  </r>
  <r>
    <s v="U21521"/>
    <x v="1"/>
    <x v="0"/>
    <x v="2"/>
    <x v="3"/>
    <s v="Teacher"/>
    <n v="9102.7800000000007"/>
    <n v="6436.98"/>
    <n v="20006.650000000001"/>
    <s v="No"/>
    <s v="None"/>
    <n v="0"/>
    <n v="0"/>
    <n v="0"/>
    <n v="0"/>
    <n v="0"/>
    <n v="600"/>
    <n v="0.18"/>
    <x v="1"/>
    <x v="988"/>
    <n v="0"/>
  </r>
  <r>
    <s v="U21598"/>
    <x v="31"/>
    <x v="0"/>
    <x v="3"/>
    <x v="1"/>
    <s v="Student"/>
    <n v="1775.57"/>
    <n v="825.74"/>
    <n v="14678.54"/>
    <s v="No"/>
    <s v="None"/>
    <n v="0"/>
    <n v="0"/>
    <n v="0"/>
    <n v="0"/>
    <n v="0"/>
    <n v="639"/>
    <n v="0.69"/>
    <x v="0"/>
    <x v="985"/>
    <n v="0"/>
  </r>
  <r>
    <s v="U21617"/>
    <x v="30"/>
    <x v="1"/>
    <x v="3"/>
    <x v="1"/>
    <s v="Teacher"/>
    <n v="5534.89"/>
    <n v="1984.66"/>
    <n v="43685.66"/>
    <s v="No"/>
    <s v="None"/>
    <n v="0"/>
    <n v="0"/>
    <n v="0"/>
    <n v="0"/>
    <n v="0"/>
    <n v="810"/>
    <n v="0.66"/>
    <x v="0"/>
    <x v="241"/>
    <n v="0"/>
  </r>
  <r>
    <s v="U21624"/>
    <x v="28"/>
    <x v="0"/>
    <x v="4"/>
    <x v="1"/>
    <s v="Salesperson"/>
    <n v="1546.75"/>
    <n v="1387.65"/>
    <n v="12999.75"/>
    <s v="No"/>
    <s v="None"/>
    <n v="0"/>
    <n v="0"/>
    <n v="0"/>
    <n v="0"/>
    <n v="0"/>
    <n v="300"/>
    <n v="0.7"/>
    <x v="3"/>
    <x v="747"/>
    <n v="0"/>
  </r>
  <r>
    <s v="U21627"/>
    <x v="44"/>
    <x v="0"/>
    <x v="3"/>
    <x v="0"/>
    <s v="Unemployed"/>
    <n v="5725.53"/>
    <n v="2707.97"/>
    <n v="43901.46"/>
    <s v="No"/>
    <s v="None"/>
    <n v="0"/>
    <n v="0"/>
    <n v="0"/>
    <n v="0"/>
    <n v="0"/>
    <n v="601"/>
    <n v="0.64"/>
    <x v="1"/>
    <x v="989"/>
    <n v="0"/>
  </r>
  <r>
    <s v="U21647"/>
    <x v="26"/>
    <x v="1"/>
    <x v="0"/>
    <x v="1"/>
    <s v="Accountant"/>
    <n v="6261.73"/>
    <n v="4567.24"/>
    <n v="29106.83"/>
    <s v="No"/>
    <s v="None"/>
    <n v="0"/>
    <n v="0"/>
    <n v="0"/>
    <n v="0"/>
    <n v="0"/>
    <n v="697"/>
    <n v="0.39"/>
    <x v="4"/>
    <x v="917"/>
    <n v="0"/>
  </r>
  <r>
    <s v="U21690"/>
    <x v="29"/>
    <x v="1"/>
    <x v="3"/>
    <x v="1"/>
    <s v="Teacher"/>
    <n v="2403.44"/>
    <n v="2065.96"/>
    <n v="24492.14"/>
    <s v="No"/>
    <s v="None"/>
    <n v="0"/>
    <n v="0"/>
    <n v="0"/>
    <n v="0"/>
    <n v="0"/>
    <n v="480"/>
    <n v="0.85"/>
    <x v="1"/>
    <x v="7"/>
    <n v="0"/>
  </r>
  <r>
    <s v="U21696"/>
    <x v="1"/>
    <x v="1"/>
    <x v="0"/>
    <x v="1"/>
    <s v="Salesperson"/>
    <n v="2930.57"/>
    <n v="1379.99"/>
    <n v="4614.88"/>
    <s v="No"/>
    <s v="None"/>
    <n v="0"/>
    <n v="0"/>
    <n v="0"/>
    <n v="0"/>
    <n v="0"/>
    <n v="710"/>
    <n v="0.13"/>
    <x v="0"/>
    <x v="521"/>
    <n v="0"/>
  </r>
  <r>
    <s v="U21698"/>
    <x v="4"/>
    <x v="0"/>
    <x v="3"/>
    <x v="1"/>
    <s v="Engineer"/>
    <n v="3558.84"/>
    <n v="2408.0100000000002"/>
    <n v="33592.120000000003"/>
    <s v="No"/>
    <s v="None"/>
    <n v="0"/>
    <n v="0"/>
    <n v="0"/>
    <n v="0"/>
    <n v="0"/>
    <n v="484"/>
    <n v="0.79"/>
    <x v="4"/>
    <x v="990"/>
    <n v="0"/>
  </r>
  <r>
    <s v="U21702"/>
    <x v="49"/>
    <x v="1"/>
    <x v="2"/>
    <x v="0"/>
    <s v="Teacher"/>
    <n v="3638.12"/>
    <n v="1164.1099999999999"/>
    <n v="7324.29"/>
    <s v="Yes"/>
    <s v="Car"/>
    <n v="243762.72"/>
    <n v="240"/>
    <n v="2826.39"/>
    <n v="12.83"/>
    <n v="0.78"/>
    <n v="461"/>
    <n v="0.17"/>
    <x v="1"/>
    <x v="127"/>
    <n v="1"/>
  </r>
  <r>
    <s v="U21706"/>
    <x v="44"/>
    <x v="0"/>
    <x v="2"/>
    <x v="1"/>
    <s v="Student"/>
    <n v="4837.79"/>
    <n v="2032.43"/>
    <n v="53249.1"/>
    <s v="No"/>
    <s v="None"/>
    <n v="0"/>
    <n v="0"/>
    <n v="0"/>
    <n v="0"/>
    <n v="0"/>
    <n v="639"/>
    <n v="0.92"/>
    <x v="0"/>
    <x v="857"/>
    <n v="0"/>
  </r>
  <r>
    <s v="U21710"/>
    <x v="29"/>
    <x v="0"/>
    <x v="2"/>
    <x v="0"/>
    <s v="Salesperson"/>
    <n v="10102.81"/>
    <n v="4801.84"/>
    <n v="22616.02"/>
    <s v="No"/>
    <s v="None"/>
    <n v="0"/>
    <n v="0"/>
    <n v="0"/>
    <n v="0"/>
    <n v="0"/>
    <n v="382"/>
    <n v="0.19"/>
    <x v="0"/>
    <x v="991"/>
    <n v="0"/>
  </r>
  <r>
    <s v="U21712"/>
    <x v="33"/>
    <x v="1"/>
    <x v="3"/>
    <x v="1"/>
    <s v="Accountant"/>
    <n v="500"/>
    <n v="246.8"/>
    <n v="5049.6899999999996"/>
    <s v="No"/>
    <s v="None"/>
    <n v="0"/>
    <n v="0"/>
    <n v="0"/>
    <n v="0"/>
    <n v="0"/>
    <n v="324"/>
    <n v="0.84"/>
    <x v="2"/>
    <x v="322"/>
    <n v="0"/>
  </r>
  <r>
    <s v="U21713"/>
    <x v="0"/>
    <x v="0"/>
    <x v="3"/>
    <x v="1"/>
    <s v="Salesperson"/>
    <n v="4631.4799999999996"/>
    <n v="2404.9899999999998"/>
    <n v="51519.31"/>
    <s v="No"/>
    <s v="None"/>
    <n v="0"/>
    <n v="0"/>
    <n v="0"/>
    <n v="0"/>
    <n v="0"/>
    <n v="490"/>
    <n v="0.93"/>
    <x v="2"/>
    <x v="992"/>
    <n v="0"/>
  </r>
  <r>
    <s v="U21722"/>
    <x v="17"/>
    <x v="0"/>
    <x v="3"/>
    <x v="3"/>
    <s v="Salesperson"/>
    <n v="3140.73"/>
    <n v="1458.65"/>
    <n v="6056.81"/>
    <s v="No"/>
    <s v="None"/>
    <n v="0"/>
    <n v="0"/>
    <n v="0"/>
    <n v="0"/>
    <n v="0"/>
    <n v="532"/>
    <n v="0.16"/>
    <x v="1"/>
    <x v="30"/>
    <n v="0"/>
  </r>
  <r>
    <s v="U21728"/>
    <x v="7"/>
    <x v="1"/>
    <x v="3"/>
    <x v="1"/>
    <s v="Salesperson"/>
    <n v="5325.83"/>
    <n v="3897.64"/>
    <n v="51240.34"/>
    <s v="No"/>
    <s v="None"/>
    <n v="0"/>
    <n v="0"/>
    <n v="0"/>
    <n v="0"/>
    <n v="0"/>
    <n v="476"/>
    <n v="0.8"/>
    <x v="0"/>
    <x v="833"/>
    <n v="0"/>
  </r>
  <r>
    <s v="U21755"/>
    <x v="47"/>
    <x v="1"/>
    <x v="2"/>
    <x v="1"/>
    <s v="Driver"/>
    <n v="3817.78"/>
    <n v="1676.31"/>
    <n v="18583.740000000002"/>
    <s v="No"/>
    <s v="None"/>
    <n v="0"/>
    <n v="0"/>
    <n v="0"/>
    <n v="0"/>
    <n v="0"/>
    <n v="703"/>
    <n v="0.41"/>
    <x v="4"/>
    <x v="957"/>
    <n v="0"/>
  </r>
  <r>
    <s v="U21764"/>
    <x v="35"/>
    <x v="0"/>
    <x v="0"/>
    <x v="1"/>
    <s v="Doctor"/>
    <n v="8563.25"/>
    <n v="5929.65"/>
    <n v="35156.769999999997"/>
    <s v="Yes"/>
    <s v="Education"/>
    <n v="444249.38"/>
    <n v="360"/>
    <n v="9046.8799999999992"/>
    <n v="24.42"/>
    <n v="1.06"/>
    <n v="788"/>
    <n v="0.34"/>
    <x v="2"/>
    <x v="993"/>
    <n v="1"/>
  </r>
  <r>
    <s v="U21768"/>
    <x v="43"/>
    <x v="1"/>
    <x v="3"/>
    <x v="0"/>
    <s v="Manager"/>
    <n v="2418.64"/>
    <n v="1580.39"/>
    <n v="10426.69"/>
    <s v="No"/>
    <s v="None"/>
    <n v="0"/>
    <n v="0"/>
    <n v="0"/>
    <n v="0"/>
    <n v="0"/>
    <n v="804"/>
    <n v="0.36"/>
    <x v="0"/>
    <x v="565"/>
    <n v="0"/>
  </r>
  <r>
    <s v="U21796"/>
    <x v="44"/>
    <x v="0"/>
    <x v="2"/>
    <x v="1"/>
    <s v="Salesperson"/>
    <n v="5405.91"/>
    <n v="3299.53"/>
    <n v="6629.92"/>
    <s v="No"/>
    <s v="None"/>
    <n v="0"/>
    <n v="0"/>
    <n v="0"/>
    <n v="0"/>
    <n v="0"/>
    <n v="444"/>
    <n v="0.1"/>
    <x v="2"/>
    <x v="547"/>
    <n v="0"/>
  </r>
  <r>
    <s v="U21805"/>
    <x v="31"/>
    <x v="0"/>
    <x v="2"/>
    <x v="1"/>
    <s v="Student"/>
    <n v="3195.73"/>
    <n v="1709.51"/>
    <n v="34617.440000000002"/>
    <s v="No"/>
    <s v="None"/>
    <n v="0"/>
    <n v="0"/>
    <n v="0"/>
    <n v="0"/>
    <n v="0"/>
    <n v="315"/>
    <n v="0.9"/>
    <x v="3"/>
    <x v="994"/>
    <n v="0"/>
  </r>
  <r>
    <s v="U21818"/>
    <x v="28"/>
    <x v="1"/>
    <x v="1"/>
    <x v="1"/>
    <s v="Driver"/>
    <n v="963.86"/>
    <n v="496.99"/>
    <n v="10936.22"/>
    <s v="No"/>
    <s v="None"/>
    <n v="0"/>
    <n v="0"/>
    <n v="0"/>
    <n v="0"/>
    <n v="0"/>
    <n v="789"/>
    <n v="0.95"/>
    <x v="2"/>
    <x v="281"/>
    <n v="0"/>
  </r>
  <r>
    <s v="U21819"/>
    <x v="39"/>
    <x v="0"/>
    <x v="2"/>
    <x v="1"/>
    <s v="Engineer"/>
    <n v="1733.65"/>
    <n v="563.04"/>
    <n v="8020.49"/>
    <s v="No"/>
    <s v="None"/>
    <n v="0"/>
    <n v="0"/>
    <n v="0"/>
    <n v="0"/>
    <n v="0"/>
    <n v="788"/>
    <n v="0.39"/>
    <x v="0"/>
    <x v="895"/>
    <n v="0"/>
  </r>
  <r>
    <s v="U21832"/>
    <x v="42"/>
    <x v="0"/>
    <x v="3"/>
    <x v="1"/>
    <s v="Doctor"/>
    <n v="4119.13"/>
    <n v="1769.67"/>
    <n v="31380.1"/>
    <s v="No"/>
    <s v="None"/>
    <n v="0"/>
    <n v="0"/>
    <n v="0"/>
    <n v="0"/>
    <n v="0"/>
    <n v="542"/>
    <n v="0.63"/>
    <x v="1"/>
    <x v="35"/>
    <n v="0"/>
  </r>
  <r>
    <s v="U21876"/>
    <x v="4"/>
    <x v="1"/>
    <x v="0"/>
    <x v="1"/>
    <s v="Salesperson"/>
    <n v="6369.07"/>
    <n v="4098.45"/>
    <n v="65311.6"/>
    <s v="No"/>
    <s v="None"/>
    <n v="0"/>
    <n v="0"/>
    <n v="0"/>
    <n v="0"/>
    <n v="0"/>
    <n v="455"/>
    <n v="0.85"/>
    <x v="2"/>
    <x v="420"/>
    <n v="0"/>
  </r>
  <r>
    <s v="U21884"/>
    <x v="2"/>
    <x v="1"/>
    <x v="2"/>
    <x v="2"/>
    <s v="Student"/>
    <n v="4080.16"/>
    <n v="1409.73"/>
    <n v="45949.75"/>
    <s v="Yes"/>
    <s v="Car"/>
    <n v="143673.71"/>
    <n v="24"/>
    <n v="7983"/>
    <n v="29.32"/>
    <n v="1.96"/>
    <n v="307"/>
    <n v="0.94"/>
    <x v="3"/>
    <x v="607"/>
    <n v="1"/>
  </r>
  <r>
    <s v="U21885"/>
    <x v="22"/>
    <x v="0"/>
    <x v="1"/>
    <x v="1"/>
    <s v="Accountant"/>
    <n v="6082.94"/>
    <n v="2654.18"/>
    <n v="62654.61"/>
    <s v="No"/>
    <s v="None"/>
    <n v="0"/>
    <n v="0"/>
    <n v="0"/>
    <n v="0"/>
    <n v="0"/>
    <n v="401"/>
    <n v="0.86"/>
    <x v="0"/>
    <x v="441"/>
    <n v="0"/>
  </r>
  <r>
    <s v="U21886"/>
    <x v="20"/>
    <x v="1"/>
    <x v="2"/>
    <x v="2"/>
    <s v="Doctor"/>
    <n v="3955.33"/>
    <n v="2892.69"/>
    <n v="21411.1"/>
    <s v="No"/>
    <s v="None"/>
    <n v="0"/>
    <n v="0"/>
    <n v="0"/>
    <n v="0"/>
    <n v="0"/>
    <n v="580"/>
    <n v="0.45"/>
    <x v="3"/>
    <x v="995"/>
    <n v="0"/>
  </r>
  <r>
    <s v="U21891"/>
    <x v="43"/>
    <x v="0"/>
    <x v="3"/>
    <x v="2"/>
    <s v="Unemployed"/>
    <n v="5517.18"/>
    <n v="3934.35"/>
    <n v="35277.129999999997"/>
    <s v="Yes"/>
    <s v="Business"/>
    <n v="120810.39"/>
    <n v="12"/>
    <n v="10447.200000000001"/>
    <n v="6.89"/>
    <n v="1.89"/>
    <n v="703"/>
    <n v="0.53"/>
    <x v="2"/>
    <x v="43"/>
    <n v="1"/>
  </r>
  <r>
    <s v="U21894"/>
    <x v="44"/>
    <x v="1"/>
    <x v="1"/>
    <x v="1"/>
    <s v="Accountant"/>
    <n v="5171.8599999999997"/>
    <n v="1962.93"/>
    <n v="7739.32"/>
    <s v="Yes"/>
    <s v="Home"/>
    <n v="144939.17000000001"/>
    <n v="300"/>
    <n v="2845.66"/>
    <n v="23.49"/>
    <n v="0.55000000000000004"/>
    <n v="702"/>
    <n v="0.12"/>
    <x v="2"/>
    <x v="72"/>
    <n v="1"/>
  </r>
  <r>
    <s v="U21901"/>
    <x v="33"/>
    <x v="2"/>
    <x v="3"/>
    <x v="2"/>
    <s v="Engineer"/>
    <n v="4469.66"/>
    <n v="1852.85"/>
    <n v="21162.97"/>
    <s v="No"/>
    <s v="None"/>
    <n v="0"/>
    <n v="0"/>
    <n v="0"/>
    <n v="0"/>
    <n v="0"/>
    <n v="468"/>
    <n v="0.39"/>
    <x v="3"/>
    <x v="23"/>
    <n v="0"/>
  </r>
  <r>
    <s v="U21923"/>
    <x v="34"/>
    <x v="0"/>
    <x v="3"/>
    <x v="0"/>
    <s v="Salesperson"/>
    <n v="4870.33"/>
    <n v="3402.46"/>
    <n v="41409.620000000003"/>
    <s v="Yes"/>
    <s v="Education"/>
    <n v="416969.72"/>
    <n v="240"/>
    <n v="8039.95"/>
    <n v="22.89"/>
    <n v="1.65"/>
    <n v="794"/>
    <n v="0.71"/>
    <x v="4"/>
    <x v="99"/>
    <n v="1"/>
  </r>
  <r>
    <s v="U21927"/>
    <x v="12"/>
    <x v="1"/>
    <x v="4"/>
    <x v="1"/>
    <s v="Unemployed"/>
    <n v="6559.89"/>
    <n v="5428.39"/>
    <n v="23484.93"/>
    <s v="No"/>
    <s v="None"/>
    <n v="0"/>
    <n v="0"/>
    <n v="0"/>
    <n v="0"/>
    <n v="0"/>
    <n v="339"/>
    <n v="0.3"/>
    <x v="0"/>
    <x v="810"/>
    <n v="0"/>
  </r>
  <r>
    <s v="U21939"/>
    <x v="36"/>
    <x v="1"/>
    <x v="3"/>
    <x v="1"/>
    <s v="Manager"/>
    <n v="6244.66"/>
    <n v="2795.92"/>
    <n v="13280.7"/>
    <s v="No"/>
    <s v="None"/>
    <n v="0"/>
    <n v="0"/>
    <n v="0"/>
    <n v="0"/>
    <n v="0"/>
    <n v="502"/>
    <n v="0.18"/>
    <x v="0"/>
    <x v="996"/>
    <n v="0"/>
  </r>
  <r>
    <s v="U21953"/>
    <x v="21"/>
    <x v="1"/>
    <x v="3"/>
    <x v="1"/>
    <s v="Salesperson"/>
    <n v="5030.83"/>
    <n v="1644.82"/>
    <n v="6962.83"/>
    <s v="No"/>
    <s v="None"/>
    <n v="0"/>
    <n v="0"/>
    <n v="0"/>
    <n v="0"/>
    <n v="0"/>
    <n v="580"/>
    <n v="0.12"/>
    <x v="2"/>
    <x v="835"/>
    <n v="0"/>
  </r>
  <r>
    <s v="U21956"/>
    <x v="7"/>
    <x v="0"/>
    <x v="1"/>
    <x v="1"/>
    <s v="Salesperson"/>
    <n v="3325.44"/>
    <n v="2592.15"/>
    <n v="13176.45"/>
    <s v="No"/>
    <s v="None"/>
    <n v="0"/>
    <n v="0"/>
    <n v="0"/>
    <n v="0"/>
    <n v="0"/>
    <n v="354"/>
    <n v="0.33"/>
    <x v="2"/>
    <x v="865"/>
    <n v="0"/>
  </r>
  <r>
    <s v="U21962"/>
    <x v="42"/>
    <x v="0"/>
    <x v="0"/>
    <x v="2"/>
    <s v="Unemployed"/>
    <n v="5144.07"/>
    <n v="3295.95"/>
    <n v="42764.77"/>
    <s v="No"/>
    <s v="None"/>
    <n v="0"/>
    <n v="0"/>
    <n v="0"/>
    <n v="0"/>
    <n v="0"/>
    <n v="433"/>
    <n v="0.69"/>
    <x v="4"/>
    <x v="997"/>
    <n v="0"/>
  </r>
  <r>
    <s v="U21967"/>
    <x v="8"/>
    <x v="0"/>
    <x v="0"/>
    <x v="1"/>
    <s v="Teacher"/>
    <n v="500"/>
    <n v="437.99"/>
    <n v="3606.87"/>
    <s v="No"/>
    <s v="None"/>
    <n v="0"/>
    <n v="0"/>
    <n v="0"/>
    <n v="0"/>
    <n v="0"/>
    <n v="569"/>
    <n v="0.6"/>
    <x v="3"/>
    <x v="390"/>
    <n v="0"/>
  </r>
  <r>
    <s v="U21971"/>
    <x v="43"/>
    <x v="1"/>
    <x v="4"/>
    <x v="1"/>
    <s v="Teacher"/>
    <n v="3472.68"/>
    <n v="3009.93"/>
    <n v="6629.67"/>
    <s v="No"/>
    <s v="None"/>
    <n v="0"/>
    <n v="0"/>
    <n v="0"/>
    <n v="0"/>
    <n v="0"/>
    <n v="724"/>
    <n v="0.16"/>
    <x v="0"/>
    <x v="287"/>
    <n v="0"/>
  </r>
  <r>
    <s v="U21976"/>
    <x v="30"/>
    <x v="0"/>
    <x v="3"/>
    <x v="0"/>
    <s v="Salesperson"/>
    <n v="3855.77"/>
    <n v="2625.6"/>
    <n v="8749.56"/>
    <s v="Yes"/>
    <s v="Car"/>
    <n v="258942.5"/>
    <n v="120"/>
    <n v="6369.89"/>
    <n v="27.59"/>
    <n v="1.65"/>
    <n v="815"/>
    <n v="0.19"/>
    <x v="1"/>
    <x v="440"/>
    <n v="1"/>
  </r>
  <r>
    <s v="U21981"/>
    <x v="20"/>
    <x v="0"/>
    <x v="3"/>
    <x v="2"/>
    <s v="Student"/>
    <n v="5620.49"/>
    <n v="4785.68"/>
    <n v="47264.93"/>
    <s v="No"/>
    <s v="None"/>
    <n v="0"/>
    <n v="0"/>
    <n v="0"/>
    <n v="0"/>
    <n v="0"/>
    <n v="342"/>
    <n v="0.7"/>
    <x v="4"/>
    <x v="625"/>
    <n v="0"/>
  </r>
  <r>
    <s v="U21989"/>
    <x v="36"/>
    <x v="0"/>
    <x v="0"/>
    <x v="1"/>
    <s v="Doctor"/>
    <n v="2267.87"/>
    <n v="764.94"/>
    <n v="9127.09"/>
    <s v="Yes"/>
    <s v="Business"/>
    <n v="439521.71"/>
    <n v="360"/>
    <n v="2284.81"/>
    <n v="4.72"/>
    <n v="1.01"/>
    <n v="383"/>
    <n v="0.34"/>
    <x v="4"/>
    <x v="998"/>
    <n v="1"/>
  </r>
  <r>
    <s v="U21999"/>
    <x v="10"/>
    <x v="0"/>
    <x v="2"/>
    <x v="2"/>
    <s v="Doctor"/>
    <n v="3914.81"/>
    <n v="2675.51"/>
    <n v="43578.92"/>
    <s v="Yes"/>
    <s v="Business"/>
    <n v="360878.8"/>
    <n v="360"/>
    <n v="7019.95"/>
    <n v="23.32"/>
    <n v="1.79"/>
    <n v="841"/>
    <n v="0.93"/>
    <x v="2"/>
    <x v="767"/>
    <n v="1"/>
  </r>
  <r>
    <s v="U22011"/>
    <x v="6"/>
    <x v="2"/>
    <x v="0"/>
    <x v="2"/>
    <s v="Accountant"/>
    <n v="6344.45"/>
    <n v="2919.32"/>
    <n v="65012.72"/>
    <s v="No"/>
    <s v="None"/>
    <n v="0"/>
    <n v="0"/>
    <n v="0"/>
    <n v="0"/>
    <n v="0"/>
    <n v="360"/>
    <n v="0.85"/>
    <x v="3"/>
    <x v="780"/>
    <n v="0"/>
  </r>
  <r>
    <s v="U22012"/>
    <x v="10"/>
    <x v="1"/>
    <x v="3"/>
    <x v="1"/>
    <s v="Driver"/>
    <n v="4759.83"/>
    <n v="2383.38"/>
    <n v="53672.5"/>
    <s v="No"/>
    <s v="None"/>
    <n v="0"/>
    <n v="0"/>
    <n v="0"/>
    <n v="0"/>
    <n v="0"/>
    <n v="544"/>
    <n v="0.94"/>
    <x v="2"/>
    <x v="999"/>
    <n v="0"/>
  </r>
  <r>
    <s v="U22040"/>
    <x v="34"/>
    <x v="0"/>
    <x v="3"/>
    <x v="1"/>
    <s v="Engineer"/>
    <n v="5716.85"/>
    <n v="4596.57"/>
    <n v="57178.87"/>
    <s v="No"/>
    <s v="None"/>
    <n v="0"/>
    <n v="0"/>
    <n v="0"/>
    <n v="0"/>
    <n v="0"/>
    <n v="484"/>
    <n v="0.83"/>
    <x v="0"/>
    <x v="962"/>
    <n v="0"/>
  </r>
  <r>
    <s v="U22069"/>
    <x v="4"/>
    <x v="0"/>
    <x v="0"/>
    <x v="1"/>
    <s v="Engineer"/>
    <n v="1102.82"/>
    <n v="558.57000000000005"/>
    <n v="10548.51"/>
    <s v="No"/>
    <s v="None"/>
    <n v="0"/>
    <n v="0"/>
    <n v="0"/>
    <n v="0"/>
    <n v="0"/>
    <n v="658"/>
    <n v="0.8"/>
    <x v="1"/>
    <x v="397"/>
    <n v="0"/>
  </r>
  <r>
    <s v="U22074"/>
    <x v="19"/>
    <x v="1"/>
    <x v="3"/>
    <x v="1"/>
    <s v="Driver"/>
    <n v="5684.25"/>
    <n v="1996.91"/>
    <n v="55442.43"/>
    <s v="No"/>
    <s v="None"/>
    <n v="0"/>
    <n v="0"/>
    <n v="0"/>
    <n v="0"/>
    <n v="0"/>
    <n v="523"/>
    <n v="0.81"/>
    <x v="1"/>
    <x v="1000"/>
    <n v="0"/>
  </r>
  <r>
    <s v="U22087"/>
    <x v="29"/>
    <x v="1"/>
    <x v="1"/>
    <x v="1"/>
    <s v="Manager"/>
    <n v="3986.54"/>
    <n v="3114.88"/>
    <n v="10431.61"/>
    <s v="No"/>
    <s v="None"/>
    <n v="0"/>
    <n v="0"/>
    <n v="0"/>
    <n v="0"/>
    <n v="0"/>
    <n v="362"/>
    <n v="0.22"/>
    <x v="2"/>
    <x v="309"/>
    <n v="0"/>
  </r>
  <r>
    <s v="U22094"/>
    <x v="49"/>
    <x v="0"/>
    <x v="1"/>
    <x v="3"/>
    <s v="Student"/>
    <n v="2564.2800000000002"/>
    <n v="1710.46"/>
    <n v="27703.57"/>
    <s v="No"/>
    <s v="None"/>
    <n v="0"/>
    <n v="0"/>
    <n v="0"/>
    <n v="0"/>
    <n v="0"/>
    <n v="441"/>
    <n v="0.9"/>
    <x v="2"/>
    <x v="626"/>
    <n v="0"/>
  </r>
  <r>
    <s v="U22117"/>
    <x v="29"/>
    <x v="1"/>
    <x v="2"/>
    <x v="1"/>
    <s v="Salesperson"/>
    <n v="3741.56"/>
    <n v="3062.36"/>
    <n v="30314.76"/>
    <s v="No"/>
    <s v="None"/>
    <n v="0"/>
    <n v="0"/>
    <n v="0"/>
    <n v="0"/>
    <n v="0"/>
    <n v="439"/>
    <n v="0.68"/>
    <x v="1"/>
    <x v="102"/>
    <n v="0"/>
  </r>
  <r>
    <s v="U22118"/>
    <x v="21"/>
    <x v="1"/>
    <x v="3"/>
    <x v="2"/>
    <s v="Salesperson"/>
    <n v="3800.11"/>
    <n v="2562.81"/>
    <n v="8717.51"/>
    <s v="No"/>
    <s v="None"/>
    <n v="0"/>
    <n v="0"/>
    <n v="0"/>
    <n v="0"/>
    <n v="0"/>
    <n v="601"/>
    <n v="0.19"/>
    <x v="0"/>
    <x v="123"/>
    <n v="0"/>
  </r>
  <r>
    <s v="U22120"/>
    <x v="40"/>
    <x v="0"/>
    <x v="1"/>
    <x v="1"/>
    <s v="Accountant"/>
    <n v="3658.65"/>
    <n v="1810.11"/>
    <n v="23150.81"/>
    <s v="No"/>
    <s v="None"/>
    <n v="0"/>
    <n v="0"/>
    <n v="0"/>
    <n v="0"/>
    <n v="0"/>
    <n v="557"/>
    <n v="0.53"/>
    <x v="2"/>
    <x v="59"/>
    <n v="0"/>
  </r>
  <r>
    <s v="U22131"/>
    <x v="2"/>
    <x v="1"/>
    <x v="2"/>
    <x v="0"/>
    <s v="Driver"/>
    <n v="6763.22"/>
    <n v="2647"/>
    <n v="78950.179999999993"/>
    <s v="No"/>
    <s v="None"/>
    <n v="0"/>
    <n v="0"/>
    <n v="0"/>
    <n v="0"/>
    <n v="0"/>
    <n v="586"/>
    <n v="0.97"/>
    <x v="1"/>
    <x v="1001"/>
    <n v="0"/>
  </r>
  <r>
    <s v="U22159"/>
    <x v="15"/>
    <x v="1"/>
    <x v="3"/>
    <x v="0"/>
    <s v="Manager"/>
    <n v="9637.27"/>
    <n v="4460.32"/>
    <n v="54952.639999999999"/>
    <s v="Yes"/>
    <s v="Home"/>
    <n v="84652.79"/>
    <n v="60"/>
    <n v="1889.48"/>
    <n v="12.15"/>
    <n v="0.2"/>
    <n v="754"/>
    <n v="0.48"/>
    <x v="1"/>
    <x v="7"/>
    <n v="0"/>
  </r>
  <r>
    <s v="U22172"/>
    <x v="15"/>
    <x v="1"/>
    <x v="3"/>
    <x v="2"/>
    <s v="Teacher"/>
    <n v="5102.8999999999996"/>
    <n v="1888.33"/>
    <n v="26253.08"/>
    <s v="No"/>
    <s v="None"/>
    <n v="0"/>
    <n v="0"/>
    <n v="0"/>
    <n v="0"/>
    <n v="0"/>
    <n v="677"/>
    <n v="0.43"/>
    <x v="2"/>
    <x v="627"/>
    <n v="0"/>
  </r>
  <r>
    <s v="U22173"/>
    <x v="49"/>
    <x v="1"/>
    <x v="3"/>
    <x v="2"/>
    <s v="Driver"/>
    <n v="4544.78"/>
    <n v="1637.15"/>
    <n v="33728.910000000003"/>
    <s v="No"/>
    <s v="None"/>
    <n v="0"/>
    <n v="0"/>
    <n v="0"/>
    <n v="0"/>
    <n v="0"/>
    <n v="543"/>
    <n v="0.62"/>
    <x v="1"/>
    <x v="297"/>
    <n v="0"/>
  </r>
  <r>
    <s v="U22190"/>
    <x v="27"/>
    <x v="0"/>
    <x v="2"/>
    <x v="3"/>
    <s v="Accountant"/>
    <n v="3671.63"/>
    <n v="3127.84"/>
    <n v="7790.12"/>
    <s v="No"/>
    <s v="None"/>
    <n v="0"/>
    <n v="0"/>
    <n v="0"/>
    <n v="0"/>
    <n v="0"/>
    <n v="672"/>
    <n v="0.18"/>
    <x v="0"/>
    <x v="681"/>
    <n v="0"/>
  </r>
  <r>
    <s v="U22201"/>
    <x v="7"/>
    <x v="0"/>
    <x v="0"/>
    <x v="0"/>
    <s v="Manager"/>
    <n v="4072.91"/>
    <n v="2092.2199999999998"/>
    <n v="5023.46"/>
    <s v="No"/>
    <s v="None"/>
    <n v="0"/>
    <n v="0"/>
    <n v="0"/>
    <n v="0"/>
    <n v="0"/>
    <n v="313"/>
    <n v="0.1"/>
    <x v="3"/>
    <x v="1002"/>
    <n v="0"/>
  </r>
  <r>
    <s v="U22204"/>
    <x v="22"/>
    <x v="0"/>
    <x v="3"/>
    <x v="2"/>
    <s v="Engineer"/>
    <n v="3764.49"/>
    <n v="1903.49"/>
    <n v="19989.330000000002"/>
    <s v="No"/>
    <s v="None"/>
    <n v="0"/>
    <n v="0"/>
    <n v="0"/>
    <n v="0"/>
    <n v="0"/>
    <n v="778"/>
    <n v="0.44"/>
    <x v="0"/>
    <x v="1003"/>
    <n v="0"/>
  </r>
  <r>
    <s v="U22213"/>
    <x v="29"/>
    <x v="1"/>
    <x v="1"/>
    <x v="0"/>
    <s v="Doctor"/>
    <n v="3143.45"/>
    <n v="2543.66"/>
    <n v="9586.4699999999993"/>
    <s v="No"/>
    <s v="None"/>
    <n v="0"/>
    <n v="0"/>
    <n v="0"/>
    <n v="0"/>
    <n v="0"/>
    <n v="645"/>
    <n v="0.25"/>
    <x v="4"/>
    <x v="309"/>
    <n v="0"/>
  </r>
  <r>
    <s v="U22246"/>
    <x v="17"/>
    <x v="1"/>
    <x v="2"/>
    <x v="1"/>
    <s v="Doctor"/>
    <n v="5762.46"/>
    <n v="3904.49"/>
    <n v="42418.82"/>
    <s v="Yes"/>
    <s v="Business"/>
    <n v="21802.560000000001"/>
    <n v="60"/>
    <n v="460.56"/>
    <n v="9.75"/>
    <n v="0.08"/>
    <n v="751"/>
    <n v="0.61"/>
    <x v="0"/>
    <x v="71"/>
    <n v="0"/>
  </r>
  <r>
    <s v="U22264"/>
    <x v="23"/>
    <x v="0"/>
    <x v="1"/>
    <x v="1"/>
    <s v="Teacher"/>
    <n v="5861.12"/>
    <n v="3513.47"/>
    <n v="14065.28"/>
    <s v="No"/>
    <s v="None"/>
    <n v="0"/>
    <n v="0"/>
    <n v="0"/>
    <n v="0"/>
    <n v="0"/>
    <n v="403"/>
    <n v="0.2"/>
    <x v="1"/>
    <x v="598"/>
    <n v="0"/>
  </r>
  <r>
    <s v="U22288"/>
    <x v="30"/>
    <x v="0"/>
    <x v="3"/>
    <x v="1"/>
    <s v="Teacher"/>
    <n v="4720.6400000000003"/>
    <n v="1659.06"/>
    <n v="6934.71"/>
    <s v="Yes"/>
    <s v="Business"/>
    <n v="453656.34"/>
    <n v="300"/>
    <n v="3769.86"/>
    <n v="8.8800000000000008"/>
    <n v="0.8"/>
    <n v="672"/>
    <n v="0.12"/>
    <x v="1"/>
    <x v="224"/>
    <n v="1"/>
  </r>
  <r>
    <s v="U22297"/>
    <x v="3"/>
    <x v="1"/>
    <x v="2"/>
    <x v="1"/>
    <s v="Accountant"/>
    <n v="9000.5300000000007"/>
    <n v="4399.47"/>
    <n v="28427.52"/>
    <s v="No"/>
    <s v="None"/>
    <n v="0"/>
    <n v="0"/>
    <n v="0"/>
    <n v="0"/>
    <n v="0"/>
    <n v="825"/>
    <n v="0.26"/>
    <x v="1"/>
    <x v="927"/>
    <n v="0"/>
  </r>
  <r>
    <s v="U22308"/>
    <x v="23"/>
    <x v="0"/>
    <x v="3"/>
    <x v="3"/>
    <s v="Student"/>
    <n v="7641.22"/>
    <n v="3687.09"/>
    <n v="76827.289999999994"/>
    <s v="Yes"/>
    <s v="Car"/>
    <n v="482671.88"/>
    <n v="360"/>
    <n v="11473.94"/>
    <n v="28.52"/>
    <n v="1.5"/>
    <n v="339"/>
    <n v="0.84"/>
    <x v="1"/>
    <x v="1004"/>
    <n v="1"/>
  </r>
  <r>
    <s v="U22309"/>
    <x v="32"/>
    <x v="1"/>
    <x v="3"/>
    <x v="2"/>
    <s v="Accountant"/>
    <n v="2534.59"/>
    <n v="886.9"/>
    <n v="17664.63"/>
    <s v="Yes"/>
    <s v="Car"/>
    <n v="144214.06"/>
    <n v="300"/>
    <n v="1812.52"/>
    <n v="14.69"/>
    <n v="0.72"/>
    <n v="407"/>
    <n v="0.57999999999999996"/>
    <x v="0"/>
    <x v="518"/>
    <n v="1"/>
  </r>
  <r>
    <s v="U22321"/>
    <x v="37"/>
    <x v="1"/>
    <x v="3"/>
    <x v="3"/>
    <s v="Accountant"/>
    <n v="8060.54"/>
    <n v="3020.77"/>
    <n v="44013.1"/>
    <s v="No"/>
    <s v="None"/>
    <n v="0"/>
    <n v="0"/>
    <n v="0"/>
    <n v="0"/>
    <n v="0"/>
    <n v="525"/>
    <n v="0.46"/>
    <x v="0"/>
    <x v="669"/>
    <n v="0"/>
  </r>
  <r>
    <s v="U22345"/>
    <x v="37"/>
    <x v="1"/>
    <x v="1"/>
    <x v="0"/>
    <s v="Salesperson"/>
    <n v="3882.84"/>
    <n v="2462.14"/>
    <n v="5880.99"/>
    <s v="No"/>
    <s v="None"/>
    <n v="0"/>
    <n v="0"/>
    <n v="0"/>
    <n v="0"/>
    <n v="0"/>
    <n v="685"/>
    <n v="0.13"/>
    <x v="3"/>
    <x v="1005"/>
    <n v="0"/>
  </r>
  <r>
    <s v="U22347"/>
    <x v="29"/>
    <x v="1"/>
    <x v="3"/>
    <x v="1"/>
    <s v="Student"/>
    <n v="4539.24"/>
    <n v="2867.93"/>
    <n v="7412.17"/>
    <s v="No"/>
    <s v="None"/>
    <n v="0"/>
    <n v="0"/>
    <n v="0"/>
    <n v="0"/>
    <n v="0"/>
    <n v="594"/>
    <n v="0.14000000000000001"/>
    <x v="0"/>
    <x v="1006"/>
    <n v="0"/>
  </r>
  <r>
    <s v="U22351"/>
    <x v="3"/>
    <x v="0"/>
    <x v="4"/>
    <x v="1"/>
    <s v="Salesperson"/>
    <n v="4320.1499999999996"/>
    <n v="1424.64"/>
    <n v="16237.11"/>
    <s v="No"/>
    <s v="None"/>
    <n v="0"/>
    <n v="0"/>
    <n v="0"/>
    <n v="0"/>
    <n v="0"/>
    <n v="354"/>
    <n v="0.31"/>
    <x v="3"/>
    <x v="581"/>
    <n v="0"/>
  </r>
  <r>
    <s v="U22361"/>
    <x v="37"/>
    <x v="1"/>
    <x v="2"/>
    <x v="1"/>
    <s v="Accountant"/>
    <n v="7221.55"/>
    <n v="2439.0100000000002"/>
    <n v="21411.25"/>
    <s v="No"/>
    <s v="None"/>
    <n v="0"/>
    <n v="0"/>
    <n v="0"/>
    <n v="0"/>
    <n v="0"/>
    <n v="365"/>
    <n v="0.25"/>
    <x v="4"/>
    <x v="11"/>
    <n v="0"/>
  </r>
  <r>
    <s v="U22362"/>
    <x v="4"/>
    <x v="0"/>
    <x v="3"/>
    <x v="1"/>
    <s v="Engineer"/>
    <n v="5003.1400000000003"/>
    <n v="4218.4399999999996"/>
    <n v="53194.99"/>
    <s v="Yes"/>
    <s v="Business"/>
    <n v="105245.34"/>
    <n v="60"/>
    <n v="1954.92"/>
    <n v="4.3499999999999996"/>
    <n v="0.39"/>
    <n v="825"/>
    <n v="0.89"/>
    <x v="4"/>
    <x v="964"/>
    <n v="0"/>
  </r>
  <r>
    <s v="U22384"/>
    <x v="41"/>
    <x v="0"/>
    <x v="1"/>
    <x v="2"/>
    <s v="Doctor"/>
    <n v="3990.26"/>
    <n v="3322.85"/>
    <n v="7439.64"/>
    <s v="Yes"/>
    <s v="Education"/>
    <n v="217915.59"/>
    <n v="180"/>
    <n v="2545.67"/>
    <n v="11.5"/>
    <n v="0.64"/>
    <n v="344"/>
    <n v="0.16"/>
    <x v="0"/>
    <x v="327"/>
    <n v="1"/>
  </r>
  <r>
    <s v="U22399"/>
    <x v="34"/>
    <x v="1"/>
    <x v="3"/>
    <x v="1"/>
    <s v="Student"/>
    <n v="2007.33"/>
    <n v="1214.04"/>
    <n v="10317.59"/>
    <s v="No"/>
    <s v="None"/>
    <n v="0"/>
    <n v="0"/>
    <n v="0"/>
    <n v="0"/>
    <n v="0"/>
    <n v="662"/>
    <n v="0.43"/>
    <x v="4"/>
    <x v="548"/>
    <n v="0"/>
  </r>
  <r>
    <s v="U22401"/>
    <x v="48"/>
    <x v="0"/>
    <x v="3"/>
    <x v="3"/>
    <s v="Unemployed"/>
    <n v="4169.09"/>
    <n v="3184.56"/>
    <n v="14372.32"/>
    <s v="Yes"/>
    <s v="Home"/>
    <n v="142737.14000000001"/>
    <n v="300"/>
    <n v="2438.6"/>
    <n v="20.37"/>
    <n v="0.57999999999999996"/>
    <n v="808"/>
    <n v="0.28999999999999998"/>
    <x v="2"/>
    <x v="213"/>
    <n v="1"/>
  </r>
  <r>
    <s v="U22448"/>
    <x v="33"/>
    <x v="0"/>
    <x v="2"/>
    <x v="1"/>
    <s v="Accountant"/>
    <n v="3640.67"/>
    <n v="1896.47"/>
    <n v="41248.99"/>
    <s v="No"/>
    <s v="None"/>
    <n v="0"/>
    <n v="0"/>
    <n v="0"/>
    <n v="0"/>
    <n v="0"/>
    <n v="706"/>
    <n v="0.94"/>
    <x v="3"/>
    <x v="545"/>
    <n v="0"/>
  </r>
  <r>
    <s v="U22460"/>
    <x v="37"/>
    <x v="0"/>
    <x v="0"/>
    <x v="3"/>
    <s v="Driver"/>
    <n v="3881.98"/>
    <n v="1363.6"/>
    <n v="9991.23"/>
    <s v="No"/>
    <s v="None"/>
    <n v="0"/>
    <n v="0"/>
    <n v="0"/>
    <n v="0"/>
    <n v="0"/>
    <n v="600"/>
    <n v="0.21"/>
    <x v="3"/>
    <x v="760"/>
    <n v="0"/>
  </r>
  <r>
    <s v="U22461"/>
    <x v="50"/>
    <x v="1"/>
    <x v="0"/>
    <x v="1"/>
    <s v="Salesperson"/>
    <n v="3457.12"/>
    <n v="2172.86"/>
    <n v="22281.41"/>
    <s v="No"/>
    <s v="None"/>
    <n v="0"/>
    <n v="0"/>
    <n v="0"/>
    <n v="0"/>
    <n v="0"/>
    <n v="367"/>
    <n v="0.54"/>
    <x v="0"/>
    <x v="498"/>
    <n v="0"/>
  </r>
  <r>
    <s v="U22467"/>
    <x v="32"/>
    <x v="1"/>
    <x v="0"/>
    <x v="1"/>
    <s v="Salesperson"/>
    <n v="5692.44"/>
    <n v="5060.3599999999997"/>
    <n v="32802.76"/>
    <s v="Yes"/>
    <s v="Business"/>
    <n v="292890.02"/>
    <n v="360"/>
    <n v="2283.2800000000002"/>
    <n v="8.65"/>
    <n v="0.4"/>
    <n v="651"/>
    <n v="0.48"/>
    <x v="3"/>
    <x v="536"/>
    <n v="0"/>
  </r>
  <r>
    <s v="U22468"/>
    <x v="33"/>
    <x v="1"/>
    <x v="3"/>
    <x v="2"/>
    <s v="Engineer"/>
    <n v="3187.85"/>
    <n v="2803.75"/>
    <n v="10967.56"/>
    <s v="No"/>
    <s v="None"/>
    <n v="0"/>
    <n v="0"/>
    <n v="0"/>
    <n v="0"/>
    <n v="0"/>
    <n v="434"/>
    <n v="0.28999999999999998"/>
    <x v="3"/>
    <x v="1007"/>
    <n v="0"/>
  </r>
  <r>
    <s v="U22481"/>
    <x v="3"/>
    <x v="0"/>
    <x v="3"/>
    <x v="1"/>
    <s v="Driver"/>
    <n v="4768.17"/>
    <n v="3378.44"/>
    <n v="15487.12"/>
    <s v="No"/>
    <s v="None"/>
    <n v="0"/>
    <n v="0"/>
    <n v="0"/>
    <n v="0"/>
    <n v="0"/>
    <n v="764"/>
    <n v="0.27"/>
    <x v="4"/>
    <x v="429"/>
    <n v="0"/>
  </r>
  <r>
    <s v="U22482"/>
    <x v="13"/>
    <x v="0"/>
    <x v="0"/>
    <x v="1"/>
    <s v="Doctor"/>
    <n v="3494.37"/>
    <n v="2116.02"/>
    <n v="35938.57"/>
    <s v="Yes"/>
    <s v="Home"/>
    <n v="119214.28"/>
    <n v="360"/>
    <n v="2242.9899999999998"/>
    <n v="22.55"/>
    <n v="0.64"/>
    <n v="469"/>
    <n v="0.86"/>
    <x v="0"/>
    <x v="853"/>
    <n v="1"/>
  </r>
  <r>
    <s v="U22513"/>
    <x v="28"/>
    <x v="1"/>
    <x v="3"/>
    <x v="1"/>
    <s v="Teacher"/>
    <n v="5116.6400000000003"/>
    <n v="2571.94"/>
    <n v="55379.69"/>
    <s v="No"/>
    <s v="None"/>
    <n v="0"/>
    <n v="0"/>
    <n v="0"/>
    <n v="0"/>
    <n v="0"/>
    <n v="544"/>
    <n v="0.9"/>
    <x v="0"/>
    <x v="1008"/>
    <n v="0"/>
  </r>
  <r>
    <s v="U22520"/>
    <x v="35"/>
    <x v="1"/>
    <x v="0"/>
    <x v="1"/>
    <s v="Student"/>
    <n v="1083.71"/>
    <n v="777.3"/>
    <n v="2277.44"/>
    <s v="No"/>
    <s v="None"/>
    <n v="0"/>
    <n v="0"/>
    <n v="0"/>
    <n v="0"/>
    <n v="0"/>
    <n v="343"/>
    <n v="0.18"/>
    <x v="0"/>
    <x v="1009"/>
    <n v="0"/>
  </r>
  <r>
    <s v="U22522"/>
    <x v="42"/>
    <x v="0"/>
    <x v="3"/>
    <x v="3"/>
    <s v="Student"/>
    <n v="3209.81"/>
    <n v="2740.72"/>
    <n v="25171.26"/>
    <s v="No"/>
    <s v="None"/>
    <n v="0"/>
    <n v="0"/>
    <n v="0"/>
    <n v="0"/>
    <n v="0"/>
    <n v="695"/>
    <n v="0.65"/>
    <x v="4"/>
    <x v="131"/>
    <n v="0"/>
  </r>
  <r>
    <s v="U22529"/>
    <x v="16"/>
    <x v="1"/>
    <x v="4"/>
    <x v="1"/>
    <s v="Doctor"/>
    <n v="5466.13"/>
    <n v="4536.1000000000004"/>
    <n v="18322.47"/>
    <s v="No"/>
    <s v="None"/>
    <n v="0"/>
    <n v="0"/>
    <n v="0"/>
    <n v="0"/>
    <n v="0"/>
    <n v="370"/>
    <n v="0.28000000000000003"/>
    <x v="1"/>
    <x v="104"/>
    <n v="0"/>
  </r>
  <r>
    <s v="U22531"/>
    <x v="20"/>
    <x v="1"/>
    <x v="2"/>
    <x v="2"/>
    <s v="Manager"/>
    <n v="3160.69"/>
    <n v="2351.2600000000002"/>
    <n v="31231.200000000001"/>
    <s v="No"/>
    <s v="None"/>
    <n v="0"/>
    <n v="0"/>
    <n v="0"/>
    <n v="0"/>
    <n v="0"/>
    <n v="717"/>
    <n v="0.82"/>
    <x v="2"/>
    <x v="235"/>
    <n v="0"/>
  </r>
  <r>
    <s v="U22540"/>
    <x v="4"/>
    <x v="0"/>
    <x v="3"/>
    <x v="1"/>
    <s v="Salesperson"/>
    <n v="7416.15"/>
    <n v="3675.88"/>
    <n v="72716.2"/>
    <s v="No"/>
    <s v="None"/>
    <n v="0"/>
    <n v="0"/>
    <n v="0"/>
    <n v="0"/>
    <n v="0"/>
    <n v="583"/>
    <n v="0.82"/>
    <x v="1"/>
    <x v="519"/>
    <n v="0"/>
  </r>
  <r>
    <s v="U22543"/>
    <x v="36"/>
    <x v="0"/>
    <x v="3"/>
    <x v="0"/>
    <s v="Salesperson"/>
    <n v="3850.22"/>
    <n v="2035.53"/>
    <n v="45363.51"/>
    <s v="No"/>
    <s v="None"/>
    <n v="0"/>
    <n v="0"/>
    <n v="0"/>
    <n v="0"/>
    <n v="0"/>
    <n v="409"/>
    <n v="0.98"/>
    <x v="1"/>
    <x v="777"/>
    <n v="0"/>
  </r>
  <r>
    <s v="U22549"/>
    <x v="16"/>
    <x v="0"/>
    <x v="2"/>
    <x v="1"/>
    <s v="Manager"/>
    <n v="4040.4"/>
    <n v="2441.7800000000002"/>
    <n v="43797.42"/>
    <s v="No"/>
    <s v="None"/>
    <n v="0"/>
    <n v="0"/>
    <n v="0"/>
    <n v="0"/>
    <n v="0"/>
    <n v="795"/>
    <n v="0.9"/>
    <x v="0"/>
    <x v="1010"/>
    <n v="0"/>
  </r>
  <r>
    <s v="U22554"/>
    <x v="17"/>
    <x v="0"/>
    <x v="3"/>
    <x v="2"/>
    <s v="Accountant"/>
    <n v="6716.94"/>
    <n v="5659.44"/>
    <n v="73369.87"/>
    <s v="No"/>
    <s v="None"/>
    <n v="0"/>
    <n v="0"/>
    <n v="0"/>
    <n v="0"/>
    <n v="0"/>
    <n v="826"/>
    <n v="0.91"/>
    <x v="1"/>
    <x v="335"/>
    <n v="0"/>
  </r>
  <r>
    <s v="U22556"/>
    <x v="14"/>
    <x v="0"/>
    <x v="3"/>
    <x v="1"/>
    <s v="Teacher"/>
    <n v="4125.16"/>
    <n v="1646.7"/>
    <n v="8208.17"/>
    <s v="Yes"/>
    <s v="Education"/>
    <n v="419747.92"/>
    <n v="360"/>
    <n v="4496.08"/>
    <n v="12.55"/>
    <n v="1.0900000000000001"/>
    <n v="378"/>
    <n v="0.17"/>
    <x v="3"/>
    <x v="1011"/>
    <n v="1"/>
  </r>
  <r>
    <s v="U22566"/>
    <x v="23"/>
    <x v="0"/>
    <x v="2"/>
    <x v="1"/>
    <s v="Teacher"/>
    <n v="7706.87"/>
    <n v="3249.22"/>
    <n v="45129.64"/>
    <s v="No"/>
    <s v="None"/>
    <n v="0"/>
    <n v="0"/>
    <n v="0"/>
    <n v="0"/>
    <n v="0"/>
    <n v="748"/>
    <n v="0.49"/>
    <x v="0"/>
    <x v="675"/>
    <n v="0"/>
  </r>
  <r>
    <s v="U22591"/>
    <x v="16"/>
    <x v="0"/>
    <x v="1"/>
    <x v="2"/>
    <s v="Unemployed"/>
    <n v="793.88"/>
    <n v="316.58999999999997"/>
    <n v="8762"/>
    <s v="No"/>
    <s v="None"/>
    <n v="0"/>
    <n v="0"/>
    <n v="0"/>
    <n v="0"/>
    <n v="0"/>
    <n v="364"/>
    <n v="0.92"/>
    <x v="1"/>
    <x v="893"/>
    <n v="0"/>
  </r>
  <r>
    <s v="U22601"/>
    <x v="7"/>
    <x v="1"/>
    <x v="0"/>
    <x v="1"/>
    <s v="Accountant"/>
    <n v="2115"/>
    <n v="1374.77"/>
    <n v="15138.94"/>
    <s v="Yes"/>
    <s v="Business"/>
    <n v="58397.86"/>
    <n v="300"/>
    <n v="299.92"/>
    <n v="3.74"/>
    <n v="0.14000000000000001"/>
    <n v="757"/>
    <n v="0.6"/>
    <x v="3"/>
    <x v="1012"/>
    <n v="0"/>
  </r>
  <r>
    <s v="U22620"/>
    <x v="15"/>
    <x v="1"/>
    <x v="3"/>
    <x v="1"/>
    <s v="Unemployed"/>
    <n v="4229.74"/>
    <n v="2896.74"/>
    <n v="17759.310000000001"/>
    <s v="No"/>
    <s v="None"/>
    <n v="0"/>
    <n v="0"/>
    <n v="0"/>
    <n v="0"/>
    <n v="0"/>
    <n v="306"/>
    <n v="0.35"/>
    <x v="3"/>
    <x v="578"/>
    <n v="0"/>
  </r>
  <r>
    <s v="U22621"/>
    <x v="36"/>
    <x v="1"/>
    <x v="2"/>
    <x v="1"/>
    <s v="Accountant"/>
    <n v="3532.8"/>
    <n v="2078.02"/>
    <n v="39237.74"/>
    <s v="No"/>
    <s v="None"/>
    <n v="0"/>
    <n v="0"/>
    <n v="0"/>
    <n v="0"/>
    <n v="0"/>
    <n v="465"/>
    <n v="0.93"/>
    <x v="1"/>
    <x v="625"/>
    <n v="0"/>
  </r>
  <r>
    <s v="U22625"/>
    <x v="24"/>
    <x v="1"/>
    <x v="2"/>
    <x v="1"/>
    <s v="Student"/>
    <n v="5888.86"/>
    <n v="5270.09"/>
    <n v="17485.669999999998"/>
    <s v="No"/>
    <s v="None"/>
    <n v="0"/>
    <n v="0"/>
    <n v="0"/>
    <n v="0"/>
    <n v="0"/>
    <n v="670"/>
    <n v="0.25"/>
    <x v="0"/>
    <x v="1013"/>
    <n v="0"/>
  </r>
  <r>
    <s v="U22629"/>
    <x v="29"/>
    <x v="1"/>
    <x v="2"/>
    <x v="2"/>
    <s v="Accountant"/>
    <n v="6558.56"/>
    <n v="2219.62"/>
    <n v="58915.03"/>
    <s v="No"/>
    <s v="None"/>
    <n v="0"/>
    <n v="0"/>
    <n v="0"/>
    <n v="0"/>
    <n v="0"/>
    <n v="441"/>
    <n v="0.75"/>
    <x v="3"/>
    <x v="518"/>
    <n v="0"/>
  </r>
  <r>
    <s v="U22634"/>
    <x v="42"/>
    <x v="1"/>
    <x v="2"/>
    <x v="1"/>
    <s v="Manager"/>
    <n v="5514.14"/>
    <n v="3457.65"/>
    <n v="28498.32"/>
    <s v="No"/>
    <s v="None"/>
    <n v="0"/>
    <n v="0"/>
    <n v="0"/>
    <n v="0"/>
    <n v="0"/>
    <n v="465"/>
    <n v="0.43"/>
    <x v="1"/>
    <x v="860"/>
    <n v="0"/>
  </r>
  <r>
    <s v="U22661"/>
    <x v="41"/>
    <x v="0"/>
    <x v="3"/>
    <x v="2"/>
    <s v="Manager"/>
    <n v="4462.21"/>
    <n v="2035.32"/>
    <n v="29148.36"/>
    <s v="No"/>
    <s v="None"/>
    <n v="0"/>
    <n v="0"/>
    <n v="0"/>
    <n v="0"/>
    <n v="0"/>
    <n v="609"/>
    <n v="0.54"/>
    <x v="3"/>
    <x v="1014"/>
    <n v="0"/>
  </r>
  <r>
    <s v="U22663"/>
    <x v="48"/>
    <x v="0"/>
    <x v="2"/>
    <x v="1"/>
    <s v="Salesperson"/>
    <n v="6454.05"/>
    <n v="4483.37"/>
    <n v="16238.22"/>
    <s v="Yes"/>
    <s v="Car"/>
    <n v="7957.78"/>
    <n v="240"/>
    <n v="172.33"/>
    <n v="25.83"/>
    <n v="0.03"/>
    <n v="405"/>
    <n v="0.21"/>
    <x v="1"/>
    <x v="1008"/>
    <n v="0"/>
  </r>
  <r>
    <s v="U22664"/>
    <x v="31"/>
    <x v="1"/>
    <x v="0"/>
    <x v="1"/>
    <s v="Manager"/>
    <n v="2602.67"/>
    <n v="1856.82"/>
    <n v="28568.52"/>
    <s v="No"/>
    <s v="None"/>
    <n v="0"/>
    <n v="0"/>
    <n v="0"/>
    <n v="0"/>
    <n v="0"/>
    <n v="730"/>
    <n v="0.91"/>
    <x v="1"/>
    <x v="126"/>
    <n v="0"/>
  </r>
  <r>
    <s v="U22668"/>
    <x v="22"/>
    <x v="0"/>
    <x v="3"/>
    <x v="2"/>
    <s v="Salesperson"/>
    <n v="3090.24"/>
    <n v="1407.18"/>
    <n v="16594.53"/>
    <s v="Yes"/>
    <s v="Education"/>
    <n v="476075.71"/>
    <n v="240"/>
    <n v="4972.45"/>
    <n v="11.18"/>
    <n v="1.61"/>
    <n v="745"/>
    <n v="0.45"/>
    <x v="0"/>
    <x v="130"/>
    <n v="1"/>
  </r>
  <r>
    <s v="U22672"/>
    <x v="18"/>
    <x v="1"/>
    <x v="3"/>
    <x v="2"/>
    <s v="Salesperson"/>
    <n v="5556.9"/>
    <n v="2445.7600000000002"/>
    <n v="7165.06"/>
    <s v="No"/>
    <s v="None"/>
    <n v="0"/>
    <n v="0"/>
    <n v="0"/>
    <n v="0"/>
    <n v="0"/>
    <n v="302"/>
    <n v="0.11"/>
    <x v="3"/>
    <x v="594"/>
    <n v="0"/>
  </r>
  <r>
    <s v="U22673"/>
    <x v="34"/>
    <x v="0"/>
    <x v="1"/>
    <x v="2"/>
    <s v="Unemployed"/>
    <n v="2714.18"/>
    <n v="1948.5"/>
    <n v="11273.43"/>
    <s v="No"/>
    <s v="None"/>
    <n v="0"/>
    <n v="0"/>
    <n v="0"/>
    <n v="0"/>
    <n v="0"/>
    <n v="427"/>
    <n v="0.35"/>
    <x v="0"/>
    <x v="1015"/>
    <n v="0"/>
  </r>
  <r>
    <s v="U22679"/>
    <x v="13"/>
    <x v="1"/>
    <x v="4"/>
    <x v="1"/>
    <s v="Doctor"/>
    <n v="4471.09"/>
    <n v="1502.53"/>
    <n v="33225.82"/>
    <s v="No"/>
    <s v="None"/>
    <n v="0"/>
    <n v="0"/>
    <n v="0"/>
    <n v="0"/>
    <n v="0"/>
    <n v="467"/>
    <n v="0.62"/>
    <x v="3"/>
    <x v="675"/>
    <n v="0"/>
  </r>
  <r>
    <s v="U22719"/>
    <x v="18"/>
    <x v="1"/>
    <x v="3"/>
    <x v="1"/>
    <s v="Salesperson"/>
    <n v="4183.33"/>
    <n v="2160.84"/>
    <n v="14685.64"/>
    <s v="Yes"/>
    <s v="Education"/>
    <n v="122407.33"/>
    <n v="180"/>
    <n v="1325.15"/>
    <n v="10.130000000000001"/>
    <n v="0.32"/>
    <n v="494"/>
    <n v="0.28999999999999998"/>
    <x v="2"/>
    <x v="2"/>
    <n v="0"/>
  </r>
  <r>
    <s v="U22732"/>
    <x v="21"/>
    <x v="1"/>
    <x v="2"/>
    <x v="3"/>
    <s v="Doctor"/>
    <n v="5096.4799999999996"/>
    <n v="2520.34"/>
    <n v="35916.879999999997"/>
    <s v="No"/>
    <s v="None"/>
    <n v="0"/>
    <n v="0"/>
    <n v="0"/>
    <n v="0"/>
    <n v="0"/>
    <n v="403"/>
    <n v="0.59"/>
    <x v="2"/>
    <x v="893"/>
    <n v="0"/>
  </r>
  <r>
    <s v="U22733"/>
    <x v="23"/>
    <x v="0"/>
    <x v="1"/>
    <x v="1"/>
    <s v="Driver"/>
    <n v="3463.58"/>
    <n v="2949.79"/>
    <n v="32566.05"/>
    <s v="Yes"/>
    <s v="Home"/>
    <n v="237284.26"/>
    <n v="180"/>
    <n v="4463.01"/>
    <n v="21.67"/>
    <n v="1.29"/>
    <n v="521"/>
    <n v="0.78"/>
    <x v="0"/>
    <x v="1016"/>
    <n v="1"/>
  </r>
  <r>
    <s v="U22756"/>
    <x v="26"/>
    <x v="0"/>
    <x v="3"/>
    <x v="1"/>
    <s v="Engineer"/>
    <n v="8229.98"/>
    <n v="5560.88"/>
    <n v="71171.929999999993"/>
    <s v="No"/>
    <s v="None"/>
    <n v="0"/>
    <n v="0"/>
    <n v="0"/>
    <n v="0"/>
    <n v="0"/>
    <n v="602"/>
    <n v="0.72"/>
    <x v="1"/>
    <x v="1017"/>
    <n v="0"/>
  </r>
  <r>
    <s v="U22758"/>
    <x v="39"/>
    <x v="1"/>
    <x v="3"/>
    <x v="1"/>
    <s v="Student"/>
    <n v="3165.89"/>
    <n v="2217.2600000000002"/>
    <n v="10814.61"/>
    <s v="No"/>
    <s v="None"/>
    <n v="0"/>
    <n v="0"/>
    <n v="0"/>
    <n v="0"/>
    <n v="0"/>
    <n v="559"/>
    <n v="0.28000000000000003"/>
    <x v="2"/>
    <x v="164"/>
    <n v="0"/>
  </r>
  <r>
    <s v="U22768"/>
    <x v="22"/>
    <x v="1"/>
    <x v="3"/>
    <x v="2"/>
    <s v="Accountant"/>
    <n v="3949.95"/>
    <n v="1944.6"/>
    <n v="29974.48"/>
    <s v="No"/>
    <s v="None"/>
    <n v="0"/>
    <n v="0"/>
    <n v="0"/>
    <n v="0"/>
    <n v="0"/>
    <n v="342"/>
    <n v="0.63"/>
    <x v="4"/>
    <x v="1018"/>
    <n v="0"/>
  </r>
  <r>
    <s v="U22771"/>
    <x v="13"/>
    <x v="0"/>
    <x v="0"/>
    <x v="2"/>
    <s v="Unemployed"/>
    <n v="5808.45"/>
    <n v="3603.19"/>
    <n v="27712.2"/>
    <s v="No"/>
    <s v="None"/>
    <n v="0"/>
    <n v="0"/>
    <n v="0"/>
    <n v="0"/>
    <n v="0"/>
    <n v="376"/>
    <n v="0.4"/>
    <x v="1"/>
    <x v="1019"/>
    <n v="0"/>
  </r>
  <r>
    <s v="U22788"/>
    <x v="14"/>
    <x v="0"/>
    <x v="2"/>
    <x v="1"/>
    <s v="Driver"/>
    <n v="5373.46"/>
    <n v="4138.59"/>
    <n v="17761.900000000001"/>
    <s v="No"/>
    <s v="None"/>
    <n v="0"/>
    <n v="0"/>
    <n v="0"/>
    <n v="0"/>
    <n v="0"/>
    <n v="595"/>
    <n v="0.28000000000000003"/>
    <x v="3"/>
    <x v="555"/>
    <n v="0"/>
  </r>
  <r>
    <s v="U22806"/>
    <x v="24"/>
    <x v="0"/>
    <x v="0"/>
    <x v="1"/>
    <s v="Manager"/>
    <n v="500"/>
    <n v="416.69"/>
    <n v="3446.18"/>
    <s v="No"/>
    <s v="None"/>
    <n v="0"/>
    <n v="0"/>
    <n v="0"/>
    <n v="0"/>
    <n v="0"/>
    <n v="809"/>
    <n v="0.56999999999999995"/>
    <x v="3"/>
    <x v="1020"/>
    <n v="0"/>
  </r>
  <r>
    <s v="U22813"/>
    <x v="39"/>
    <x v="1"/>
    <x v="2"/>
    <x v="1"/>
    <s v="Doctor"/>
    <n v="2582.71"/>
    <n v="1959.8"/>
    <n v="7544.3"/>
    <s v="No"/>
    <s v="None"/>
    <n v="0"/>
    <n v="0"/>
    <n v="0"/>
    <n v="0"/>
    <n v="0"/>
    <n v="528"/>
    <n v="0.24"/>
    <x v="4"/>
    <x v="820"/>
    <n v="0"/>
  </r>
  <r>
    <s v="U22837"/>
    <x v="10"/>
    <x v="1"/>
    <x v="3"/>
    <x v="3"/>
    <s v="Teacher"/>
    <n v="7054.7"/>
    <n v="2365.71"/>
    <n v="76004.710000000006"/>
    <s v="No"/>
    <s v="None"/>
    <n v="0"/>
    <n v="0"/>
    <n v="0"/>
    <n v="0"/>
    <n v="0"/>
    <n v="484"/>
    <n v="0.9"/>
    <x v="3"/>
    <x v="360"/>
    <n v="0"/>
  </r>
  <r>
    <s v="U22839"/>
    <x v="9"/>
    <x v="2"/>
    <x v="0"/>
    <x v="1"/>
    <s v="Unemployed"/>
    <n v="3623.72"/>
    <n v="2380.0700000000002"/>
    <n v="30342.400000000001"/>
    <s v="No"/>
    <s v="None"/>
    <n v="0"/>
    <n v="0"/>
    <n v="0"/>
    <n v="0"/>
    <n v="0"/>
    <n v="584"/>
    <n v="0.7"/>
    <x v="2"/>
    <x v="174"/>
    <n v="0"/>
  </r>
  <r>
    <s v="U22843"/>
    <x v="40"/>
    <x v="1"/>
    <x v="0"/>
    <x v="1"/>
    <s v="Student"/>
    <n v="3590.12"/>
    <n v="3066.68"/>
    <n v="38552.449999999997"/>
    <s v="No"/>
    <s v="None"/>
    <n v="0"/>
    <n v="0"/>
    <n v="0"/>
    <n v="0"/>
    <n v="0"/>
    <n v="829"/>
    <n v="0.89"/>
    <x v="2"/>
    <x v="679"/>
    <n v="0"/>
  </r>
  <r>
    <s v="U22853"/>
    <x v="2"/>
    <x v="1"/>
    <x v="0"/>
    <x v="3"/>
    <s v="Teacher"/>
    <n v="6617.62"/>
    <n v="5722.55"/>
    <n v="18722.900000000001"/>
    <s v="Yes"/>
    <s v="Business"/>
    <n v="152932.47"/>
    <n v="240"/>
    <n v="1222.68"/>
    <n v="7.4"/>
    <n v="0.18"/>
    <n v="559"/>
    <n v="0.24"/>
    <x v="0"/>
    <x v="1021"/>
    <n v="0"/>
  </r>
  <r>
    <s v="U22871"/>
    <x v="44"/>
    <x v="0"/>
    <x v="0"/>
    <x v="1"/>
    <s v="Doctor"/>
    <n v="1673.68"/>
    <n v="1179.69"/>
    <n v="17809.060000000001"/>
    <s v="No"/>
    <s v="None"/>
    <n v="0"/>
    <n v="0"/>
    <n v="0"/>
    <n v="0"/>
    <n v="0"/>
    <n v="491"/>
    <n v="0.89"/>
    <x v="4"/>
    <x v="473"/>
    <n v="0"/>
  </r>
  <r>
    <s v="U22886"/>
    <x v="11"/>
    <x v="1"/>
    <x v="2"/>
    <x v="1"/>
    <s v="Engineer"/>
    <n v="5306.54"/>
    <n v="3915.74"/>
    <n v="53754.34"/>
    <s v="Yes"/>
    <s v="Home"/>
    <n v="465850.21"/>
    <n v="300"/>
    <n v="7281.72"/>
    <n v="18.57"/>
    <n v="1.37"/>
    <n v="376"/>
    <n v="0.84"/>
    <x v="0"/>
    <x v="1022"/>
    <n v="1"/>
  </r>
  <r>
    <s v="U22889"/>
    <x v="21"/>
    <x v="1"/>
    <x v="3"/>
    <x v="1"/>
    <s v="Teacher"/>
    <n v="3483.22"/>
    <n v="1408.62"/>
    <n v="11664.99"/>
    <s v="No"/>
    <s v="None"/>
    <n v="0"/>
    <n v="0"/>
    <n v="0"/>
    <n v="0"/>
    <n v="0"/>
    <n v="569"/>
    <n v="0.28000000000000003"/>
    <x v="1"/>
    <x v="268"/>
    <n v="0"/>
  </r>
  <r>
    <s v="U22901"/>
    <x v="18"/>
    <x v="1"/>
    <x v="1"/>
    <x v="1"/>
    <s v="Student"/>
    <n v="4143.2700000000004"/>
    <n v="1989.48"/>
    <n v="33900.04"/>
    <s v="No"/>
    <s v="None"/>
    <n v="0"/>
    <n v="0"/>
    <n v="0"/>
    <n v="0"/>
    <n v="0"/>
    <n v="445"/>
    <n v="0.68"/>
    <x v="3"/>
    <x v="1023"/>
    <n v="0"/>
  </r>
  <r>
    <s v="U22908"/>
    <x v="38"/>
    <x v="1"/>
    <x v="3"/>
    <x v="1"/>
    <s v="Manager"/>
    <n v="7730.32"/>
    <n v="5393.41"/>
    <n v="73057.19"/>
    <s v="Yes"/>
    <s v="Education"/>
    <n v="28427.83"/>
    <n v="24"/>
    <n v="1358.2"/>
    <n v="13.5"/>
    <n v="0.18"/>
    <n v="653"/>
    <n v="0.79"/>
    <x v="2"/>
    <x v="365"/>
    <n v="0"/>
  </r>
  <r>
    <s v="U22911"/>
    <x v="0"/>
    <x v="1"/>
    <x v="2"/>
    <x v="1"/>
    <s v="Unemployed"/>
    <n v="7364.39"/>
    <n v="6045.6"/>
    <n v="10021.9"/>
    <s v="No"/>
    <s v="None"/>
    <n v="0"/>
    <n v="0"/>
    <n v="0"/>
    <n v="0"/>
    <n v="0"/>
    <n v="823"/>
    <n v="0.11"/>
    <x v="3"/>
    <x v="1022"/>
    <n v="0"/>
  </r>
  <r>
    <s v="U22918"/>
    <x v="21"/>
    <x v="0"/>
    <x v="2"/>
    <x v="1"/>
    <s v="Unemployed"/>
    <n v="3565.99"/>
    <n v="1801.94"/>
    <n v="35572.15"/>
    <s v="No"/>
    <s v="None"/>
    <n v="0"/>
    <n v="0"/>
    <n v="0"/>
    <n v="0"/>
    <n v="0"/>
    <n v="718"/>
    <n v="0.83"/>
    <x v="4"/>
    <x v="933"/>
    <n v="0"/>
  </r>
  <r>
    <s v="U22935"/>
    <x v="12"/>
    <x v="0"/>
    <x v="1"/>
    <x v="1"/>
    <s v="Driver"/>
    <n v="5532"/>
    <n v="2163.58"/>
    <n v="21228.23"/>
    <s v="No"/>
    <s v="None"/>
    <n v="0"/>
    <n v="0"/>
    <n v="0"/>
    <n v="0"/>
    <n v="0"/>
    <n v="771"/>
    <n v="0.32"/>
    <x v="0"/>
    <x v="821"/>
    <n v="0"/>
  </r>
  <r>
    <s v="U22945"/>
    <x v="38"/>
    <x v="1"/>
    <x v="3"/>
    <x v="1"/>
    <s v="Driver"/>
    <n v="6643.86"/>
    <n v="5808.15"/>
    <n v="49186.77"/>
    <s v="No"/>
    <s v="None"/>
    <n v="0"/>
    <n v="0"/>
    <n v="0"/>
    <n v="0"/>
    <n v="0"/>
    <n v="300"/>
    <n v="0.62"/>
    <x v="2"/>
    <x v="75"/>
    <n v="0"/>
  </r>
  <r>
    <s v="U22947"/>
    <x v="4"/>
    <x v="0"/>
    <x v="0"/>
    <x v="1"/>
    <s v="Doctor"/>
    <n v="3339.52"/>
    <n v="1490.31"/>
    <n v="14713.79"/>
    <s v="Yes"/>
    <s v="Business"/>
    <n v="78236.86"/>
    <n v="60"/>
    <n v="2309.2199999999998"/>
    <n v="25.28"/>
    <n v="0.69"/>
    <n v="824"/>
    <n v="0.37"/>
    <x v="0"/>
    <x v="703"/>
    <n v="1"/>
  </r>
  <r>
    <s v="U22950"/>
    <x v="51"/>
    <x v="0"/>
    <x v="3"/>
    <x v="1"/>
    <s v="Doctor"/>
    <n v="3894.62"/>
    <n v="2887.75"/>
    <n v="9088.9699999999993"/>
    <s v="No"/>
    <s v="None"/>
    <n v="0"/>
    <n v="0"/>
    <n v="0"/>
    <n v="0"/>
    <n v="0"/>
    <n v="762"/>
    <n v="0.19"/>
    <x v="0"/>
    <x v="130"/>
    <n v="0"/>
  </r>
  <r>
    <s v="U22963"/>
    <x v="0"/>
    <x v="1"/>
    <x v="2"/>
    <x v="3"/>
    <s v="Salesperson"/>
    <n v="3548.16"/>
    <n v="2260.8000000000002"/>
    <n v="32977.910000000003"/>
    <s v="No"/>
    <s v="None"/>
    <n v="0"/>
    <n v="0"/>
    <n v="0"/>
    <n v="0"/>
    <n v="0"/>
    <n v="568"/>
    <n v="0.77"/>
    <x v="1"/>
    <x v="1024"/>
    <n v="0"/>
  </r>
  <r>
    <s v="U22968"/>
    <x v="27"/>
    <x v="1"/>
    <x v="0"/>
    <x v="1"/>
    <s v="Salesperson"/>
    <n v="4624.16"/>
    <n v="3492.54"/>
    <n v="52540.54"/>
    <s v="No"/>
    <s v="None"/>
    <n v="0"/>
    <n v="0"/>
    <n v="0"/>
    <n v="0"/>
    <n v="0"/>
    <n v="494"/>
    <n v="0.95"/>
    <x v="2"/>
    <x v="1025"/>
    <n v="0"/>
  </r>
  <r>
    <s v="U22974"/>
    <x v="13"/>
    <x v="1"/>
    <x v="0"/>
    <x v="1"/>
    <s v="Doctor"/>
    <n v="3004.64"/>
    <n v="2366.4499999999998"/>
    <n v="33094.18"/>
    <s v="No"/>
    <s v="None"/>
    <n v="0"/>
    <n v="0"/>
    <n v="0"/>
    <n v="0"/>
    <n v="0"/>
    <n v="485"/>
    <n v="0.92"/>
    <x v="0"/>
    <x v="1026"/>
    <n v="0"/>
  </r>
  <r>
    <s v="U22983"/>
    <x v="14"/>
    <x v="0"/>
    <x v="4"/>
    <x v="2"/>
    <s v="Student"/>
    <n v="3518.41"/>
    <n v="2308.41"/>
    <n v="28668.09"/>
    <s v="No"/>
    <s v="None"/>
    <n v="0"/>
    <n v="0"/>
    <n v="0"/>
    <n v="0"/>
    <n v="0"/>
    <n v="601"/>
    <n v="0.68"/>
    <x v="3"/>
    <x v="343"/>
    <n v="0"/>
  </r>
  <r>
    <s v="U22991"/>
    <x v="33"/>
    <x v="0"/>
    <x v="2"/>
    <x v="1"/>
    <s v="Accountant"/>
    <n v="5913.92"/>
    <n v="4895.54"/>
    <n v="58099.360000000001"/>
    <s v="No"/>
    <s v="None"/>
    <n v="0"/>
    <n v="0"/>
    <n v="0"/>
    <n v="0"/>
    <n v="0"/>
    <n v="384"/>
    <n v="0.82"/>
    <x v="3"/>
    <x v="761"/>
    <n v="0"/>
  </r>
  <r>
    <s v="U22994"/>
    <x v="12"/>
    <x v="1"/>
    <x v="3"/>
    <x v="1"/>
    <s v="Teacher"/>
    <n v="6277.58"/>
    <n v="3346.25"/>
    <n v="51292.69"/>
    <s v="No"/>
    <s v="None"/>
    <n v="0"/>
    <n v="0"/>
    <n v="0"/>
    <n v="0"/>
    <n v="0"/>
    <n v="454"/>
    <n v="0.68"/>
    <x v="1"/>
    <x v="1027"/>
    <n v="0"/>
  </r>
  <r>
    <s v="U23016"/>
    <x v="37"/>
    <x v="1"/>
    <x v="3"/>
    <x v="3"/>
    <s v="Teacher"/>
    <n v="4157.5"/>
    <n v="3732.72"/>
    <n v="43710.35"/>
    <s v="No"/>
    <s v="None"/>
    <n v="0"/>
    <n v="0"/>
    <n v="0"/>
    <n v="0"/>
    <n v="0"/>
    <n v="392"/>
    <n v="0.88"/>
    <x v="1"/>
    <x v="1028"/>
    <n v="0"/>
  </r>
  <r>
    <s v="U23041"/>
    <x v="43"/>
    <x v="0"/>
    <x v="2"/>
    <x v="1"/>
    <s v="Engineer"/>
    <n v="1399.21"/>
    <n v="1169.95"/>
    <n v="4434.3500000000004"/>
    <s v="No"/>
    <s v="None"/>
    <n v="0"/>
    <n v="0"/>
    <n v="0"/>
    <n v="0"/>
    <n v="0"/>
    <n v="704"/>
    <n v="0.26"/>
    <x v="0"/>
    <x v="339"/>
    <n v="0"/>
  </r>
  <r>
    <s v="U23046"/>
    <x v="1"/>
    <x v="1"/>
    <x v="4"/>
    <x v="0"/>
    <s v="Engineer"/>
    <n v="3273.51"/>
    <n v="2308.2199999999998"/>
    <n v="30334.71"/>
    <s v="No"/>
    <s v="None"/>
    <n v="0"/>
    <n v="0"/>
    <n v="0"/>
    <n v="0"/>
    <n v="0"/>
    <n v="510"/>
    <n v="0.77"/>
    <x v="0"/>
    <x v="1029"/>
    <n v="0"/>
  </r>
  <r>
    <s v="U23085"/>
    <x v="11"/>
    <x v="0"/>
    <x v="3"/>
    <x v="1"/>
    <s v="Manager"/>
    <n v="3638.7"/>
    <n v="1347.29"/>
    <n v="32629.5"/>
    <s v="No"/>
    <s v="None"/>
    <n v="0"/>
    <n v="0"/>
    <n v="0"/>
    <n v="0"/>
    <n v="0"/>
    <n v="822"/>
    <n v="0.75"/>
    <x v="2"/>
    <x v="1030"/>
    <n v="0"/>
  </r>
  <r>
    <s v="U23104"/>
    <x v="13"/>
    <x v="0"/>
    <x v="3"/>
    <x v="1"/>
    <s v="Doctor"/>
    <n v="3423.97"/>
    <n v="1912.08"/>
    <n v="20732.72"/>
    <s v="No"/>
    <s v="None"/>
    <n v="0"/>
    <n v="0"/>
    <n v="0"/>
    <n v="0"/>
    <n v="0"/>
    <n v="722"/>
    <n v="0.5"/>
    <x v="1"/>
    <x v="923"/>
    <n v="0"/>
  </r>
  <r>
    <s v="U23105"/>
    <x v="9"/>
    <x v="1"/>
    <x v="0"/>
    <x v="1"/>
    <s v="Student"/>
    <n v="6677.65"/>
    <n v="2172.9899999999998"/>
    <n v="68935.58"/>
    <s v="No"/>
    <s v="None"/>
    <n v="0"/>
    <n v="0"/>
    <n v="0"/>
    <n v="0"/>
    <n v="0"/>
    <n v="837"/>
    <n v="0.86"/>
    <x v="4"/>
    <x v="508"/>
    <n v="0"/>
  </r>
  <r>
    <s v="U23110"/>
    <x v="9"/>
    <x v="1"/>
    <x v="3"/>
    <x v="1"/>
    <s v="Teacher"/>
    <n v="3009.69"/>
    <n v="1727"/>
    <n v="18963.12"/>
    <s v="No"/>
    <s v="None"/>
    <n v="0"/>
    <n v="0"/>
    <n v="0"/>
    <n v="0"/>
    <n v="0"/>
    <n v="476"/>
    <n v="0.53"/>
    <x v="2"/>
    <x v="911"/>
    <n v="0"/>
  </r>
  <r>
    <s v="U23111"/>
    <x v="40"/>
    <x v="2"/>
    <x v="2"/>
    <x v="1"/>
    <s v="Manager"/>
    <n v="3515.69"/>
    <n v="2561.1"/>
    <n v="21178.12"/>
    <s v="No"/>
    <s v="None"/>
    <n v="0"/>
    <n v="0"/>
    <n v="0"/>
    <n v="0"/>
    <n v="0"/>
    <n v="413"/>
    <n v="0.5"/>
    <x v="4"/>
    <x v="775"/>
    <n v="0"/>
  </r>
  <r>
    <s v="U23113"/>
    <x v="3"/>
    <x v="1"/>
    <x v="4"/>
    <x v="1"/>
    <s v="Accountant"/>
    <n v="4100.8100000000004"/>
    <n v="1637.11"/>
    <n v="34509.4"/>
    <s v="Yes"/>
    <s v="Education"/>
    <n v="454913.18"/>
    <n v="120"/>
    <n v="5200.2299999999996"/>
    <n v="6.65"/>
    <n v="1.27"/>
    <n v="652"/>
    <n v="0.7"/>
    <x v="0"/>
    <x v="611"/>
    <n v="1"/>
  </r>
  <r>
    <s v="U23115"/>
    <x v="49"/>
    <x v="1"/>
    <x v="3"/>
    <x v="2"/>
    <s v="Driver"/>
    <n v="500"/>
    <n v="232.14"/>
    <n v="5439.34"/>
    <s v="No"/>
    <s v="None"/>
    <n v="0"/>
    <n v="0"/>
    <n v="0"/>
    <n v="0"/>
    <n v="0"/>
    <n v="333"/>
    <n v="0.91"/>
    <x v="3"/>
    <x v="528"/>
    <n v="0"/>
  </r>
  <r>
    <s v="U23121"/>
    <x v="32"/>
    <x v="1"/>
    <x v="3"/>
    <x v="1"/>
    <s v="Doctor"/>
    <n v="4672.25"/>
    <n v="2436.73"/>
    <n v="45490.71"/>
    <s v="Yes"/>
    <s v="Business"/>
    <n v="320462.98"/>
    <n v="120"/>
    <n v="5012.3900000000003"/>
    <n v="14.19"/>
    <n v="1.07"/>
    <n v="690"/>
    <n v="0.81"/>
    <x v="0"/>
    <x v="732"/>
    <n v="1"/>
  </r>
  <r>
    <s v="U23130"/>
    <x v="17"/>
    <x v="0"/>
    <x v="2"/>
    <x v="1"/>
    <s v="Teacher"/>
    <n v="4361.93"/>
    <n v="3135.13"/>
    <n v="33628.04"/>
    <s v="Yes"/>
    <s v="Car"/>
    <n v="355071.05"/>
    <n v="180"/>
    <n v="2474.3200000000002"/>
    <n v="3.13"/>
    <n v="0.56999999999999995"/>
    <n v="408"/>
    <n v="0.64"/>
    <x v="1"/>
    <x v="877"/>
    <n v="1"/>
  </r>
  <r>
    <s v="U23148"/>
    <x v="8"/>
    <x v="1"/>
    <x v="0"/>
    <x v="1"/>
    <s v="Unemployed"/>
    <n v="2524.4499999999998"/>
    <n v="1665.71"/>
    <n v="7497.36"/>
    <s v="No"/>
    <s v="None"/>
    <n v="0"/>
    <n v="0"/>
    <n v="0"/>
    <n v="0"/>
    <n v="0"/>
    <n v="708"/>
    <n v="0.25"/>
    <x v="4"/>
    <x v="1031"/>
    <n v="0"/>
  </r>
  <r>
    <s v="U23165"/>
    <x v="6"/>
    <x v="0"/>
    <x v="2"/>
    <x v="2"/>
    <s v="Manager"/>
    <n v="3299"/>
    <n v="1965.82"/>
    <n v="19312.63"/>
    <s v="Yes"/>
    <s v="Home"/>
    <n v="254714.03"/>
    <n v="120"/>
    <n v="5975.09"/>
    <n v="26"/>
    <n v="1.81"/>
    <n v="759"/>
    <n v="0.49"/>
    <x v="4"/>
    <x v="320"/>
    <n v="1"/>
  </r>
  <r>
    <s v="U23183"/>
    <x v="11"/>
    <x v="1"/>
    <x v="3"/>
    <x v="0"/>
    <s v="Teacher"/>
    <n v="3558.44"/>
    <n v="3023.78"/>
    <n v="35197.39"/>
    <s v="No"/>
    <s v="None"/>
    <n v="0"/>
    <n v="0"/>
    <n v="0"/>
    <n v="0"/>
    <n v="0"/>
    <n v="646"/>
    <n v="0.82"/>
    <x v="3"/>
    <x v="786"/>
    <n v="0"/>
  </r>
  <r>
    <s v="U23198"/>
    <x v="46"/>
    <x v="1"/>
    <x v="4"/>
    <x v="2"/>
    <s v="Manager"/>
    <n v="3925.22"/>
    <n v="1549.55"/>
    <n v="20920.740000000002"/>
    <s v="Yes"/>
    <s v="Business"/>
    <n v="494154.02"/>
    <n v="360"/>
    <n v="4923.75"/>
    <n v="11.58"/>
    <n v="1.25"/>
    <n v="785"/>
    <n v="0.44"/>
    <x v="3"/>
    <x v="773"/>
    <n v="1"/>
  </r>
  <r>
    <s v="U23204"/>
    <x v="49"/>
    <x v="1"/>
    <x v="3"/>
    <x v="1"/>
    <s v="Teacher"/>
    <n v="1269.9100000000001"/>
    <n v="888.54"/>
    <n v="5852.55"/>
    <s v="No"/>
    <s v="None"/>
    <n v="0"/>
    <n v="0"/>
    <n v="0"/>
    <n v="0"/>
    <n v="0"/>
    <n v="826"/>
    <n v="0.38"/>
    <x v="3"/>
    <x v="792"/>
    <n v="0"/>
  </r>
  <r>
    <s v="U23212"/>
    <x v="17"/>
    <x v="0"/>
    <x v="0"/>
    <x v="1"/>
    <s v="Engineer"/>
    <n v="4485.22"/>
    <n v="1503.11"/>
    <n v="29892.98"/>
    <s v="No"/>
    <s v="None"/>
    <n v="0"/>
    <n v="0"/>
    <n v="0"/>
    <n v="0"/>
    <n v="0"/>
    <n v="399"/>
    <n v="0.56000000000000005"/>
    <x v="1"/>
    <x v="39"/>
    <n v="0"/>
  </r>
  <r>
    <s v="U23213"/>
    <x v="24"/>
    <x v="2"/>
    <x v="2"/>
    <x v="1"/>
    <s v="Student"/>
    <n v="6402.9"/>
    <n v="3910.5"/>
    <n v="66455.61"/>
    <s v="Yes"/>
    <s v="Education"/>
    <n v="393379.94"/>
    <n v="36"/>
    <n v="11575.68"/>
    <n v="3.78"/>
    <n v="1.81"/>
    <n v="428"/>
    <n v="0.86"/>
    <x v="4"/>
    <x v="1032"/>
    <n v="1"/>
  </r>
  <r>
    <s v="U23227"/>
    <x v="21"/>
    <x v="1"/>
    <x v="0"/>
    <x v="0"/>
    <s v="Manager"/>
    <n v="6364.51"/>
    <n v="2230.15"/>
    <n v="42517.46"/>
    <s v="No"/>
    <s v="None"/>
    <n v="0"/>
    <n v="0"/>
    <n v="0"/>
    <n v="0"/>
    <n v="0"/>
    <n v="550"/>
    <n v="0.56000000000000005"/>
    <x v="0"/>
    <x v="1"/>
    <n v="0"/>
  </r>
  <r>
    <s v="U23233"/>
    <x v="51"/>
    <x v="0"/>
    <x v="3"/>
    <x v="2"/>
    <s v="Unemployed"/>
    <n v="3801.68"/>
    <n v="2969.08"/>
    <n v="26942.91"/>
    <s v="Yes"/>
    <s v="Education"/>
    <n v="420870.73"/>
    <n v="180"/>
    <n v="5461.44"/>
    <n v="13.49"/>
    <n v="1.44"/>
    <n v="815"/>
    <n v="0.59"/>
    <x v="2"/>
    <x v="545"/>
    <n v="1"/>
  </r>
  <r>
    <s v="U23249"/>
    <x v="9"/>
    <x v="0"/>
    <x v="0"/>
    <x v="1"/>
    <s v="Student"/>
    <n v="6171.29"/>
    <n v="4393.41"/>
    <n v="16847.78"/>
    <s v="No"/>
    <s v="None"/>
    <n v="0"/>
    <n v="0"/>
    <n v="0"/>
    <n v="0"/>
    <n v="0"/>
    <n v="319"/>
    <n v="0.23"/>
    <x v="1"/>
    <x v="1033"/>
    <n v="0"/>
  </r>
  <r>
    <s v="U23250"/>
    <x v="14"/>
    <x v="0"/>
    <x v="0"/>
    <x v="3"/>
    <s v="Unemployed"/>
    <n v="6805.57"/>
    <n v="5091.62"/>
    <n v="17049.04"/>
    <s v="No"/>
    <s v="None"/>
    <n v="0"/>
    <n v="0"/>
    <n v="0"/>
    <n v="0"/>
    <n v="0"/>
    <n v="778"/>
    <n v="0.21"/>
    <x v="4"/>
    <x v="252"/>
    <n v="0"/>
  </r>
  <r>
    <s v="U23260"/>
    <x v="9"/>
    <x v="1"/>
    <x v="1"/>
    <x v="1"/>
    <s v="Manager"/>
    <n v="1171.6199999999999"/>
    <n v="355.2"/>
    <n v="11923.39"/>
    <s v="No"/>
    <s v="None"/>
    <n v="0"/>
    <n v="0"/>
    <n v="0"/>
    <n v="0"/>
    <n v="0"/>
    <n v="570"/>
    <n v="0.85"/>
    <x v="0"/>
    <x v="730"/>
    <n v="0"/>
  </r>
  <r>
    <s v="U23278"/>
    <x v="32"/>
    <x v="1"/>
    <x v="3"/>
    <x v="1"/>
    <s v="Engineer"/>
    <n v="3307.67"/>
    <n v="1353.45"/>
    <n v="32355.98"/>
    <s v="No"/>
    <s v="None"/>
    <n v="0"/>
    <n v="0"/>
    <n v="0"/>
    <n v="0"/>
    <n v="0"/>
    <n v="406"/>
    <n v="0.82"/>
    <x v="0"/>
    <x v="839"/>
    <n v="0"/>
  </r>
  <r>
    <s v="U23281"/>
    <x v="3"/>
    <x v="1"/>
    <x v="0"/>
    <x v="3"/>
    <s v="Teacher"/>
    <n v="4731.87"/>
    <n v="3900.36"/>
    <n v="51521.19"/>
    <s v="No"/>
    <s v="None"/>
    <n v="0"/>
    <n v="0"/>
    <n v="0"/>
    <n v="0"/>
    <n v="0"/>
    <n v="618"/>
    <n v="0.91"/>
    <x v="1"/>
    <x v="778"/>
    <n v="0"/>
  </r>
  <r>
    <s v="U23310"/>
    <x v="11"/>
    <x v="0"/>
    <x v="2"/>
    <x v="1"/>
    <s v="Doctor"/>
    <n v="3577.54"/>
    <n v="1731.79"/>
    <n v="16869.990000000002"/>
    <s v="No"/>
    <s v="None"/>
    <n v="0"/>
    <n v="0"/>
    <n v="0"/>
    <n v="0"/>
    <n v="0"/>
    <n v="379"/>
    <n v="0.39"/>
    <x v="3"/>
    <x v="1034"/>
    <n v="0"/>
  </r>
  <r>
    <s v="U23311"/>
    <x v="36"/>
    <x v="0"/>
    <x v="3"/>
    <x v="3"/>
    <s v="Teacher"/>
    <n v="5163.21"/>
    <n v="4586.66"/>
    <n v="60140.9"/>
    <s v="Yes"/>
    <s v="Education"/>
    <n v="164662.46"/>
    <n v="60"/>
    <n v="4621.12"/>
    <n v="22.78"/>
    <n v="0.9"/>
    <n v="642"/>
    <n v="0.97"/>
    <x v="0"/>
    <x v="128"/>
    <n v="1"/>
  </r>
  <r>
    <s v="U23316"/>
    <x v="37"/>
    <x v="0"/>
    <x v="3"/>
    <x v="3"/>
    <s v="Student"/>
    <n v="5407.92"/>
    <n v="3711.62"/>
    <n v="21655.98"/>
    <s v="Yes"/>
    <s v="Car"/>
    <n v="97438.52"/>
    <n v="60"/>
    <n v="1787.89"/>
    <n v="3.85"/>
    <n v="0.33"/>
    <n v="379"/>
    <n v="0.33"/>
    <x v="0"/>
    <x v="1035"/>
    <n v="0"/>
  </r>
  <r>
    <s v="U23339"/>
    <x v="10"/>
    <x v="0"/>
    <x v="2"/>
    <x v="2"/>
    <s v="Accountant"/>
    <n v="3455.73"/>
    <n v="2996.16"/>
    <n v="34254.81"/>
    <s v="Yes"/>
    <s v="Education"/>
    <n v="120678.74"/>
    <n v="240"/>
    <n v="2622.19"/>
    <n v="25.92"/>
    <n v="0.76"/>
    <n v="833"/>
    <n v="0.83"/>
    <x v="1"/>
    <x v="466"/>
    <n v="1"/>
  </r>
  <r>
    <s v="U23354"/>
    <x v="26"/>
    <x v="0"/>
    <x v="3"/>
    <x v="2"/>
    <s v="Student"/>
    <n v="6420.77"/>
    <n v="4625.8500000000004"/>
    <n v="11364.46"/>
    <s v="No"/>
    <s v="None"/>
    <n v="0"/>
    <n v="0"/>
    <n v="0"/>
    <n v="0"/>
    <n v="0"/>
    <n v="312"/>
    <n v="0.15"/>
    <x v="2"/>
    <x v="1036"/>
    <n v="0"/>
  </r>
  <r>
    <s v="U23368"/>
    <x v="28"/>
    <x v="0"/>
    <x v="3"/>
    <x v="1"/>
    <s v="Doctor"/>
    <n v="2006.46"/>
    <n v="1378.87"/>
    <n v="18360.740000000002"/>
    <s v="No"/>
    <s v="None"/>
    <n v="0"/>
    <n v="0"/>
    <n v="0"/>
    <n v="0"/>
    <n v="0"/>
    <n v="413"/>
    <n v="0.76"/>
    <x v="0"/>
    <x v="744"/>
    <n v="0"/>
  </r>
  <r>
    <s v="U23370"/>
    <x v="32"/>
    <x v="1"/>
    <x v="3"/>
    <x v="1"/>
    <s v="Teacher"/>
    <n v="3994.45"/>
    <n v="1703.51"/>
    <n v="7897.11"/>
    <s v="Yes"/>
    <s v="Home"/>
    <n v="157566.01999999999"/>
    <n v="180"/>
    <n v="2682.73"/>
    <n v="19.27"/>
    <n v="0.67"/>
    <n v="680"/>
    <n v="0.16"/>
    <x v="1"/>
    <x v="1037"/>
    <n v="1"/>
  </r>
  <r>
    <s v="U23376"/>
    <x v="34"/>
    <x v="0"/>
    <x v="3"/>
    <x v="1"/>
    <s v="Student"/>
    <n v="4956.53"/>
    <n v="2566.38"/>
    <n v="46160.36"/>
    <s v="Yes"/>
    <s v="Business"/>
    <n v="30289.38"/>
    <n v="120"/>
    <n v="476.87"/>
    <n v="14.36"/>
    <n v="0.1"/>
    <n v="711"/>
    <n v="0.78"/>
    <x v="4"/>
    <x v="898"/>
    <n v="0"/>
  </r>
  <r>
    <s v="U23388"/>
    <x v="2"/>
    <x v="1"/>
    <x v="2"/>
    <x v="1"/>
    <s v="Doctor"/>
    <n v="5664.18"/>
    <n v="2910.18"/>
    <n v="52212.7"/>
    <s v="No"/>
    <s v="None"/>
    <n v="0"/>
    <n v="0"/>
    <n v="0"/>
    <n v="0"/>
    <n v="0"/>
    <n v="657"/>
    <n v="0.77"/>
    <x v="2"/>
    <x v="1038"/>
    <n v="0"/>
  </r>
  <r>
    <s v="U23394"/>
    <x v="51"/>
    <x v="0"/>
    <x v="3"/>
    <x v="3"/>
    <s v="Driver"/>
    <n v="5808.19"/>
    <n v="3940.65"/>
    <n v="58061.07"/>
    <s v="No"/>
    <s v="None"/>
    <n v="0"/>
    <n v="0"/>
    <n v="0"/>
    <n v="0"/>
    <n v="0"/>
    <n v="516"/>
    <n v="0.83"/>
    <x v="0"/>
    <x v="1039"/>
    <n v="0"/>
  </r>
  <r>
    <s v="U23400"/>
    <x v="21"/>
    <x v="1"/>
    <x v="3"/>
    <x v="0"/>
    <s v="Accountant"/>
    <n v="5389.05"/>
    <n v="2567.89"/>
    <n v="9512.15"/>
    <s v="No"/>
    <s v="None"/>
    <n v="0"/>
    <n v="0"/>
    <n v="0"/>
    <n v="0"/>
    <n v="0"/>
    <n v="837"/>
    <n v="0.15"/>
    <x v="4"/>
    <x v="40"/>
    <n v="0"/>
  </r>
  <r>
    <s v="U23412"/>
    <x v="8"/>
    <x v="0"/>
    <x v="1"/>
    <x v="3"/>
    <s v="Salesperson"/>
    <n v="8427.7199999999993"/>
    <n v="4351.25"/>
    <n v="24440.83"/>
    <s v="Yes"/>
    <s v="Business"/>
    <n v="457509.88"/>
    <n v="360"/>
    <n v="7085.74"/>
    <n v="18.510000000000002"/>
    <n v="0.84"/>
    <n v="453"/>
    <n v="0.24"/>
    <x v="1"/>
    <x v="318"/>
    <n v="1"/>
  </r>
  <r>
    <s v="U23441"/>
    <x v="22"/>
    <x v="1"/>
    <x v="2"/>
    <x v="1"/>
    <s v="Driver"/>
    <n v="2180.96"/>
    <n v="1135.26"/>
    <n v="23934.48"/>
    <s v="No"/>
    <s v="None"/>
    <n v="0"/>
    <n v="0"/>
    <n v="0"/>
    <n v="0"/>
    <n v="0"/>
    <n v="573"/>
    <n v="0.91"/>
    <x v="3"/>
    <x v="29"/>
    <n v="0"/>
  </r>
  <r>
    <s v="U23443"/>
    <x v="17"/>
    <x v="0"/>
    <x v="3"/>
    <x v="0"/>
    <s v="Manager"/>
    <n v="6509.63"/>
    <n v="4470.91"/>
    <n v="7896.74"/>
    <s v="No"/>
    <s v="None"/>
    <n v="0"/>
    <n v="0"/>
    <n v="0"/>
    <n v="0"/>
    <n v="0"/>
    <n v="486"/>
    <n v="0.1"/>
    <x v="3"/>
    <x v="1040"/>
    <n v="0"/>
  </r>
  <r>
    <s v="U23461"/>
    <x v="3"/>
    <x v="1"/>
    <x v="3"/>
    <x v="2"/>
    <s v="Unemployed"/>
    <n v="4116.2299999999996"/>
    <n v="3452.68"/>
    <n v="40711.35"/>
    <s v="No"/>
    <s v="None"/>
    <n v="0"/>
    <n v="0"/>
    <n v="0"/>
    <n v="0"/>
    <n v="0"/>
    <n v="678"/>
    <n v="0.82"/>
    <x v="0"/>
    <x v="156"/>
    <n v="0"/>
  </r>
  <r>
    <s v="U23471"/>
    <x v="20"/>
    <x v="1"/>
    <x v="3"/>
    <x v="1"/>
    <s v="Teacher"/>
    <n v="5989.94"/>
    <n v="4973.1899999999996"/>
    <n v="8239.73"/>
    <s v="Yes"/>
    <s v="Home"/>
    <n v="180359.6"/>
    <n v="24"/>
    <n v="9690.44"/>
    <n v="25.71"/>
    <n v="1.62"/>
    <n v="710"/>
    <n v="0.11"/>
    <x v="0"/>
    <x v="1041"/>
    <n v="1"/>
  </r>
  <r>
    <s v="U23479"/>
    <x v="8"/>
    <x v="0"/>
    <x v="0"/>
    <x v="1"/>
    <s v="Teacher"/>
    <n v="4719.79"/>
    <n v="3057.46"/>
    <n v="9637.92"/>
    <s v="No"/>
    <s v="None"/>
    <n v="0"/>
    <n v="0"/>
    <n v="0"/>
    <n v="0"/>
    <n v="0"/>
    <n v="684"/>
    <n v="0.17"/>
    <x v="1"/>
    <x v="333"/>
    <n v="0"/>
  </r>
  <r>
    <s v="U23492"/>
    <x v="16"/>
    <x v="0"/>
    <x v="2"/>
    <x v="1"/>
    <s v="Unemployed"/>
    <n v="3521.49"/>
    <n v="1359.57"/>
    <n v="19971.38"/>
    <s v="No"/>
    <s v="None"/>
    <n v="0"/>
    <n v="0"/>
    <n v="0"/>
    <n v="0"/>
    <n v="0"/>
    <n v="717"/>
    <n v="0.47"/>
    <x v="0"/>
    <x v="650"/>
    <n v="0"/>
  </r>
  <r>
    <s v="U23517"/>
    <x v="0"/>
    <x v="0"/>
    <x v="0"/>
    <x v="1"/>
    <s v="Student"/>
    <n v="5630.49"/>
    <n v="3833.34"/>
    <n v="16697.14"/>
    <s v="No"/>
    <s v="None"/>
    <n v="0"/>
    <n v="0"/>
    <n v="0"/>
    <n v="0"/>
    <n v="0"/>
    <n v="569"/>
    <n v="0.25"/>
    <x v="1"/>
    <x v="684"/>
    <n v="0"/>
  </r>
  <r>
    <s v="U23519"/>
    <x v="22"/>
    <x v="0"/>
    <x v="3"/>
    <x v="2"/>
    <s v="Teacher"/>
    <n v="3107.47"/>
    <n v="2023.09"/>
    <n v="14881.06"/>
    <s v="No"/>
    <s v="None"/>
    <n v="0"/>
    <n v="0"/>
    <n v="0"/>
    <n v="0"/>
    <n v="0"/>
    <n v="617"/>
    <n v="0.4"/>
    <x v="0"/>
    <x v="1042"/>
    <n v="0"/>
  </r>
  <r>
    <s v="U23522"/>
    <x v="46"/>
    <x v="0"/>
    <x v="2"/>
    <x v="1"/>
    <s v="Unemployed"/>
    <n v="5359.73"/>
    <n v="2521.64"/>
    <n v="47183.33"/>
    <s v="Yes"/>
    <s v="Home"/>
    <n v="345451.84"/>
    <n v="120"/>
    <n v="4396.63"/>
    <n v="9.11"/>
    <n v="0.82"/>
    <n v="837"/>
    <n v="0.73"/>
    <x v="0"/>
    <x v="1043"/>
    <n v="1"/>
  </r>
  <r>
    <s v="U23524"/>
    <x v="33"/>
    <x v="1"/>
    <x v="2"/>
    <x v="0"/>
    <s v="Unemployed"/>
    <n v="4480.9399999999996"/>
    <n v="3425.72"/>
    <n v="11401.24"/>
    <s v="No"/>
    <s v="None"/>
    <n v="0"/>
    <n v="0"/>
    <n v="0"/>
    <n v="0"/>
    <n v="0"/>
    <n v="739"/>
    <n v="0.21"/>
    <x v="2"/>
    <x v="988"/>
    <n v="0"/>
  </r>
  <r>
    <s v="U23529"/>
    <x v="21"/>
    <x v="1"/>
    <x v="0"/>
    <x v="0"/>
    <s v="Doctor"/>
    <n v="4254.3500000000004"/>
    <n v="3706.36"/>
    <n v="8771"/>
    <s v="No"/>
    <s v="None"/>
    <n v="0"/>
    <n v="0"/>
    <n v="0"/>
    <n v="0"/>
    <n v="0"/>
    <n v="433"/>
    <n v="0.17"/>
    <x v="4"/>
    <x v="1044"/>
    <n v="0"/>
  </r>
  <r>
    <s v="U23541"/>
    <x v="45"/>
    <x v="1"/>
    <x v="2"/>
    <x v="1"/>
    <s v="Doctor"/>
    <n v="6128.66"/>
    <n v="3789.28"/>
    <n v="60302.21"/>
    <s v="No"/>
    <s v="None"/>
    <n v="0"/>
    <n v="0"/>
    <n v="0"/>
    <n v="0"/>
    <n v="0"/>
    <n v="449"/>
    <n v="0.82"/>
    <x v="3"/>
    <x v="915"/>
    <n v="0"/>
  </r>
  <r>
    <s v="U23543"/>
    <x v="23"/>
    <x v="0"/>
    <x v="3"/>
    <x v="0"/>
    <s v="Salesperson"/>
    <n v="9004.06"/>
    <n v="4651.21"/>
    <n v="100809.98"/>
    <s v="Yes"/>
    <s v="Car"/>
    <n v="210356.36"/>
    <n v="180"/>
    <n v="1944.06"/>
    <n v="7.45"/>
    <n v="0.22"/>
    <n v="351"/>
    <n v="0.93"/>
    <x v="1"/>
    <x v="11"/>
    <n v="0"/>
  </r>
  <r>
    <s v="U23577"/>
    <x v="0"/>
    <x v="0"/>
    <x v="0"/>
    <x v="0"/>
    <s v="Accountant"/>
    <n v="3866.46"/>
    <n v="2263.75"/>
    <n v="16343.24"/>
    <s v="No"/>
    <s v="None"/>
    <n v="0"/>
    <n v="0"/>
    <n v="0"/>
    <n v="0"/>
    <n v="0"/>
    <n v="655"/>
    <n v="0.35"/>
    <x v="1"/>
    <x v="818"/>
    <n v="0"/>
  </r>
  <r>
    <s v="U23578"/>
    <x v="24"/>
    <x v="0"/>
    <x v="2"/>
    <x v="1"/>
    <s v="Student"/>
    <n v="3618.82"/>
    <n v="1401.45"/>
    <n v="28932.48"/>
    <s v="No"/>
    <s v="None"/>
    <n v="0"/>
    <n v="0"/>
    <n v="0"/>
    <n v="0"/>
    <n v="0"/>
    <n v="636"/>
    <n v="0.67"/>
    <x v="3"/>
    <x v="631"/>
    <n v="0"/>
  </r>
  <r>
    <s v="U23594"/>
    <x v="26"/>
    <x v="0"/>
    <x v="3"/>
    <x v="1"/>
    <s v="Unemployed"/>
    <n v="3118.3"/>
    <n v="1928.04"/>
    <n v="19417.25"/>
    <s v="No"/>
    <s v="None"/>
    <n v="0"/>
    <n v="0"/>
    <n v="0"/>
    <n v="0"/>
    <n v="0"/>
    <n v="397"/>
    <n v="0.52"/>
    <x v="0"/>
    <x v="841"/>
    <n v="0"/>
  </r>
  <r>
    <s v="U23601"/>
    <x v="32"/>
    <x v="1"/>
    <x v="2"/>
    <x v="1"/>
    <s v="Teacher"/>
    <n v="4224.6000000000004"/>
    <n v="3032.56"/>
    <n v="28943.3"/>
    <s v="No"/>
    <s v="None"/>
    <n v="0"/>
    <n v="0"/>
    <n v="0"/>
    <n v="0"/>
    <n v="0"/>
    <n v="667"/>
    <n v="0.56999999999999995"/>
    <x v="4"/>
    <x v="625"/>
    <n v="0"/>
  </r>
  <r>
    <s v="U23605"/>
    <x v="37"/>
    <x v="1"/>
    <x v="2"/>
    <x v="2"/>
    <s v="Engineer"/>
    <n v="4213.57"/>
    <n v="3008.64"/>
    <n v="21347.56"/>
    <s v="No"/>
    <s v="None"/>
    <n v="0"/>
    <n v="0"/>
    <n v="0"/>
    <n v="0"/>
    <n v="0"/>
    <n v="628"/>
    <n v="0.42"/>
    <x v="4"/>
    <x v="873"/>
    <n v="0"/>
  </r>
  <r>
    <s v="U23624"/>
    <x v="43"/>
    <x v="1"/>
    <x v="1"/>
    <x v="1"/>
    <s v="Accountant"/>
    <n v="5739.94"/>
    <n v="3832.83"/>
    <n v="23296.05"/>
    <s v="Yes"/>
    <s v="Business"/>
    <n v="170899.57"/>
    <n v="240"/>
    <n v="2201.3000000000002"/>
    <n v="14.61"/>
    <n v="0.38"/>
    <n v="546"/>
    <n v="0.34"/>
    <x v="0"/>
    <x v="1013"/>
    <n v="0"/>
  </r>
  <r>
    <s v="U23636"/>
    <x v="8"/>
    <x v="1"/>
    <x v="2"/>
    <x v="1"/>
    <s v="Student"/>
    <n v="4913.28"/>
    <n v="2266.15"/>
    <n v="13401.64"/>
    <s v="No"/>
    <s v="None"/>
    <n v="0"/>
    <n v="0"/>
    <n v="0"/>
    <n v="0"/>
    <n v="0"/>
    <n v="302"/>
    <n v="0.23"/>
    <x v="2"/>
    <x v="1045"/>
    <n v="0"/>
  </r>
  <r>
    <s v="U23669"/>
    <x v="51"/>
    <x v="0"/>
    <x v="3"/>
    <x v="1"/>
    <s v="Unemployed"/>
    <n v="2281.83"/>
    <n v="1388.05"/>
    <n v="8241.8700000000008"/>
    <s v="No"/>
    <s v="None"/>
    <n v="0"/>
    <n v="0"/>
    <n v="0"/>
    <n v="0"/>
    <n v="0"/>
    <n v="355"/>
    <n v="0.3"/>
    <x v="3"/>
    <x v="43"/>
    <n v="0"/>
  </r>
  <r>
    <s v="U23681"/>
    <x v="20"/>
    <x v="1"/>
    <x v="3"/>
    <x v="1"/>
    <s v="Teacher"/>
    <n v="2408.09"/>
    <n v="1601.49"/>
    <n v="11877.49"/>
    <s v="No"/>
    <s v="None"/>
    <n v="0"/>
    <n v="0"/>
    <n v="0"/>
    <n v="0"/>
    <n v="0"/>
    <n v="634"/>
    <n v="0.41"/>
    <x v="2"/>
    <x v="1046"/>
    <n v="0"/>
  </r>
  <r>
    <s v="U23683"/>
    <x v="43"/>
    <x v="1"/>
    <x v="3"/>
    <x v="1"/>
    <s v="Teacher"/>
    <n v="3791.59"/>
    <n v="2855.17"/>
    <n v="44233.64"/>
    <s v="No"/>
    <s v="None"/>
    <n v="0"/>
    <n v="0"/>
    <n v="0"/>
    <n v="0"/>
    <n v="0"/>
    <n v="666"/>
    <n v="0.97"/>
    <x v="4"/>
    <x v="1047"/>
    <n v="0"/>
  </r>
  <r>
    <s v="U23733"/>
    <x v="35"/>
    <x v="0"/>
    <x v="3"/>
    <x v="2"/>
    <s v="Teacher"/>
    <n v="3692.92"/>
    <n v="2175.31"/>
    <n v="26518.31"/>
    <s v="No"/>
    <s v="None"/>
    <n v="0"/>
    <n v="0"/>
    <n v="0"/>
    <n v="0"/>
    <n v="0"/>
    <n v="699"/>
    <n v="0.6"/>
    <x v="4"/>
    <x v="1048"/>
    <n v="0"/>
  </r>
  <r>
    <s v="U23744"/>
    <x v="24"/>
    <x v="1"/>
    <x v="3"/>
    <x v="3"/>
    <s v="Driver"/>
    <n v="2256.4499999999998"/>
    <n v="1167.6400000000001"/>
    <n v="5205.84"/>
    <s v="No"/>
    <s v="None"/>
    <n v="0"/>
    <n v="0"/>
    <n v="0"/>
    <n v="0"/>
    <n v="0"/>
    <n v="394"/>
    <n v="0.19"/>
    <x v="2"/>
    <x v="224"/>
    <n v="0"/>
  </r>
  <r>
    <s v="U23762"/>
    <x v="40"/>
    <x v="1"/>
    <x v="3"/>
    <x v="1"/>
    <s v="Student"/>
    <n v="812.56"/>
    <n v="327.95"/>
    <n v="2900.89"/>
    <s v="No"/>
    <s v="None"/>
    <n v="0"/>
    <n v="0"/>
    <n v="0"/>
    <n v="0"/>
    <n v="0"/>
    <n v="474"/>
    <n v="0.3"/>
    <x v="3"/>
    <x v="910"/>
    <n v="0"/>
  </r>
  <r>
    <s v="U23765"/>
    <x v="37"/>
    <x v="2"/>
    <x v="0"/>
    <x v="1"/>
    <s v="Engineer"/>
    <n v="2732.89"/>
    <n v="1690.71"/>
    <n v="16969.57"/>
    <s v="No"/>
    <s v="None"/>
    <n v="0"/>
    <n v="0"/>
    <n v="0"/>
    <n v="0"/>
    <n v="0"/>
    <n v="784"/>
    <n v="0.52"/>
    <x v="1"/>
    <x v="188"/>
    <n v="0"/>
  </r>
  <r>
    <s v="U23776"/>
    <x v="49"/>
    <x v="1"/>
    <x v="2"/>
    <x v="1"/>
    <s v="Engineer"/>
    <n v="2222.9"/>
    <n v="1314.94"/>
    <n v="6445.58"/>
    <s v="No"/>
    <s v="None"/>
    <n v="0"/>
    <n v="0"/>
    <n v="0"/>
    <n v="0"/>
    <n v="0"/>
    <n v="773"/>
    <n v="0.24"/>
    <x v="0"/>
    <x v="1"/>
    <n v="0"/>
  </r>
  <r>
    <s v="U23793"/>
    <x v="7"/>
    <x v="2"/>
    <x v="2"/>
    <x v="1"/>
    <s v="Accountant"/>
    <n v="4308.8"/>
    <n v="2117.5300000000002"/>
    <n v="12263.7"/>
    <s v="No"/>
    <s v="None"/>
    <n v="0"/>
    <n v="0"/>
    <n v="0"/>
    <n v="0"/>
    <n v="0"/>
    <n v="398"/>
    <n v="0.24"/>
    <x v="3"/>
    <x v="948"/>
    <n v="0"/>
  </r>
  <r>
    <s v="U23794"/>
    <x v="19"/>
    <x v="0"/>
    <x v="0"/>
    <x v="1"/>
    <s v="Salesperson"/>
    <n v="6540.17"/>
    <n v="2024.68"/>
    <n v="45558.28"/>
    <s v="No"/>
    <s v="None"/>
    <n v="0"/>
    <n v="0"/>
    <n v="0"/>
    <n v="0"/>
    <n v="0"/>
    <n v="802"/>
    <n v="0.57999999999999996"/>
    <x v="2"/>
    <x v="243"/>
    <n v="0"/>
  </r>
  <r>
    <s v="U23818"/>
    <x v="9"/>
    <x v="0"/>
    <x v="3"/>
    <x v="0"/>
    <s v="Unemployed"/>
    <n v="6752.52"/>
    <n v="2940.93"/>
    <n v="45440.3"/>
    <s v="Yes"/>
    <s v="Education"/>
    <n v="193910.8"/>
    <n v="120"/>
    <n v="2974.75"/>
    <n v="13.69"/>
    <n v="0.44"/>
    <n v="547"/>
    <n v="0.56000000000000005"/>
    <x v="2"/>
    <x v="734"/>
    <n v="1"/>
  </r>
  <r>
    <s v="U23821"/>
    <x v="8"/>
    <x v="1"/>
    <x v="3"/>
    <x v="1"/>
    <s v="Accountant"/>
    <n v="6638"/>
    <n v="5390.77"/>
    <n v="57865.41"/>
    <s v="No"/>
    <s v="None"/>
    <n v="0"/>
    <n v="0"/>
    <n v="0"/>
    <n v="0"/>
    <n v="0"/>
    <n v="383"/>
    <n v="0.73"/>
    <x v="0"/>
    <x v="626"/>
    <n v="0"/>
  </r>
  <r>
    <s v="U23830"/>
    <x v="14"/>
    <x v="1"/>
    <x v="2"/>
    <x v="1"/>
    <s v="Engineer"/>
    <n v="4540.08"/>
    <n v="2965.78"/>
    <n v="14671.61"/>
    <s v="No"/>
    <s v="None"/>
    <n v="0"/>
    <n v="0"/>
    <n v="0"/>
    <n v="0"/>
    <n v="0"/>
    <n v="615"/>
    <n v="0.27"/>
    <x v="2"/>
    <x v="766"/>
    <n v="0"/>
  </r>
  <r>
    <s v="U23845"/>
    <x v="0"/>
    <x v="1"/>
    <x v="3"/>
    <x v="1"/>
    <s v="Driver"/>
    <n v="4427.99"/>
    <n v="2344.9499999999998"/>
    <n v="31927.07"/>
    <s v="Yes"/>
    <s v="Business"/>
    <n v="331495.67"/>
    <n v="240"/>
    <n v="6000.52"/>
    <n v="21.41"/>
    <n v="1.36"/>
    <n v="715"/>
    <n v="0.6"/>
    <x v="3"/>
    <x v="657"/>
    <n v="1"/>
  </r>
  <r>
    <s v="U23859"/>
    <x v="43"/>
    <x v="2"/>
    <x v="3"/>
    <x v="1"/>
    <s v="Doctor"/>
    <n v="6780.36"/>
    <n v="5286.38"/>
    <n v="28779.93"/>
    <s v="No"/>
    <s v="None"/>
    <n v="0"/>
    <n v="0"/>
    <n v="0"/>
    <n v="0"/>
    <n v="0"/>
    <n v="561"/>
    <n v="0.35"/>
    <x v="4"/>
    <x v="1049"/>
    <n v="0"/>
  </r>
  <r>
    <s v="U23865"/>
    <x v="27"/>
    <x v="1"/>
    <x v="0"/>
    <x v="2"/>
    <s v="Teacher"/>
    <n v="3564.59"/>
    <n v="1406.76"/>
    <n v="15526.35"/>
    <s v="No"/>
    <s v="None"/>
    <n v="0"/>
    <n v="0"/>
    <n v="0"/>
    <n v="0"/>
    <n v="0"/>
    <n v="349"/>
    <n v="0.36"/>
    <x v="1"/>
    <x v="104"/>
    <n v="0"/>
  </r>
  <r>
    <s v="U23886"/>
    <x v="15"/>
    <x v="0"/>
    <x v="3"/>
    <x v="3"/>
    <s v="Engineer"/>
    <n v="4429.3599999999997"/>
    <n v="1847.66"/>
    <n v="12218.32"/>
    <s v="No"/>
    <s v="None"/>
    <n v="0"/>
    <n v="0"/>
    <n v="0"/>
    <n v="0"/>
    <n v="0"/>
    <n v="832"/>
    <n v="0.23"/>
    <x v="1"/>
    <x v="1050"/>
    <n v="0"/>
  </r>
  <r>
    <s v="U23903"/>
    <x v="35"/>
    <x v="0"/>
    <x v="1"/>
    <x v="1"/>
    <s v="Salesperson"/>
    <n v="4966.21"/>
    <n v="2223.27"/>
    <n v="23241.65"/>
    <s v="Yes"/>
    <s v="Business"/>
    <n v="93190.07"/>
    <n v="240"/>
    <n v="726.98"/>
    <n v="7.08"/>
    <n v="0.15"/>
    <n v="459"/>
    <n v="0.39"/>
    <x v="1"/>
    <x v="203"/>
    <n v="0"/>
  </r>
  <r>
    <s v="U23904"/>
    <x v="9"/>
    <x v="1"/>
    <x v="0"/>
    <x v="1"/>
    <s v="Manager"/>
    <n v="4942.49"/>
    <n v="3802.31"/>
    <n v="55504.21"/>
    <s v="No"/>
    <s v="None"/>
    <n v="0"/>
    <n v="0"/>
    <n v="0"/>
    <n v="0"/>
    <n v="0"/>
    <n v="444"/>
    <n v="0.94"/>
    <x v="0"/>
    <x v="1051"/>
    <n v="0"/>
  </r>
  <r>
    <s v="U23912"/>
    <x v="10"/>
    <x v="1"/>
    <x v="0"/>
    <x v="1"/>
    <s v="Driver"/>
    <n v="6037.2"/>
    <n v="2469.27"/>
    <n v="54894.74"/>
    <s v="No"/>
    <s v="None"/>
    <n v="0"/>
    <n v="0"/>
    <n v="0"/>
    <n v="0"/>
    <n v="0"/>
    <n v="706"/>
    <n v="0.76"/>
    <x v="0"/>
    <x v="925"/>
    <n v="0"/>
  </r>
  <r>
    <s v="U23926"/>
    <x v="3"/>
    <x v="0"/>
    <x v="4"/>
    <x v="1"/>
    <s v="Manager"/>
    <n v="4943.45"/>
    <n v="3075.51"/>
    <n v="24205.57"/>
    <s v="No"/>
    <s v="None"/>
    <n v="0"/>
    <n v="0"/>
    <n v="0"/>
    <n v="0"/>
    <n v="0"/>
    <n v="351"/>
    <n v="0.41"/>
    <x v="4"/>
    <x v="642"/>
    <n v="0"/>
  </r>
  <r>
    <s v="U23953"/>
    <x v="5"/>
    <x v="1"/>
    <x v="0"/>
    <x v="1"/>
    <s v="Manager"/>
    <n v="998.76"/>
    <n v="437.6"/>
    <n v="6774.93"/>
    <s v="Yes"/>
    <s v="Business"/>
    <n v="40564.99"/>
    <n v="300"/>
    <n v="430.24"/>
    <n v="12.1"/>
    <n v="0.43"/>
    <n v="467"/>
    <n v="0.56999999999999995"/>
    <x v="2"/>
    <x v="31"/>
    <n v="1"/>
  </r>
  <r>
    <s v="U23955"/>
    <x v="37"/>
    <x v="0"/>
    <x v="3"/>
    <x v="1"/>
    <s v="Salesperson"/>
    <n v="4247.82"/>
    <n v="3110.74"/>
    <n v="23318.51"/>
    <s v="Yes"/>
    <s v="Home"/>
    <n v="61036.57"/>
    <n v="60"/>
    <n v="1471.67"/>
    <n v="15.61"/>
    <n v="0.35"/>
    <n v="308"/>
    <n v="0.46"/>
    <x v="2"/>
    <x v="1052"/>
    <n v="0"/>
  </r>
  <r>
    <s v="U24005"/>
    <x v="47"/>
    <x v="0"/>
    <x v="0"/>
    <x v="1"/>
    <s v="Student"/>
    <n v="3560.82"/>
    <n v="2495.34"/>
    <n v="15958.04"/>
    <s v="No"/>
    <s v="None"/>
    <n v="0"/>
    <n v="0"/>
    <n v="0"/>
    <n v="0"/>
    <n v="0"/>
    <n v="474"/>
    <n v="0.37"/>
    <x v="1"/>
    <x v="602"/>
    <n v="0"/>
  </r>
  <r>
    <s v="U24009"/>
    <x v="23"/>
    <x v="1"/>
    <x v="3"/>
    <x v="2"/>
    <s v="Doctor"/>
    <n v="5207"/>
    <n v="3979.56"/>
    <n v="33928.78"/>
    <s v="Yes"/>
    <s v="Home"/>
    <n v="450336.09"/>
    <n v="240"/>
    <n v="6808.33"/>
    <n v="17.59"/>
    <n v="1.31"/>
    <n v="850"/>
    <n v="0.54"/>
    <x v="0"/>
    <x v="955"/>
    <n v="1"/>
  </r>
  <r>
    <s v="U24010"/>
    <x v="17"/>
    <x v="0"/>
    <x v="3"/>
    <x v="0"/>
    <s v="Manager"/>
    <n v="5035.17"/>
    <n v="2219.48"/>
    <n v="40716.03"/>
    <s v="No"/>
    <s v="None"/>
    <n v="0"/>
    <n v="0"/>
    <n v="0"/>
    <n v="0"/>
    <n v="0"/>
    <n v="693"/>
    <n v="0.67"/>
    <x v="2"/>
    <x v="44"/>
    <n v="0"/>
  </r>
  <r>
    <s v="U24016"/>
    <x v="13"/>
    <x v="1"/>
    <x v="3"/>
    <x v="1"/>
    <s v="Student"/>
    <n v="1903.16"/>
    <n v="869.71"/>
    <n v="16549.400000000001"/>
    <s v="No"/>
    <s v="None"/>
    <n v="0"/>
    <n v="0"/>
    <n v="0"/>
    <n v="0"/>
    <n v="0"/>
    <n v="403"/>
    <n v="0.72"/>
    <x v="4"/>
    <x v="0"/>
    <n v="0"/>
  </r>
  <r>
    <s v="U24020"/>
    <x v="18"/>
    <x v="2"/>
    <x v="3"/>
    <x v="2"/>
    <s v="Engineer"/>
    <n v="7902.74"/>
    <n v="3851.18"/>
    <n v="91824.34"/>
    <s v="No"/>
    <s v="None"/>
    <n v="0"/>
    <n v="0"/>
    <n v="0"/>
    <n v="0"/>
    <n v="0"/>
    <n v="434"/>
    <n v="0.97"/>
    <x v="1"/>
    <x v="467"/>
    <n v="0"/>
  </r>
  <r>
    <s v="U24057"/>
    <x v="47"/>
    <x v="0"/>
    <x v="0"/>
    <x v="1"/>
    <s v="Driver"/>
    <n v="6428.54"/>
    <n v="4497.54"/>
    <n v="71974.77"/>
    <s v="No"/>
    <s v="None"/>
    <n v="0"/>
    <n v="0"/>
    <n v="0"/>
    <n v="0"/>
    <n v="0"/>
    <n v="320"/>
    <n v="0.93"/>
    <x v="2"/>
    <x v="45"/>
    <n v="0"/>
  </r>
  <r>
    <s v="U24094"/>
    <x v="41"/>
    <x v="1"/>
    <x v="2"/>
    <x v="1"/>
    <s v="Student"/>
    <n v="6914.38"/>
    <n v="5988.78"/>
    <n v="52311.91"/>
    <s v="Yes"/>
    <s v="Business"/>
    <n v="385688.93"/>
    <n v="60"/>
    <n v="7711.93"/>
    <n v="7.41"/>
    <n v="1.1200000000000001"/>
    <n v="707"/>
    <n v="0.63"/>
    <x v="4"/>
    <x v="746"/>
    <n v="1"/>
  </r>
  <r>
    <s v="U24110"/>
    <x v="4"/>
    <x v="0"/>
    <x v="4"/>
    <x v="1"/>
    <s v="Unemployed"/>
    <n v="500"/>
    <n v="324.76"/>
    <n v="3521.22"/>
    <s v="No"/>
    <s v="None"/>
    <n v="0"/>
    <n v="0"/>
    <n v="0"/>
    <n v="0"/>
    <n v="0"/>
    <n v="392"/>
    <n v="0.59"/>
    <x v="0"/>
    <x v="1053"/>
    <n v="0"/>
  </r>
  <r>
    <s v="U24120"/>
    <x v="8"/>
    <x v="1"/>
    <x v="3"/>
    <x v="0"/>
    <s v="Salesperson"/>
    <n v="5679.03"/>
    <n v="4023.55"/>
    <n v="42360.82"/>
    <s v="No"/>
    <s v="None"/>
    <n v="0"/>
    <n v="0"/>
    <n v="0"/>
    <n v="0"/>
    <n v="0"/>
    <n v="427"/>
    <n v="0.62"/>
    <x v="3"/>
    <x v="1054"/>
    <n v="0"/>
  </r>
  <r>
    <s v="U24152"/>
    <x v="15"/>
    <x v="0"/>
    <x v="3"/>
    <x v="0"/>
    <s v="Driver"/>
    <n v="4534.7299999999996"/>
    <n v="1831.12"/>
    <n v="42279.43"/>
    <s v="No"/>
    <s v="None"/>
    <n v="0"/>
    <n v="0"/>
    <n v="0"/>
    <n v="0"/>
    <n v="0"/>
    <n v="507"/>
    <n v="0.78"/>
    <x v="4"/>
    <x v="348"/>
    <n v="0"/>
  </r>
  <r>
    <s v="U24157"/>
    <x v="49"/>
    <x v="1"/>
    <x v="3"/>
    <x v="1"/>
    <s v="Unemployed"/>
    <n v="6109.3"/>
    <n v="4046.35"/>
    <n v="24146.05"/>
    <s v="No"/>
    <s v="None"/>
    <n v="0"/>
    <n v="0"/>
    <n v="0"/>
    <n v="0"/>
    <n v="0"/>
    <n v="475"/>
    <n v="0.33"/>
    <x v="0"/>
    <x v="1055"/>
    <n v="0"/>
  </r>
  <r>
    <s v="U24162"/>
    <x v="38"/>
    <x v="0"/>
    <x v="2"/>
    <x v="1"/>
    <s v="Salesperson"/>
    <n v="2701.16"/>
    <n v="1306.6300000000001"/>
    <n v="14229.82"/>
    <s v="Yes"/>
    <s v="Home"/>
    <n v="202769.08"/>
    <n v="300"/>
    <n v="4880.51"/>
    <n v="28.86"/>
    <n v="1.81"/>
    <n v="802"/>
    <n v="0.44"/>
    <x v="2"/>
    <x v="372"/>
    <n v="1"/>
  </r>
  <r>
    <s v="U24173"/>
    <x v="29"/>
    <x v="0"/>
    <x v="3"/>
    <x v="2"/>
    <s v="Engineer"/>
    <n v="2454.8000000000002"/>
    <n v="1092.9100000000001"/>
    <n v="9015.75"/>
    <s v="No"/>
    <s v="None"/>
    <n v="0"/>
    <n v="0"/>
    <n v="0"/>
    <n v="0"/>
    <n v="0"/>
    <n v="566"/>
    <n v="0.31"/>
    <x v="1"/>
    <x v="867"/>
    <n v="0"/>
  </r>
  <r>
    <s v="U24196"/>
    <x v="32"/>
    <x v="0"/>
    <x v="3"/>
    <x v="1"/>
    <s v="Driver"/>
    <n v="3922.11"/>
    <n v="2682.04"/>
    <n v="26761.54"/>
    <s v="No"/>
    <s v="None"/>
    <n v="0"/>
    <n v="0"/>
    <n v="0"/>
    <n v="0"/>
    <n v="0"/>
    <n v="740"/>
    <n v="0.56999999999999995"/>
    <x v="0"/>
    <x v="166"/>
    <n v="0"/>
  </r>
  <r>
    <s v="U24213"/>
    <x v="9"/>
    <x v="0"/>
    <x v="2"/>
    <x v="1"/>
    <s v="Engineer"/>
    <n v="3830.82"/>
    <n v="1164.96"/>
    <n v="13865.22"/>
    <s v="Yes"/>
    <s v="Home"/>
    <n v="174828.58"/>
    <n v="300"/>
    <n v="4231.2"/>
    <n v="29.02"/>
    <n v="1.1000000000000001"/>
    <n v="728"/>
    <n v="0.3"/>
    <x v="1"/>
    <x v="1056"/>
    <n v="1"/>
  </r>
  <r>
    <s v="U24222"/>
    <x v="46"/>
    <x v="0"/>
    <x v="3"/>
    <x v="0"/>
    <s v="Student"/>
    <n v="7619.73"/>
    <n v="6290.86"/>
    <n v="63463.41"/>
    <s v="No"/>
    <s v="None"/>
    <n v="0"/>
    <n v="0"/>
    <n v="0"/>
    <n v="0"/>
    <n v="0"/>
    <n v="324"/>
    <n v="0.69"/>
    <x v="1"/>
    <x v="591"/>
    <n v="0"/>
  </r>
  <r>
    <s v="U24233"/>
    <x v="31"/>
    <x v="0"/>
    <x v="0"/>
    <x v="3"/>
    <s v="Manager"/>
    <n v="3898.37"/>
    <n v="1754.63"/>
    <n v="37222.26"/>
    <s v="No"/>
    <s v="None"/>
    <n v="0"/>
    <n v="0"/>
    <n v="0"/>
    <n v="0"/>
    <n v="0"/>
    <n v="760"/>
    <n v="0.8"/>
    <x v="4"/>
    <x v="596"/>
    <n v="0"/>
  </r>
  <r>
    <s v="U24269"/>
    <x v="41"/>
    <x v="2"/>
    <x v="2"/>
    <x v="0"/>
    <s v="Doctor"/>
    <n v="6833.16"/>
    <n v="5315.16"/>
    <n v="12229.36"/>
    <s v="No"/>
    <s v="None"/>
    <n v="0"/>
    <n v="0"/>
    <n v="0"/>
    <n v="0"/>
    <n v="0"/>
    <n v="701"/>
    <n v="0.15"/>
    <x v="2"/>
    <x v="439"/>
    <n v="0"/>
  </r>
  <r>
    <s v="U24273"/>
    <x v="26"/>
    <x v="0"/>
    <x v="3"/>
    <x v="1"/>
    <s v="Teacher"/>
    <n v="500"/>
    <n v="322.13"/>
    <n v="5169.93"/>
    <s v="No"/>
    <s v="None"/>
    <n v="0"/>
    <n v="0"/>
    <n v="0"/>
    <n v="0"/>
    <n v="0"/>
    <n v="838"/>
    <n v="0.86"/>
    <x v="4"/>
    <x v="273"/>
    <n v="0"/>
  </r>
  <r>
    <s v="U24282"/>
    <x v="11"/>
    <x v="0"/>
    <x v="2"/>
    <x v="1"/>
    <s v="Unemployed"/>
    <n v="2218.29"/>
    <n v="887.37"/>
    <n v="16588.98"/>
    <s v="No"/>
    <s v="None"/>
    <n v="0"/>
    <n v="0"/>
    <n v="0"/>
    <n v="0"/>
    <n v="0"/>
    <n v="587"/>
    <n v="0.62"/>
    <x v="3"/>
    <x v="1057"/>
    <n v="0"/>
  </r>
  <r>
    <s v="U24295"/>
    <x v="16"/>
    <x v="1"/>
    <x v="3"/>
    <x v="0"/>
    <s v="Student"/>
    <n v="4862.29"/>
    <n v="2055.6999999999998"/>
    <n v="23165.88"/>
    <s v="Yes"/>
    <s v="Home"/>
    <n v="189465.08"/>
    <n v="180"/>
    <n v="1767.15"/>
    <n v="7.6"/>
    <n v="0.36"/>
    <n v="623"/>
    <n v="0.4"/>
    <x v="0"/>
    <x v="1038"/>
    <n v="0"/>
  </r>
  <r>
    <s v="U24315"/>
    <x v="11"/>
    <x v="0"/>
    <x v="2"/>
    <x v="1"/>
    <s v="Teacher"/>
    <n v="705.18"/>
    <n v="580.87"/>
    <n v="6119.41"/>
    <s v="No"/>
    <s v="None"/>
    <n v="0"/>
    <n v="0"/>
    <n v="0"/>
    <n v="0"/>
    <n v="0"/>
    <n v="563"/>
    <n v="0.72"/>
    <x v="2"/>
    <x v="605"/>
    <n v="0"/>
  </r>
  <r>
    <s v="U24335"/>
    <x v="6"/>
    <x v="0"/>
    <x v="3"/>
    <x v="1"/>
    <s v="Teacher"/>
    <n v="4610.08"/>
    <n v="3180.24"/>
    <n v="26134.799999999999"/>
    <s v="No"/>
    <s v="None"/>
    <n v="0"/>
    <n v="0"/>
    <n v="0"/>
    <n v="0"/>
    <n v="0"/>
    <n v="563"/>
    <n v="0.47"/>
    <x v="4"/>
    <x v="1058"/>
    <n v="0"/>
  </r>
  <r>
    <s v="U24343"/>
    <x v="41"/>
    <x v="2"/>
    <x v="1"/>
    <x v="1"/>
    <s v="Unemployed"/>
    <n v="919.69"/>
    <n v="668.45"/>
    <n v="10197.799999999999"/>
    <s v="Yes"/>
    <s v="Car"/>
    <n v="52296.84"/>
    <n v="36"/>
    <n v="1769.91"/>
    <n v="13.31"/>
    <n v="1.92"/>
    <n v="359"/>
    <n v="0.92"/>
    <x v="3"/>
    <x v="305"/>
    <n v="1"/>
  </r>
  <r>
    <s v="U24349"/>
    <x v="14"/>
    <x v="0"/>
    <x v="3"/>
    <x v="2"/>
    <s v="Teacher"/>
    <n v="1216.9100000000001"/>
    <n v="723.88"/>
    <n v="6912.98"/>
    <s v="No"/>
    <s v="None"/>
    <n v="0"/>
    <n v="0"/>
    <n v="0"/>
    <n v="0"/>
    <n v="0"/>
    <n v="637"/>
    <n v="0.47"/>
    <x v="0"/>
    <x v="446"/>
    <n v="0"/>
  </r>
  <r>
    <s v="U24357"/>
    <x v="33"/>
    <x v="0"/>
    <x v="3"/>
    <x v="1"/>
    <s v="Student"/>
    <n v="7499.27"/>
    <n v="4653.67"/>
    <n v="26421.25"/>
    <s v="No"/>
    <s v="None"/>
    <n v="0"/>
    <n v="0"/>
    <n v="0"/>
    <n v="0"/>
    <n v="0"/>
    <n v="688"/>
    <n v="0.28999999999999998"/>
    <x v="0"/>
    <x v="926"/>
    <n v="0"/>
  </r>
  <r>
    <s v="U24358"/>
    <x v="0"/>
    <x v="1"/>
    <x v="2"/>
    <x v="1"/>
    <s v="Manager"/>
    <n v="3794.35"/>
    <n v="2490.77"/>
    <n v="38006.089999999997"/>
    <s v="Yes"/>
    <s v="Home"/>
    <n v="48792.72"/>
    <n v="60"/>
    <n v="1082.9000000000001"/>
    <n v="11.9"/>
    <n v="0.28999999999999998"/>
    <n v="531"/>
    <n v="0.83"/>
    <x v="1"/>
    <x v="1059"/>
    <n v="0"/>
  </r>
  <r>
    <s v="U24362"/>
    <x v="41"/>
    <x v="0"/>
    <x v="3"/>
    <x v="2"/>
    <s v="Student"/>
    <n v="2764.78"/>
    <n v="911.9"/>
    <n v="5897.11"/>
    <s v="Yes"/>
    <s v="Education"/>
    <n v="11406.52"/>
    <n v="120"/>
    <n v="110.19"/>
    <n v="3.01"/>
    <n v="0.04"/>
    <n v="850"/>
    <n v="0.18"/>
    <x v="2"/>
    <x v="1060"/>
    <n v="0"/>
  </r>
  <r>
    <s v="U24374"/>
    <x v="45"/>
    <x v="0"/>
    <x v="2"/>
    <x v="1"/>
    <s v="Unemployed"/>
    <n v="500"/>
    <n v="421.48"/>
    <n v="4975.51"/>
    <s v="No"/>
    <s v="None"/>
    <n v="0"/>
    <n v="0"/>
    <n v="0"/>
    <n v="0"/>
    <n v="0"/>
    <n v="659"/>
    <n v="0.83"/>
    <x v="3"/>
    <x v="1056"/>
    <n v="0"/>
  </r>
  <r>
    <s v="U24375"/>
    <x v="24"/>
    <x v="1"/>
    <x v="0"/>
    <x v="0"/>
    <s v="Salesperson"/>
    <n v="909.88"/>
    <n v="389.25"/>
    <n v="6421.84"/>
    <s v="No"/>
    <s v="None"/>
    <n v="0"/>
    <n v="0"/>
    <n v="0"/>
    <n v="0"/>
    <n v="0"/>
    <n v="396"/>
    <n v="0.59"/>
    <x v="3"/>
    <x v="1061"/>
    <n v="0"/>
  </r>
  <r>
    <s v="U24384"/>
    <x v="38"/>
    <x v="1"/>
    <x v="2"/>
    <x v="1"/>
    <s v="Student"/>
    <n v="5176.22"/>
    <n v="1886.4"/>
    <n v="25787.67"/>
    <s v="Yes"/>
    <s v="Education"/>
    <n v="111583.09"/>
    <n v="36"/>
    <n v="4001.6"/>
    <n v="17.420000000000002"/>
    <n v="0.77"/>
    <n v="595"/>
    <n v="0.42"/>
    <x v="4"/>
    <x v="1062"/>
    <n v="1"/>
  </r>
  <r>
    <s v="U24399"/>
    <x v="34"/>
    <x v="0"/>
    <x v="2"/>
    <x v="1"/>
    <s v="Teacher"/>
    <n v="4992.38"/>
    <n v="3927.36"/>
    <n v="49645.41"/>
    <s v="No"/>
    <s v="None"/>
    <n v="0"/>
    <n v="0"/>
    <n v="0"/>
    <n v="0"/>
    <n v="0"/>
    <n v="379"/>
    <n v="0.83"/>
    <x v="1"/>
    <x v="478"/>
    <n v="0"/>
  </r>
  <r>
    <s v="U24407"/>
    <x v="49"/>
    <x v="0"/>
    <x v="2"/>
    <x v="1"/>
    <s v="Accountant"/>
    <n v="4105.97"/>
    <n v="2737.18"/>
    <n v="16400.55"/>
    <s v="No"/>
    <s v="None"/>
    <n v="0"/>
    <n v="0"/>
    <n v="0"/>
    <n v="0"/>
    <n v="0"/>
    <n v="750"/>
    <n v="0.33"/>
    <x v="4"/>
    <x v="261"/>
    <n v="0"/>
  </r>
  <r>
    <s v="U24423"/>
    <x v="8"/>
    <x v="0"/>
    <x v="0"/>
    <x v="1"/>
    <s v="Salesperson"/>
    <n v="5125.13"/>
    <n v="2222.71"/>
    <n v="59798.64"/>
    <s v="No"/>
    <s v="None"/>
    <n v="0"/>
    <n v="0"/>
    <n v="0"/>
    <n v="0"/>
    <n v="0"/>
    <n v="352"/>
    <n v="0.97"/>
    <x v="4"/>
    <x v="32"/>
    <n v="0"/>
  </r>
  <r>
    <s v="U24434"/>
    <x v="31"/>
    <x v="1"/>
    <x v="0"/>
    <x v="2"/>
    <s v="Student"/>
    <n v="5536.08"/>
    <n v="2309.6"/>
    <n v="13171.51"/>
    <s v="Yes"/>
    <s v="Business"/>
    <n v="126668.28"/>
    <n v="36"/>
    <n v="4624.6000000000004"/>
    <n v="18.71"/>
    <n v="0.84"/>
    <n v="378"/>
    <n v="0.2"/>
    <x v="4"/>
    <x v="1063"/>
    <n v="1"/>
  </r>
  <r>
    <s v="U24454"/>
    <x v="19"/>
    <x v="1"/>
    <x v="0"/>
    <x v="0"/>
    <s v="Doctor"/>
    <n v="4473.05"/>
    <n v="2412.7600000000002"/>
    <n v="7178.21"/>
    <s v="No"/>
    <s v="None"/>
    <n v="0"/>
    <n v="0"/>
    <n v="0"/>
    <n v="0"/>
    <n v="0"/>
    <n v="755"/>
    <n v="0.13"/>
    <x v="4"/>
    <x v="963"/>
    <n v="0"/>
  </r>
  <r>
    <s v="U24458"/>
    <x v="11"/>
    <x v="2"/>
    <x v="3"/>
    <x v="1"/>
    <s v="Manager"/>
    <n v="3139.05"/>
    <n v="2118.27"/>
    <n v="18074.12"/>
    <s v="No"/>
    <s v="None"/>
    <n v="0"/>
    <n v="0"/>
    <n v="0"/>
    <n v="0"/>
    <n v="0"/>
    <n v="838"/>
    <n v="0.48"/>
    <x v="1"/>
    <x v="68"/>
    <n v="0"/>
  </r>
  <r>
    <s v="U24462"/>
    <x v="34"/>
    <x v="0"/>
    <x v="3"/>
    <x v="1"/>
    <s v="Driver"/>
    <n v="1618.65"/>
    <n v="738.3"/>
    <n v="4102.3599999999997"/>
    <s v="Yes"/>
    <s v="Car"/>
    <n v="28908.48"/>
    <n v="60"/>
    <n v="620.07000000000005"/>
    <n v="10.41"/>
    <n v="0.38"/>
    <n v="492"/>
    <n v="0.21"/>
    <x v="2"/>
    <x v="809"/>
    <n v="0"/>
  </r>
  <r>
    <s v="U24474"/>
    <x v="27"/>
    <x v="0"/>
    <x v="0"/>
    <x v="1"/>
    <s v="Driver"/>
    <n v="10052.219999999999"/>
    <n v="9008.01"/>
    <n v="24972.65"/>
    <s v="No"/>
    <s v="None"/>
    <n v="0"/>
    <n v="0"/>
    <n v="0"/>
    <n v="0"/>
    <n v="0"/>
    <n v="779"/>
    <n v="0.21"/>
    <x v="0"/>
    <x v="1048"/>
    <n v="0"/>
  </r>
  <r>
    <s v="U24482"/>
    <x v="41"/>
    <x v="1"/>
    <x v="3"/>
    <x v="3"/>
    <s v="Manager"/>
    <n v="5601.26"/>
    <n v="3040.07"/>
    <n v="58928.99"/>
    <s v="No"/>
    <s v="None"/>
    <n v="0"/>
    <n v="0"/>
    <n v="0"/>
    <n v="0"/>
    <n v="0"/>
    <n v="698"/>
    <n v="0.88"/>
    <x v="4"/>
    <x v="220"/>
    <n v="0"/>
  </r>
  <r>
    <s v="U24498"/>
    <x v="24"/>
    <x v="1"/>
    <x v="3"/>
    <x v="1"/>
    <s v="Teacher"/>
    <n v="3902.52"/>
    <n v="2363.58"/>
    <n v="18810.86"/>
    <s v="No"/>
    <s v="None"/>
    <n v="0"/>
    <n v="0"/>
    <n v="0"/>
    <n v="0"/>
    <n v="0"/>
    <n v="791"/>
    <n v="0.4"/>
    <x v="0"/>
    <x v="1064"/>
    <n v="0"/>
  </r>
  <r>
    <s v="U24508"/>
    <x v="9"/>
    <x v="0"/>
    <x v="0"/>
    <x v="2"/>
    <s v="Salesperson"/>
    <n v="7537.55"/>
    <n v="3317.3"/>
    <n v="10040.219999999999"/>
    <s v="No"/>
    <s v="None"/>
    <n v="0"/>
    <n v="0"/>
    <n v="0"/>
    <n v="0"/>
    <n v="0"/>
    <n v="832"/>
    <n v="0.11"/>
    <x v="1"/>
    <x v="1065"/>
    <n v="0"/>
  </r>
  <r>
    <s v="U24513"/>
    <x v="4"/>
    <x v="0"/>
    <x v="1"/>
    <x v="1"/>
    <s v="Engineer"/>
    <n v="3058.61"/>
    <n v="1857.61"/>
    <n v="15412.91"/>
    <s v="Yes"/>
    <s v="Home"/>
    <n v="167064.07"/>
    <n v="60"/>
    <n v="4040.52"/>
    <n v="15.75"/>
    <n v="1.32"/>
    <n v="368"/>
    <n v="0.42"/>
    <x v="2"/>
    <x v="516"/>
    <n v="1"/>
  </r>
  <r>
    <s v="U24548"/>
    <x v="2"/>
    <x v="1"/>
    <x v="3"/>
    <x v="1"/>
    <s v="Engineer"/>
    <n v="2068.9699999999998"/>
    <n v="906.32"/>
    <n v="10746.58"/>
    <s v="No"/>
    <s v="None"/>
    <n v="0"/>
    <n v="0"/>
    <n v="0"/>
    <n v="0"/>
    <n v="0"/>
    <n v="356"/>
    <n v="0.43"/>
    <x v="3"/>
    <x v="344"/>
    <n v="0"/>
  </r>
  <r>
    <s v="U24564"/>
    <x v="5"/>
    <x v="1"/>
    <x v="2"/>
    <x v="1"/>
    <s v="Driver"/>
    <n v="3473.31"/>
    <n v="3118.83"/>
    <n v="32776.550000000003"/>
    <s v="No"/>
    <s v="None"/>
    <n v="0"/>
    <n v="0"/>
    <n v="0"/>
    <n v="0"/>
    <n v="0"/>
    <n v="647"/>
    <n v="0.79"/>
    <x v="3"/>
    <x v="246"/>
    <n v="0"/>
  </r>
  <r>
    <s v="U24586"/>
    <x v="7"/>
    <x v="1"/>
    <x v="3"/>
    <x v="2"/>
    <s v="Salesperson"/>
    <n v="3784.19"/>
    <n v="2155.0700000000002"/>
    <n v="24134.83"/>
    <s v="No"/>
    <s v="None"/>
    <n v="0"/>
    <n v="0"/>
    <n v="0"/>
    <n v="0"/>
    <n v="0"/>
    <n v="693"/>
    <n v="0.53"/>
    <x v="0"/>
    <x v="400"/>
    <n v="0"/>
  </r>
  <r>
    <s v="U24588"/>
    <x v="21"/>
    <x v="1"/>
    <x v="3"/>
    <x v="1"/>
    <s v="Salesperson"/>
    <n v="2877.93"/>
    <n v="1225.58"/>
    <n v="20340.310000000001"/>
    <s v="No"/>
    <s v="None"/>
    <n v="0"/>
    <n v="0"/>
    <n v="0"/>
    <n v="0"/>
    <n v="0"/>
    <n v="413"/>
    <n v="0.59"/>
    <x v="0"/>
    <x v="692"/>
    <n v="0"/>
  </r>
  <r>
    <s v="U24593"/>
    <x v="6"/>
    <x v="1"/>
    <x v="0"/>
    <x v="1"/>
    <s v="Unemployed"/>
    <n v="4017.92"/>
    <n v="1537.16"/>
    <n v="46104.639999999999"/>
    <s v="No"/>
    <s v="None"/>
    <n v="0"/>
    <n v="0"/>
    <n v="0"/>
    <n v="0"/>
    <n v="0"/>
    <n v="833"/>
    <n v="0.96"/>
    <x v="3"/>
    <x v="1066"/>
    <n v="0"/>
  </r>
  <r>
    <s v="U24605"/>
    <x v="18"/>
    <x v="0"/>
    <x v="2"/>
    <x v="2"/>
    <s v="Salesperson"/>
    <n v="2940.5"/>
    <n v="1178.6199999999999"/>
    <n v="5949.2"/>
    <s v="No"/>
    <s v="None"/>
    <n v="0"/>
    <n v="0"/>
    <n v="0"/>
    <n v="0"/>
    <n v="0"/>
    <n v="668"/>
    <n v="0.17"/>
    <x v="4"/>
    <x v="471"/>
    <n v="0"/>
  </r>
  <r>
    <s v="U24612"/>
    <x v="50"/>
    <x v="1"/>
    <x v="4"/>
    <x v="1"/>
    <s v="Manager"/>
    <n v="2353.41"/>
    <n v="947.76"/>
    <n v="17130.849999999999"/>
    <s v="No"/>
    <s v="None"/>
    <n v="0"/>
    <n v="0"/>
    <n v="0"/>
    <n v="0"/>
    <n v="0"/>
    <n v="715"/>
    <n v="0.61"/>
    <x v="2"/>
    <x v="513"/>
    <n v="0"/>
  </r>
  <r>
    <s v="U24623"/>
    <x v="15"/>
    <x v="1"/>
    <x v="0"/>
    <x v="1"/>
    <s v="Accountant"/>
    <n v="4581.26"/>
    <n v="1955.13"/>
    <n v="29818.83"/>
    <s v="No"/>
    <s v="None"/>
    <n v="0"/>
    <n v="0"/>
    <n v="0"/>
    <n v="0"/>
    <n v="0"/>
    <n v="608"/>
    <n v="0.54"/>
    <x v="4"/>
    <x v="909"/>
    <n v="0"/>
  </r>
  <r>
    <s v="U24633"/>
    <x v="37"/>
    <x v="1"/>
    <x v="4"/>
    <x v="1"/>
    <s v="Manager"/>
    <n v="5470.06"/>
    <n v="3753.43"/>
    <n v="11665.73"/>
    <s v="Yes"/>
    <s v="Car"/>
    <n v="328104.25"/>
    <n v="180"/>
    <n v="4486.95"/>
    <n v="14.53"/>
    <n v="0.82"/>
    <n v="468"/>
    <n v="0.18"/>
    <x v="2"/>
    <x v="288"/>
    <n v="1"/>
  </r>
  <r>
    <s v="U24635"/>
    <x v="37"/>
    <x v="1"/>
    <x v="2"/>
    <x v="1"/>
    <s v="Salesperson"/>
    <n v="3911.86"/>
    <n v="3158.75"/>
    <n v="14230.86"/>
    <s v="No"/>
    <s v="None"/>
    <n v="0"/>
    <n v="0"/>
    <n v="0"/>
    <n v="0"/>
    <n v="0"/>
    <n v="809"/>
    <n v="0.3"/>
    <x v="1"/>
    <x v="590"/>
    <n v="0"/>
  </r>
  <r>
    <s v="U24669"/>
    <x v="22"/>
    <x v="1"/>
    <x v="4"/>
    <x v="2"/>
    <s v="Unemployed"/>
    <n v="2602.65"/>
    <n v="967.41"/>
    <n v="7957.45"/>
    <s v="No"/>
    <s v="None"/>
    <n v="0"/>
    <n v="0"/>
    <n v="0"/>
    <n v="0"/>
    <n v="0"/>
    <n v="504"/>
    <n v="0.25"/>
    <x v="1"/>
    <x v="349"/>
    <n v="0"/>
  </r>
  <r>
    <s v="U24694"/>
    <x v="31"/>
    <x v="1"/>
    <x v="3"/>
    <x v="3"/>
    <s v="Driver"/>
    <n v="4795.09"/>
    <n v="3469.36"/>
    <n v="34508.61"/>
    <s v="No"/>
    <s v="None"/>
    <n v="0"/>
    <n v="0"/>
    <n v="0"/>
    <n v="0"/>
    <n v="0"/>
    <n v="493"/>
    <n v="0.6"/>
    <x v="2"/>
    <x v="1000"/>
    <n v="0"/>
  </r>
  <r>
    <s v="U24701"/>
    <x v="33"/>
    <x v="1"/>
    <x v="3"/>
    <x v="1"/>
    <s v="Engineer"/>
    <n v="3676.73"/>
    <n v="2379.56"/>
    <n v="24099.59"/>
    <s v="No"/>
    <s v="None"/>
    <n v="0"/>
    <n v="0"/>
    <n v="0"/>
    <n v="0"/>
    <n v="0"/>
    <n v="661"/>
    <n v="0.55000000000000004"/>
    <x v="1"/>
    <x v="136"/>
    <n v="0"/>
  </r>
  <r>
    <s v="U24709"/>
    <x v="29"/>
    <x v="0"/>
    <x v="2"/>
    <x v="2"/>
    <s v="Driver"/>
    <n v="2753.89"/>
    <n v="1076.3800000000001"/>
    <n v="17282.93"/>
    <s v="Yes"/>
    <s v="Car"/>
    <n v="327424.92"/>
    <n v="360"/>
    <n v="4958.63"/>
    <n v="18.09"/>
    <n v="1.8"/>
    <n v="407"/>
    <n v="0.52"/>
    <x v="0"/>
    <x v="848"/>
    <n v="1"/>
  </r>
  <r>
    <s v="U24714"/>
    <x v="4"/>
    <x v="0"/>
    <x v="3"/>
    <x v="1"/>
    <s v="Engineer"/>
    <n v="4389.8599999999997"/>
    <n v="2624.88"/>
    <n v="36936.230000000003"/>
    <s v="Yes"/>
    <s v="Business"/>
    <n v="33857.08"/>
    <n v="60"/>
    <n v="837.44"/>
    <n v="16.78"/>
    <n v="0.19"/>
    <n v="836"/>
    <n v="0.7"/>
    <x v="4"/>
    <x v="815"/>
    <n v="0"/>
  </r>
  <r>
    <s v="U24741"/>
    <x v="14"/>
    <x v="2"/>
    <x v="3"/>
    <x v="2"/>
    <s v="Doctor"/>
    <n v="4475.18"/>
    <n v="3724.45"/>
    <n v="47619.4"/>
    <s v="No"/>
    <s v="None"/>
    <n v="0"/>
    <n v="0"/>
    <n v="0"/>
    <n v="0"/>
    <n v="0"/>
    <n v="667"/>
    <n v="0.89"/>
    <x v="1"/>
    <x v="20"/>
    <n v="0"/>
  </r>
  <r>
    <s v="U24758"/>
    <x v="38"/>
    <x v="1"/>
    <x v="2"/>
    <x v="2"/>
    <s v="Doctor"/>
    <n v="3303.24"/>
    <n v="1755.83"/>
    <n v="19099.16"/>
    <s v="Yes"/>
    <s v="Education"/>
    <n v="83781.84"/>
    <n v="24"/>
    <n v="3738.23"/>
    <n v="6.66"/>
    <n v="1.1299999999999999"/>
    <n v="607"/>
    <n v="0.48"/>
    <x v="4"/>
    <x v="124"/>
    <n v="1"/>
  </r>
  <r>
    <s v="U24761"/>
    <x v="44"/>
    <x v="0"/>
    <x v="0"/>
    <x v="1"/>
    <s v="Student"/>
    <n v="2275.06"/>
    <n v="1346.57"/>
    <n v="8477.18"/>
    <s v="No"/>
    <s v="None"/>
    <n v="0"/>
    <n v="0"/>
    <n v="0"/>
    <n v="0"/>
    <n v="0"/>
    <n v="337"/>
    <n v="0.31"/>
    <x v="3"/>
    <x v="831"/>
    <n v="0"/>
  </r>
  <r>
    <s v="U24768"/>
    <x v="30"/>
    <x v="1"/>
    <x v="2"/>
    <x v="1"/>
    <s v="Doctor"/>
    <n v="4896.58"/>
    <n v="2000.99"/>
    <n v="29663.54"/>
    <s v="No"/>
    <s v="None"/>
    <n v="0"/>
    <n v="0"/>
    <n v="0"/>
    <n v="0"/>
    <n v="0"/>
    <n v="672"/>
    <n v="0.5"/>
    <x v="3"/>
    <x v="1049"/>
    <n v="0"/>
  </r>
  <r>
    <s v="U24794"/>
    <x v="41"/>
    <x v="0"/>
    <x v="0"/>
    <x v="1"/>
    <s v="Unemployed"/>
    <n v="7406.33"/>
    <n v="3378.35"/>
    <n v="87481.98"/>
    <s v="Yes"/>
    <s v="Business"/>
    <n v="324979.71999999997"/>
    <n v="240"/>
    <n v="3837.52"/>
    <n v="13.13"/>
    <n v="0.52"/>
    <n v="678"/>
    <n v="0.98"/>
    <x v="4"/>
    <x v="781"/>
    <n v="1"/>
  </r>
  <r>
    <s v="U24819"/>
    <x v="17"/>
    <x v="0"/>
    <x v="2"/>
    <x v="2"/>
    <s v="Driver"/>
    <n v="1646.26"/>
    <n v="938.91"/>
    <n v="18711.18"/>
    <s v="No"/>
    <s v="None"/>
    <n v="0"/>
    <n v="0"/>
    <n v="0"/>
    <n v="0"/>
    <n v="0"/>
    <n v="769"/>
    <n v="0.95"/>
    <x v="4"/>
    <x v="860"/>
    <n v="0"/>
  </r>
  <r>
    <s v="U24866"/>
    <x v="51"/>
    <x v="0"/>
    <x v="3"/>
    <x v="1"/>
    <s v="Manager"/>
    <n v="3754.82"/>
    <n v="1226.77"/>
    <n v="23336.42"/>
    <s v="No"/>
    <s v="None"/>
    <n v="0"/>
    <n v="0"/>
    <n v="0"/>
    <n v="0"/>
    <n v="0"/>
    <n v="750"/>
    <n v="0.52"/>
    <x v="3"/>
    <x v="865"/>
    <n v="0"/>
  </r>
  <r>
    <s v="U24881"/>
    <x v="27"/>
    <x v="1"/>
    <x v="3"/>
    <x v="1"/>
    <s v="Manager"/>
    <n v="1629.16"/>
    <n v="1109.42"/>
    <n v="18162.89"/>
    <s v="No"/>
    <s v="None"/>
    <n v="0"/>
    <n v="0"/>
    <n v="0"/>
    <n v="0"/>
    <n v="0"/>
    <n v="639"/>
    <n v="0.93"/>
    <x v="1"/>
    <x v="49"/>
    <n v="0"/>
  </r>
  <r>
    <s v="U24941"/>
    <x v="5"/>
    <x v="0"/>
    <x v="0"/>
    <x v="1"/>
    <s v="Teacher"/>
    <n v="1609.52"/>
    <n v="1214.17"/>
    <n v="17468.830000000002"/>
    <s v="Yes"/>
    <s v="Car"/>
    <n v="391010.95"/>
    <n v="360"/>
    <n v="2940.28"/>
    <n v="8.26"/>
    <n v="1.83"/>
    <n v="605"/>
    <n v="0.9"/>
    <x v="1"/>
    <x v="551"/>
    <n v="1"/>
  </r>
  <r>
    <s v="U24967"/>
    <x v="2"/>
    <x v="1"/>
    <x v="3"/>
    <x v="2"/>
    <s v="Manager"/>
    <n v="6754.75"/>
    <n v="3895.78"/>
    <n v="10959.65"/>
    <s v="No"/>
    <s v="None"/>
    <n v="0"/>
    <n v="0"/>
    <n v="0"/>
    <n v="0"/>
    <n v="0"/>
    <n v="713"/>
    <n v="0.14000000000000001"/>
    <x v="0"/>
    <x v="571"/>
    <n v="0"/>
  </r>
  <r>
    <s v="U24990"/>
    <x v="12"/>
    <x v="0"/>
    <x v="0"/>
    <x v="2"/>
    <s v="Salesperson"/>
    <n v="3969.91"/>
    <n v="1920.26"/>
    <n v="14412.27"/>
    <s v="No"/>
    <s v="None"/>
    <n v="0"/>
    <n v="0"/>
    <n v="0"/>
    <n v="0"/>
    <n v="0"/>
    <n v="658"/>
    <n v="0.3"/>
    <x v="2"/>
    <x v="129"/>
    <n v="0"/>
  </r>
  <r>
    <s v="U24995"/>
    <x v="39"/>
    <x v="1"/>
    <x v="3"/>
    <x v="1"/>
    <s v="Student"/>
    <n v="1199.1400000000001"/>
    <n v="924.71"/>
    <n v="5775.55"/>
    <s v="No"/>
    <s v="None"/>
    <n v="0"/>
    <n v="0"/>
    <n v="0"/>
    <n v="0"/>
    <n v="0"/>
    <n v="712"/>
    <n v="0.4"/>
    <x v="4"/>
    <x v="478"/>
    <n v="0"/>
  </r>
  <r>
    <s v="U25015"/>
    <x v="9"/>
    <x v="2"/>
    <x v="3"/>
    <x v="0"/>
    <s v="Driver"/>
    <n v="2156.29"/>
    <n v="1779.83"/>
    <n v="25132.29"/>
    <s v="Yes"/>
    <s v="Business"/>
    <n v="65312.55"/>
    <n v="300"/>
    <n v="338.64"/>
    <n v="3.83"/>
    <n v="0.16"/>
    <n v="589"/>
    <n v="0.97"/>
    <x v="1"/>
    <x v="778"/>
    <n v="0"/>
  </r>
  <r>
    <s v="U25017"/>
    <x v="46"/>
    <x v="0"/>
    <x v="1"/>
    <x v="3"/>
    <s v="Manager"/>
    <n v="5469.47"/>
    <n v="4722.3900000000003"/>
    <n v="10075.9"/>
    <s v="Yes"/>
    <s v="Home"/>
    <n v="22871.93"/>
    <n v="24"/>
    <n v="1258.2"/>
    <n v="28.24"/>
    <n v="0.23"/>
    <n v="698"/>
    <n v="0.15"/>
    <x v="4"/>
    <x v="167"/>
    <n v="0"/>
  </r>
  <r>
    <s v="U25027"/>
    <x v="36"/>
    <x v="1"/>
    <x v="2"/>
    <x v="3"/>
    <s v="Manager"/>
    <n v="500"/>
    <n v="415.97"/>
    <n v="5807.49"/>
    <s v="No"/>
    <s v="None"/>
    <n v="0"/>
    <n v="0"/>
    <n v="0"/>
    <n v="0"/>
    <n v="0"/>
    <n v="732"/>
    <n v="0.97"/>
    <x v="2"/>
    <x v="598"/>
    <n v="0"/>
  </r>
  <r>
    <s v="U25040"/>
    <x v="21"/>
    <x v="0"/>
    <x v="0"/>
    <x v="1"/>
    <s v="Driver"/>
    <n v="4828.83"/>
    <n v="4183.17"/>
    <n v="22429.040000000001"/>
    <s v="No"/>
    <s v="None"/>
    <n v="0"/>
    <n v="0"/>
    <n v="0"/>
    <n v="0"/>
    <n v="0"/>
    <n v="552"/>
    <n v="0.39"/>
    <x v="2"/>
    <x v="315"/>
    <n v="0"/>
  </r>
  <r>
    <s v="U25056"/>
    <x v="49"/>
    <x v="1"/>
    <x v="1"/>
    <x v="0"/>
    <s v="Manager"/>
    <n v="4953.87"/>
    <n v="4414.67"/>
    <n v="54872.800000000003"/>
    <s v="No"/>
    <s v="None"/>
    <n v="0"/>
    <n v="0"/>
    <n v="0"/>
    <n v="0"/>
    <n v="0"/>
    <n v="746"/>
    <n v="0.92"/>
    <x v="2"/>
    <x v="48"/>
    <n v="0"/>
  </r>
  <r>
    <s v="U25058"/>
    <x v="0"/>
    <x v="0"/>
    <x v="3"/>
    <x v="1"/>
    <s v="Driver"/>
    <n v="3200.88"/>
    <n v="1678.16"/>
    <n v="5085.2"/>
    <s v="No"/>
    <s v="None"/>
    <n v="0"/>
    <n v="0"/>
    <n v="0"/>
    <n v="0"/>
    <n v="0"/>
    <n v="622"/>
    <n v="0.13"/>
    <x v="2"/>
    <x v="1067"/>
    <n v="0"/>
  </r>
  <r>
    <s v="U25079"/>
    <x v="6"/>
    <x v="0"/>
    <x v="3"/>
    <x v="0"/>
    <s v="Unemployed"/>
    <n v="3176.7"/>
    <n v="2827.31"/>
    <n v="35463.760000000002"/>
    <s v="Yes"/>
    <s v="Home"/>
    <n v="155020.59"/>
    <n v="180"/>
    <n v="3322.54"/>
    <n v="25.1"/>
    <n v="1.05"/>
    <n v="817"/>
    <n v="0.93"/>
    <x v="4"/>
    <x v="1068"/>
    <n v="1"/>
  </r>
  <r>
    <s v="U25109"/>
    <x v="5"/>
    <x v="1"/>
    <x v="1"/>
    <x v="2"/>
    <s v="Teacher"/>
    <n v="6260.6"/>
    <n v="5498.48"/>
    <n v="8191.18"/>
    <s v="No"/>
    <s v="None"/>
    <n v="0"/>
    <n v="0"/>
    <n v="0"/>
    <n v="0"/>
    <n v="0"/>
    <n v="394"/>
    <n v="0.11"/>
    <x v="1"/>
    <x v="1069"/>
    <n v="0"/>
  </r>
  <r>
    <s v="U25121"/>
    <x v="42"/>
    <x v="0"/>
    <x v="3"/>
    <x v="1"/>
    <s v="Driver"/>
    <n v="1249.68"/>
    <n v="1118.47"/>
    <n v="4577.5200000000004"/>
    <s v="No"/>
    <s v="None"/>
    <n v="0"/>
    <n v="0"/>
    <n v="0"/>
    <n v="0"/>
    <n v="0"/>
    <n v="518"/>
    <n v="0.31"/>
    <x v="4"/>
    <x v="784"/>
    <n v="0"/>
  </r>
  <r>
    <s v="U25125"/>
    <x v="17"/>
    <x v="1"/>
    <x v="1"/>
    <x v="1"/>
    <s v="Unemployed"/>
    <n v="2107.86"/>
    <n v="1320.81"/>
    <n v="23831.49"/>
    <s v="No"/>
    <s v="None"/>
    <n v="0"/>
    <n v="0"/>
    <n v="0"/>
    <n v="0"/>
    <n v="0"/>
    <n v="508"/>
    <n v="0.94"/>
    <x v="0"/>
    <x v="815"/>
    <n v="0"/>
  </r>
  <r>
    <s v="U25128"/>
    <x v="26"/>
    <x v="1"/>
    <x v="2"/>
    <x v="3"/>
    <s v="Doctor"/>
    <n v="10220.67"/>
    <n v="3635.66"/>
    <n v="81560.89"/>
    <s v="No"/>
    <s v="None"/>
    <n v="0"/>
    <n v="0"/>
    <n v="0"/>
    <n v="0"/>
    <n v="0"/>
    <n v="398"/>
    <n v="0.66"/>
    <x v="3"/>
    <x v="1070"/>
    <n v="0"/>
  </r>
  <r>
    <s v="U25129"/>
    <x v="10"/>
    <x v="0"/>
    <x v="0"/>
    <x v="0"/>
    <s v="Unemployed"/>
    <n v="5133.6099999999997"/>
    <n v="1804.77"/>
    <n v="40149.17"/>
    <s v="No"/>
    <s v="None"/>
    <n v="0"/>
    <n v="0"/>
    <n v="0"/>
    <n v="0"/>
    <n v="0"/>
    <n v="761"/>
    <n v="0.65"/>
    <x v="4"/>
    <x v="140"/>
    <n v="0"/>
  </r>
  <r>
    <s v="U25155"/>
    <x v="42"/>
    <x v="1"/>
    <x v="3"/>
    <x v="1"/>
    <s v="Salesperson"/>
    <n v="5806.52"/>
    <n v="4336.63"/>
    <n v="60846.15"/>
    <s v="No"/>
    <s v="None"/>
    <n v="0"/>
    <n v="0"/>
    <n v="0"/>
    <n v="0"/>
    <n v="0"/>
    <n v="771"/>
    <n v="0.87"/>
    <x v="2"/>
    <x v="1071"/>
    <n v="0"/>
  </r>
  <r>
    <s v="U25181"/>
    <x v="22"/>
    <x v="1"/>
    <x v="0"/>
    <x v="1"/>
    <s v="Doctor"/>
    <n v="6110.42"/>
    <n v="2209.54"/>
    <n v="48764.09"/>
    <s v="No"/>
    <s v="None"/>
    <n v="0"/>
    <n v="0"/>
    <n v="0"/>
    <n v="0"/>
    <n v="0"/>
    <n v="715"/>
    <n v="0.67"/>
    <x v="4"/>
    <x v="311"/>
    <n v="0"/>
  </r>
  <r>
    <s v="U25183"/>
    <x v="3"/>
    <x v="0"/>
    <x v="2"/>
    <x v="0"/>
    <s v="Teacher"/>
    <n v="4114.1499999999996"/>
    <n v="2972.66"/>
    <n v="35814.67"/>
    <s v="No"/>
    <s v="None"/>
    <n v="0"/>
    <n v="0"/>
    <n v="0"/>
    <n v="0"/>
    <n v="0"/>
    <n v="421"/>
    <n v="0.73"/>
    <x v="4"/>
    <x v="1072"/>
    <n v="0"/>
  </r>
  <r>
    <s v="U25187"/>
    <x v="16"/>
    <x v="1"/>
    <x v="2"/>
    <x v="1"/>
    <s v="Accountant"/>
    <n v="3436.55"/>
    <n v="2029.99"/>
    <n v="7326.15"/>
    <s v="Yes"/>
    <s v="Car"/>
    <n v="46797.75"/>
    <n v="36"/>
    <n v="1986.38"/>
    <n v="29.99"/>
    <n v="0.57999999999999996"/>
    <n v="604"/>
    <n v="0.18"/>
    <x v="0"/>
    <x v="373"/>
    <n v="1"/>
  </r>
  <r>
    <s v="U25202"/>
    <x v="46"/>
    <x v="0"/>
    <x v="2"/>
    <x v="1"/>
    <s v="Unemployed"/>
    <n v="2545.39"/>
    <n v="1554.75"/>
    <n v="19195.650000000001"/>
    <s v="No"/>
    <s v="None"/>
    <n v="0"/>
    <n v="0"/>
    <n v="0"/>
    <n v="0"/>
    <n v="0"/>
    <n v="694"/>
    <n v="0.63"/>
    <x v="4"/>
    <x v="964"/>
    <n v="0"/>
  </r>
  <r>
    <s v="U25214"/>
    <x v="8"/>
    <x v="2"/>
    <x v="2"/>
    <x v="3"/>
    <s v="Engineer"/>
    <n v="5221.47"/>
    <n v="3452.38"/>
    <n v="35334.85"/>
    <s v="Yes"/>
    <s v="Home"/>
    <n v="129491.51"/>
    <n v="36"/>
    <n v="5162.95"/>
    <n v="25.21"/>
    <n v="0.99"/>
    <n v="644"/>
    <n v="0.56000000000000005"/>
    <x v="4"/>
    <x v="253"/>
    <n v="1"/>
  </r>
  <r>
    <s v="U25215"/>
    <x v="5"/>
    <x v="0"/>
    <x v="3"/>
    <x v="1"/>
    <s v="Teacher"/>
    <n v="4207.95"/>
    <n v="3618.81"/>
    <n v="13689.84"/>
    <s v="No"/>
    <s v="None"/>
    <n v="0"/>
    <n v="0"/>
    <n v="0"/>
    <n v="0"/>
    <n v="0"/>
    <n v="799"/>
    <n v="0.27"/>
    <x v="3"/>
    <x v="1073"/>
    <n v="0"/>
  </r>
  <r>
    <s v="U25229"/>
    <x v="6"/>
    <x v="1"/>
    <x v="3"/>
    <x v="1"/>
    <s v="Doctor"/>
    <n v="5194.41"/>
    <n v="3687.68"/>
    <n v="34152.29"/>
    <s v="No"/>
    <s v="None"/>
    <n v="0"/>
    <n v="0"/>
    <n v="0"/>
    <n v="0"/>
    <n v="0"/>
    <n v="800"/>
    <n v="0.55000000000000004"/>
    <x v="3"/>
    <x v="1074"/>
    <n v="0"/>
  </r>
  <r>
    <s v="U25234"/>
    <x v="47"/>
    <x v="1"/>
    <x v="2"/>
    <x v="1"/>
    <s v="Driver"/>
    <n v="4575.8500000000004"/>
    <n v="2938.84"/>
    <n v="36433.53"/>
    <s v="No"/>
    <s v="None"/>
    <n v="0"/>
    <n v="0"/>
    <n v="0"/>
    <n v="0"/>
    <n v="0"/>
    <n v="411"/>
    <n v="0.66"/>
    <x v="1"/>
    <x v="914"/>
    <n v="0"/>
  </r>
  <r>
    <s v="U25235"/>
    <x v="46"/>
    <x v="1"/>
    <x v="3"/>
    <x v="1"/>
    <s v="Teacher"/>
    <n v="3952.81"/>
    <n v="2558.2600000000002"/>
    <n v="5292.46"/>
    <s v="No"/>
    <s v="None"/>
    <n v="0"/>
    <n v="0"/>
    <n v="0"/>
    <n v="0"/>
    <n v="0"/>
    <n v="359"/>
    <n v="0.11"/>
    <x v="3"/>
    <x v="235"/>
    <n v="0"/>
  </r>
  <r>
    <s v="U25237"/>
    <x v="35"/>
    <x v="0"/>
    <x v="3"/>
    <x v="1"/>
    <s v="Engineer"/>
    <n v="1149.08"/>
    <n v="553.83000000000004"/>
    <n v="11288.11"/>
    <s v="No"/>
    <s v="None"/>
    <n v="0"/>
    <n v="0"/>
    <n v="0"/>
    <n v="0"/>
    <n v="0"/>
    <n v="636"/>
    <n v="0.82"/>
    <x v="1"/>
    <x v="715"/>
    <n v="0"/>
  </r>
  <r>
    <s v="U25258"/>
    <x v="28"/>
    <x v="1"/>
    <x v="3"/>
    <x v="1"/>
    <s v="Accountant"/>
    <n v="6602.74"/>
    <n v="5043.8999999999996"/>
    <n v="44097.9"/>
    <s v="Yes"/>
    <s v="Business"/>
    <n v="141768.48000000001"/>
    <n v="240"/>
    <n v="1898.29"/>
    <n v="15.3"/>
    <n v="0.28999999999999998"/>
    <n v="616"/>
    <n v="0.56000000000000005"/>
    <x v="0"/>
    <x v="266"/>
    <n v="0"/>
  </r>
  <r>
    <s v="U25260"/>
    <x v="34"/>
    <x v="2"/>
    <x v="2"/>
    <x v="1"/>
    <s v="Driver"/>
    <n v="3622.47"/>
    <n v="2613.9899999999998"/>
    <n v="20119"/>
    <s v="Yes"/>
    <s v="Car"/>
    <n v="222004.74"/>
    <n v="360"/>
    <n v="1933.5"/>
    <n v="9.91"/>
    <n v="0.53"/>
    <n v="402"/>
    <n v="0.46"/>
    <x v="3"/>
    <x v="386"/>
    <n v="1"/>
  </r>
  <r>
    <s v="U25292"/>
    <x v="11"/>
    <x v="0"/>
    <x v="1"/>
    <x v="1"/>
    <s v="Unemployed"/>
    <n v="6643.17"/>
    <n v="4991.78"/>
    <n v="24250.720000000001"/>
    <s v="No"/>
    <s v="None"/>
    <n v="0"/>
    <n v="0"/>
    <n v="0"/>
    <n v="0"/>
    <n v="0"/>
    <n v="691"/>
    <n v="0.3"/>
    <x v="2"/>
    <x v="772"/>
    <n v="0"/>
  </r>
  <r>
    <s v="U25293"/>
    <x v="47"/>
    <x v="0"/>
    <x v="2"/>
    <x v="1"/>
    <s v="Student"/>
    <n v="5103.0600000000004"/>
    <n v="1716.17"/>
    <n v="50856.34"/>
    <s v="Yes"/>
    <s v="Business"/>
    <n v="141713.95000000001"/>
    <n v="360"/>
    <n v="1617.64"/>
    <n v="13.45"/>
    <n v="0.32"/>
    <n v="692"/>
    <n v="0.83"/>
    <x v="4"/>
    <x v="869"/>
    <n v="0"/>
  </r>
  <r>
    <s v="U25319"/>
    <x v="40"/>
    <x v="1"/>
    <x v="0"/>
    <x v="2"/>
    <s v="Salesperson"/>
    <n v="6726.55"/>
    <n v="5124.79"/>
    <n v="33299.51"/>
    <s v="No"/>
    <s v="None"/>
    <n v="0"/>
    <n v="0"/>
    <n v="0"/>
    <n v="0"/>
    <n v="0"/>
    <n v="662"/>
    <n v="0.41"/>
    <x v="3"/>
    <x v="49"/>
    <n v="0"/>
  </r>
  <r>
    <s v="U25337"/>
    <x v="19"/>
    <x v="0"/>
    <x v="2"/>
    <x v="3"/>
    <s v="Salesperson"/>
    <n v="2109.48"/>
    <n v="680.82"/>
    <n v="18454.63"/>
    <s v="Yes"/>
    <s v="Business"/>
    <n v="116440.3"/>
    <n v="36"/>
    <n v="3711.99"/>
    <n v="9.17"/>
    <n v="1.76"/>
    <n v="846"/>
    <n v="0.73"/>
    <x v="2"/>
    <x v="591"/>
    <n v="1"/>
  </r>
  <r>
    <s v="U25339"/>
    <x v="34"/>
    <x v="0"/>
    <x v="2"/>
    <x v="1"/>
    <s v="Salesperson"/>
    <n v="4106.3599999999997"/>
    <n v="2917.73"/>
    <n v="43763.77"/>
    <s v="Yes"/>
    <s v="Education"/>
    <n v="459653.26"/>
    <n v="120"/>
    <n v="4459.7"/>
    <n v="3.1"/>
    <n v="1.0900000000000001"/>
    <n v="444"/>
    <n v="0.89"/>
    <x v="2"/>
    <x v="1075"/>
    <n v="1"/>
  </r>
  <r>
    <s v="U25376"/>
    <x v="22"/>
    <x v="0"/>
    <x v="2"/>
    <x v="3"/>
    <s v="Teacher"/>
    <n v="3380.09"/>
    <n v="2959.95"/>
    <n v="38728.120000000003"/>
    <s v="No"/>
    <s v="None"/>
    <n v="0"/>
    <n v="0"/>
    <n v="0"/>
    <n v="0"/>
    <n v="0"/>
    <n v="504"/>
    <n v="0.95"/>
    <x v="1"/>
    <x v="344"/>
    <n v="0"/>
  </r>
  <r>
    <s v="U25402"/>
    <x v="2"/>
    <x v="0"/>
    <x v="0"/>
    <x v="1"/>
    <s v="Unemployed"/>
    <n v="3331.85"/>
    <n v="1514.92"/>
    <n v="39108.57"/>
    <s v="No"/>
    <s v="None"/>
    <n v="0"/>
    <n v="0"/>
    <n v="0"/>
    <n v="0"/>
    <n v="0"/>
    <n v="501"/>
    <n v="0.98"/>
    <x v="0"/>
    <x v="1076"/>
    <n v="0"/>
  </r>
  <r>
    <s v="U25456"/>
    <x v="3"/>
    <x v="1"/>
    <x v="3"/>
    <x v="1"/>
    <s v="Manager"/>
    <n v="3264.83"/>
    <n v="1492.95"/>
    <n v="17257.25"/>
    <s v="Yes"/>
    <s v="Car"/>
    <n v="292136.56"/>
    <n v="120"/>
    <n v="4032.45"/>
    <n v="11.05"/>
    <n v="1.24"/>
    <n v="543"/>
    <n v="0.44"/>
    <x v="2"/>
    <x v="857"/>
    <n v="1"/>
  </r>
  <r>
    <s v="U25464"/>
    <x v="29"/>
    <x v="0"/>
    <x v="2"/>
    <x v="0"/>
    <s v="Engineer"/>
    <n v="8911.32"/>
    <n v="3935.42"/>
    <n v="52427.25"/>
    <s v="No"/>
    <s v="None"/>
    <n v="0"/>
    <n v="0"/>
    <n v="0"/>
    <n v="0"/>
    <n v="0"/>
    <n v="644"/>
    <n v="0.49"/>
    <x v="0"/>
    <x v="1077"/>
    <n v="0"/>
  </r>
  <r>
    <s v="U25486"/>
    <x v="26"/>
    <x v="0"/>
    <x v="3"/>
    <x v="1"/>
    <s v="Manager"/>
    <n v="2602.7199999999998"/>
    <n v="1139.33"/>
    <n v="23547.360000000001"/>
    <s v="Yes"/>
    <s v="Car"/>
    <n v="52312.98"/>
    <n v="360"/>
    <n v="1037.56"/>
    <n v="23.78"/>
    <n v="0.4"/>
    <n v="486"/>
    <n v="0.75"/>
    <x v="2"/>
    <x v="595"/>
    <n v="0"/>
  </r>
  <r>
    <s v="U25492"/>
    <x v="4"/>
    <x v="0"/>
    <x v="3"/>
    <x v="1"/>
    <s v="Manager"/>
    <n v="1276.27"/>
    <n v="447.9"/>
    <n v="13276.41"/>
    <s v="No"/>
    <s v="None"/>
    <n v="0"/>
    <n v="0"/>
    <n v="0"/>
    <n v="0"/>
    <n v="0"/>
    <n v="461"/>
    <n v="0.87"/>
    <x v="2"/>
    <x v="10"/>
    <n v="0"/>
  </r>
  <r>
    <s v="U25498"/>
    <x v="41"/>
    <x v="1"/>
    <x v="0"/>
    <x v="2"/>
    <s v="Salesperson"/>
    <n v="5697.06"/>
    <n v="4711.67"/>
    <n v="29157.27"/>
    <s v="No"/>
    <s v="None"/>
    <n v="0"/>
    <n v="0"/>
    <n v="0"/>
    <n v="0"/>
    <n v="0"/>
    <n v="325"/>
    <n v="0.43"/>
    <x v="0"/>
    <x v="436"/>
    <n v="0"/>
  </r>
  <r>
    <s v="U25503"/>
    <x v="17"/>
    <x v="0"/>
    <x v="0"/>
    <x v="1"/>
    <s v="Driver"/>
    <n v="4386.04"/>
    <n v="2374.66"/>
    <n v="29238.15"/>
    <s v="Yes"/>
    <s v="Business"/>
    <n v="32534.57"/>
    <n v="360"/>
    <n v="616.98"/>
    <n v="22.73"/>
    <n v="0.14000000000000001"/>
    <n v="444"/>
    <n v="0.56000000000000005"/>
    <x v="0"/>
    <x v="452"/>
    <n v="0"/>
  </r>
  <r>
    <s v="U25514"/>
    <x v="45"/>
    <x v="0"/>
    <x v="2"/>
    <x v="1"/>
    <s v="Accountant"/>
    <n v="4904.92"/>
    <n v="3463.98"/>
    <n v="15115.74"/>
    <s v="No"/>
    <s v="None"/>
    <n v="0"/>
    <n v="0"/>
    <n v="0"/>
    <n v="0"/>
    <n v="0"/>
    <n v="596"/>
    <n v="0.26"/>
    <x v="1"/>
    <x v="406"/>
    <n v="0"/>
  </r>
  <r>
    <s v="U25525"/>
    <x v="37"/>
    <x v="0"/>
    <x v="2"/>
    <x v="2"/>
    <s v="Accountant"/>
    <n v="5142.97"/>
    <n v="2397.0300000000002"/>
    <n v="40908.050000000003"/>
    <s v="Yes"/>
    <s v="Car"/>
    <n v="61014.79"/>
    <n v="300"/>
    <n v="1166.3900000000001"/>
    <n v="22.86"/>
    <n v="0.23"/>
    <n v="605"/>
    <n v="0.66"/>
    <x v="1"/>
    <x v="232"/>
    <n v="0"/>
  </r>
  <r>
    <s v="U25536"/>
    <x v="50"/>
    <x v="2"/>
    <x v="3"/>
    <x v="1"/>
    <s v="Teacher"/>
    <n v="7415.98"/>
    <n v="2690.4"/>
    <n v="23345.73"/>
    <s v="No"/>
    <s v="None"/>
    <n v="0"/>
    <n v="0"/>
    <n v="0"/>
    <n v="0"/>
    <n v="0"/>
    <n v="503"/>
    <n v="0.26"/>
    <x v="0"/>
    <x v="698"/>
    <n v="0"/>
  </r>
  <r>
    <s v="U25539"/>
    <x v="8"/>
    <x v="1"/>
    <x v="0"/>
    <x v="0"/>
    <s v="Teacher"/>
    <n v="4217.17"/>
    <n v="3101.65"/>
    <n v="49081.919999999998"/>
    <s v="No"/>
    <s v="None"/>
    <n v="0"/>
    <n v="0"/>
    <n v="0"/>
    <n v="0"/>
    <n v="0"/>
    <n v="369"/>
    <n v="0.97"/>
    <x v="3"/>
    <x v="752"/>
    <n v="0"/>
  </r>
  <r>
    <s v="U25542"/>
    <x v="22"/>
    <x v="1"/>
    <x v="3"/>
    <x v="1"/>
    <s v="Driver"/>
    <n v="5370.87"/>
    <n v="3033.31"/>
    <n v="48582.21"/>
    <s v="No"/>
    <s v="None"/>
    <n v="0"/>
    <n v="0"/>
    <n v="0"/>
    <n v="0"/>
    <n v="0"/>
    <n v="470"/>
    <n v="0.75"/>
    <x v="4"/>
    <x v="1078"/>
    <n v="0"/>
  </r>
  <r>
    <s v="U25568"/>
    <x v="26"/>
    <x v="0"/>
    <x v="3"/>
    <x v="2"/>
    <s v="Student"/>
    <n v="4437.05"/>
    <n v="3106.63"/>
    <n v="19971.900000000001"/>
    <s v="Yes"/>
    <s v="Business"/>
    <n v="52010.21"/>
    <n v="36"/>
    <n v="2119.42"/>
    <n v="26.86"/>
    <n v="0.48"/>
    <n v="759"/>
    <n v="0.38"/>
    <x v="1"/>
    <x v="1079"/>
    <n v="1"/>
  </r>
  <r>
    <s v="U25576"/>
    <x v="2"/>
    <x v="0"/>
    <x v="0"/>
    <x v="0"/>
    <s v="Manager"/>
    <n v="5688.4"/>
    <n v="5004.63"/>
    <n v="10271.280000000001"/>
    <s v="Yes"/>
    <s v="Car"/>
    <n v="52811.19"/>
    <n v="24"/>
    <n v="2394.29"/>
    <n v="8.24"/>
    <n v="0.42"/>
    <n v="492"/>
    <n v="0.15"/>
    <x v="0"/>
    <x v="924"/>
    <n v="1"/>
  </r>
  <r>
    <s v="U25601"/>
    <x v="3"/>
    <x v="1"/>
    <x v="0"/>
    <x v="3"/>
    <s v="Accountant"/>
    <n v="4289.62"/>
    <n v="3158.67"/>
    <n v="33976.78"/>
    <s v="No"/>
    <s v="None"/>
    <n v="0"/>
    <n v="0"/>
    <n v="0"/>
    <n v="0"/>
    <n v="0"/>
    <n v="538"/>
    <n v="0.66"/>
    <x v="1"/>
    <x v="547"/>
    <n v="0"/>
  </r>
  <r>
    <s v="U25605"/>
    <x v="32"/>
    <x v="1"/>
    <x v="1"/>
    <x v="2"/>
    <s v="Teacher"/>
    <n v="3081.46"/>
    <n v="2457.9499999999998"/>
    <n v="26964.59"/>
    <s v="No"/>
    <s v="None"/>
    <n v="0"/>
    <n v="0"/>
    <n v="0"/>
    <n v="0"/>
    <n v="0"/>
    <n v="531"/>
    <n v="0.73"/>
    <x v="2"/>
    <x v="89"/>
    <n v="0"/>
  </r>
  <r>
    <s v="U25611"/>
    <x v="47"/>
    <x v="0"/>
    <x v="0"/>
    <x v="0"/>
    <s v="Doctor"/>
    <n v="3170.94"/>
    <n v="1686.53"/>
    <n v="10774.5"/>
    <s v="No"/>
    <s v="None"/>
    <n v="0"/>
    <n v="0"/>
    <n v="0"/>
    <n v="0"/>
    <n v="0"/>
    <n v="685"/>
    <n v="0.28000000000000003"/>
    <x v="0"/>
    <x v="1080"/>
    <n v="0"/>
  </r>
  <r>
    <s v="U25622"/>
    <x v="27"/>
    <x v="1"/>
    <x v="3"/>
    <x v="2"/>
    <s v="Salesperson"/>
    <n v="2842.83"/>
    <n v="1816.72"/>
    <n v="30921.98"/>
    <s v="No"/>
    <s v="None"/>
    <n v="0"/>
    <n v="0"/>
    <n v="0"/>
    <n v="0"/>
    <n v="0"/>
    <n v="414"/>
    <n v="0.91"/>
    <x v="3"/>
    <x v="332"/>
    <n v="0"/>
  </r>
  <r>
    <s v="U25625"/>
    <x v="25"/>
    <x v="0"/>
    <x v="3"/>
    <x v="2"/>
    <s v="Unemployed"/>
    <n v="4385.93"/>
    <n v="1431.09"/>
    <n v="15757.91"/>
    <s v="No"/>
    <s v="None"/>
    <n v="0"/>
    <n v="0"/>
    <n v="0"/>
    <n v="0"/>
    <n v="0"/>
    <n v="687"/>
    <n v="0.3"/>
    <x v="1"/>
    <x v="1081"/>
    <n v="0"/>
  </r>
  <r>
    <s v="U25645"/>
    <x v="47"/>
    <x v="0"/>
    <x v="3"/>
    <x v="1"/>
    <s v="Salesperson"/>
    <n v="2555.67"/>
    <n v="1260.0999999999999"/>
    <n v="17081.97"/>
    <s v="Yes"/>
    <s v="Education"/>
    <n v="291881.42"/>
    <n v="240"/>
    <n v="3046.61"/>
    <n v="11.17"/>
    <n v="1.19"/>
    <n v="438"/>
    <n v="0.56000000000000005"/>
    <x v="4"/>
    <x v="728"/>
    <n v="1"/>
  </r>
  <r>
    <s v="U25656"/>
    <x v="38"/>
    <x v="0"/>
    <x v="2"/>
    <x v="1"/>
    <s v="Accountant"/>
    <n v="6577.11"/>
    <n v="4950.4399999999996"/>
    <n v="22162.78"/>
    <s v="No"/>
    <s v="None"/>
    <n v="0"/>
    <n v="0"/>
    <n v="0"/>
    <n v="0"/>
    <n v="0"/>
    <n v="390"/>
    <n v="0.28000000000000003"/>
    <x v="1"/>
    <x v="387"/>
    <n v="0"/>
  </r>
  <r>
    <s v="U25659"/>
    <x v="49"/>
    <x v="0"/>
    <x v="1"/>
    <x v="0"/>
    <s v="Manager"/>
    <n v="589.55999999999995"/>
    <n v="450.73"/>
    <n v="952.6"/>
    <s v="No"/>
    <s v="None"/>
    <n v="0"/>
    <n v="0"/>
    <n v="0"/>
    <n v="0"/>
    <n v="0"/>
    <n v="785"/>
    <n v="0.13"/>
    <x v="0"/>
    <x v="1082"/>
    <n v="0"/>
  </r>
  <r>
    <s v="U25680"/>
    <x v="33"/>
    <x v="1"/>
    <x v="2"/>
    <x v="2"/>
    <s v="Manager"/>
    <n v="5329.02"/>
    <n v="3291.05"/>
    <n v="53471.91"/>
    <s v="Yes"/>
    <s v="Car"/>
    <n v="29041.85"/>
    <n v="180"/>
    <n v="632.16"/>
    <n v="25.53"/>
    <n v="0.12"/>
    <n v="707"/>
    <n v="0.84"/>
    <x v="4"/>
    <x v="246"/>
    <n v="0"/>
  </r>
  <r>
    <s v="U25682"/>
    <x v="8"/>
    <x v="1"/>
    <x v="2"/>
    <x v="1"/>
    <s v="Doctor"/>
    <n v="7071.32"/>
    <n v="5569.67"/>
    <n v="24097.37"/>
    <s v="No"/>
    <s v="None"/>
    <n v="0"/>
    <n v="0"/>
    <n v="0"/>
    <n v="0"/>
    <n v="0"/>
    <n v="585"/>
    <n v="0.28000000000000003"/>
    <x v="3"/>
    <x v="239"/>
    <n v="0"/>
  </r>
  <r>
    <s v="U25686"/>
    <x v="40"/>
    <x v="0"/>
    <x v="4"/>
    <x v="2"/>
    <s v="Manager"/>
    <n v="500"/>
    <n v="264.18"/>
    <n v="930.59"/>
    <s v="No"/>
    <s v="None"/>
    <n v="0"/>
    <n v="0"/>
    <n v="0"/>
    <n v="0"/>
    <n v="0"/>
    <n v="811"/>
    <n v="0.16"/>
    <x v="1"/>
    <x v="1083"/>
    <n v="0"/>
  </r>
  <r>
    <s v="U25687"/>
    <x v="45"/>
    <x v="0"/>
    <x v="2"/>
    <x v="1"/>
    <s v="Student"/>
    <n v="1731.59"/>
    <n v="716.35"/>
    <n v="19643.8"/>
    <s v="No"/>
    <s v="None"/>
    <n v="0"/>
    <n v="0"/>
    <n v="0"/>
    <n v="0"/>
    <n v="0"/>
    <n v="547"/>
    <n v="0.95"/>
    <x v="4"/>
    <x v="988"/>
    <n v="0"/>
  </r>
  <r>
    <s v="U25688"/>
    <x v="0"/>
    <x v="1"/>
    <x v="2"/>
    <x v="1"/>
    <s v="Accountant"/>
    <n v="3189.7"/>
    <n v="2167.08"/>
    <n v="36727.89"/>
    <s v="No"/>
    <s v="None"/>
    <n v="0"/>
    <n v="0"/>
    <n v="0"/>
    <n v="0"/>
    <n v="0"/>
    <n v="740"/>
    <n v="0.96"/>
    <x v="0"/>
    <x v="582"/>
    <n v="0"/>
  </r>
  <r>
    <s v="U25691"/>
    <x v="49"/>
    <x v="1"/>
    <x v="2"/>
    <x v="1"/>
    <s v="Driver"/>
    <n v="3988.15"/>
    <n v="1360.19"/>
    <n v="27066.6"/>
    <s v="No"/>
    <s v="None"/>
    <n v="0"/>
    <n v="0"/>
    <n v="0"/>
    <n v="0"/>
    <n v="0"/>
    <n v="506"/>
    <n v="0.56999999999999995"/>
    <x v="2"/>
    <x v="728"/>
    <n v="0"/>
  </r>
  <r>
    <s v="U25716"/>
    <x v="32"/>
    <x v="2"/>
    <x v="2"/>
    <x v="1"/>
    <s v="Engineer"/>
    <n v="3979.99"/>
    <n v="1268.79"/>
    <n v="20434.93"/>
    <s v="Yes"/>
    <s v="Home"/>
    <n v="439499.63"/>
    <n v="180"/>
    <n v="3739.69"/>
    <n v="6.13"/>
    <n v="0.94"/>
    <n v="430"/>
    <n v="0.43"/>
    <x v="1"/>
    <x v="970"/>
    <n v="1"/>
  </r>
  <r>
    <s v="U25752"/>
    <x v="16"/>
    <x v="1"/>
    <x v="0"/>
    <x v="1"/>
    <s v="Driver"/>
    <n v="5392.72"/>
    <n v="3642.53"/>
    <n v="59179.93"/>
    <s v="No"/>
    <s v="None"/>
    <n v="0"/>
    <n v="0"/>
    <n v="0"/>
    <n v="0"/>
    <n v="0"/>
    <n v="372"/>
    <n v="0.91"/>
    <x v="3"/>
    <x v="567"/>
    <n v="0"/>
  </r>
  <r>
    <s v="U25765"/>
    <x v="37"/>
    <x v="0"/>
    <x v="1"/>
    <x v="2"/>
    <s v="Driver"/>
    <n v="4588.51"/>
    <n v="3919.94"/>
    <n v="29772.59"/>
    <s v="No"/>
    <s v="None"/>
    <n v="0"/>
    <n v="0"/>
    <n v="0"/>
    <n v="0"/>
    <n v="0"/>
    <n v="668"/>
    <n v="0.54"/>
    <x v="4"/>
    <x v="1084"/>
    <n v="0"/>
  </r>
  <r>
    <s v="U25782"/>
    <x v="50"/>
    <x v="0"/>
    <x v="2"/>
    <x v="1"/>
    <s v="Manager"/>
    <n v="6512.13"/>
    <n v="4955.42"/>
    <n v="51093.2"/>
    <s v="Yes"/>
    <s v="Education"/>
    <n v="424932.43"/>
    <n v="300"/>
    <n v="7170.16"/>
    <n v="20.11"/>
    <n v="1.1000000000000001"/>
    <n v="377"/>
    <n v="0.65"/>
    <x v="2"/>
    <x v="154"/>
    <n v="1"/>
  </r>
  <r>
    <s v="U25787"/>
    <x v="26"/>
    <x v="0"/>
    <x v="0"/>
    <x v="1"/>
    <s v="Student"/>
    <n v="3639.71"/>
    <n v="2163.6799999999998"/>
    <n v="28465.4"/>
    <s v="Yes"/>
    <s v="Business"/>
    <n v="15423.73"/>
    <n v="36"/>
    <n v="523.04"/>
    <n v="13.45"/>
    <n v="0.14000000000000001"/>
    <n v="795"/>
    <n v="0.65"/>
    <x v="4"/>
    <x v="1085"/>
    <n v="0"/>
  </r>
  <r>
    <s v="U25792"/>
    <x v="46"/>
    <x v="1"/>
    <x v="2"/>
    <x v="1"/>
    <s v="Engineer"/>
    <n v="4985.04"/>
    <n v="2010.19"/>
    <n v="6143.52"/>
    <s v="Yes"/>
    <s v="Education"/>
    <n v="205968.67"/>
    <n v="360"/>
    <n v="4606.72"/>
    <n v="26.83"/>
    <n v="0.92"/>
    <n v="680"/>
    <n v="0.1"/>
    <x v="1"/>
    <x v="691"/>
    <n v="1"/>
  </r>
  <r>
    <s v="U25805"/>
    <x v="21"/>
    <x v="0"/>
    <x v="2"/>
    <x v="1"/>
    <s v="Driver"/>
    <n v="2175.0100000000002"/>
    <n v="1758.03"/>
    <n v="21233.1"/>
    <s v="Yes"/>
    <s v="Home"/>
    <n v="148780.13"/>
    <n v="300"/>
    <n v="3147.7"/>
    <n v="25.34"/>
    <n v="1.45"/>
    <n v="638"/>
    <n v="0.81"/>
    <x v="1"/>
    <x v="912"/>
    <n v="1"/>
  </r>
  <r>
    <s v="U25824"/>
    <x v="51"/>
    <x v="0"/>
    <x v="3"/>
    <x v="2"/>
    <s v="Doctor"/>
    <n v="2549.33"/>
    <n v="821.59"/>
    <n v="10646.98"/>
    <s v="No"/>
    <s v="None"/>
    <n v="0"/>
    <n v="0"/>
    <n v="0"/>
    <n v="0"/>
    <n v="0"/>
    <n v="439"/>
    <n v="0.35"/>
    <x v="3"/>
    <x v="28"/>
    <n v="0"/>
  </r>
  <r>
    <s v="U25826"/>
    <x v="28"/>
    <x v="0"/>
    <x v="3"/>
    <x v="3"/>
    <s v="Manager"/>
    <n v="4664.2700000000004"/>
    <n v="1931.03"/>
    <n v="18672.580000000002"/>
    <s v="No"/>
    <s v="None"/>
    <n v="0"/>
    <n v="0"/>
    <n v="0"/>
    <n v="0"/>
    <n v="0"/>
    <n v="527"/>
    <n v="0.33"/>
    <x v="1"/>
    <x v="271"/>
    <n v="0"/>
  </r>
  <r>
    <s v="U25852"/>
    <x v="45"/>
    <x v="1"/>
    <x v="3"/>
    <x v="0"/>
    <s v="Student"/>
    <n v="891.95"/>
    <n v="558.87"/>
    <n v="9966.23"/>
    <s v="No"/>
    <s v="None"/>
    <n v="0"/>
    <n v="0"/>
    <n v="0"/>
    <n v="0"/>
    <n v="0"/>
    <n v="496"/>
    <n v="0.93"/>
    <x v="3"/>
    <x v="1086"/>
    <n v="0"/>
  </r>
  <r>
    <s v="U25883"/>
    <x v="28"/>
    <x v="1"/>
    <x v="2"/>
    <x v="1"/>
    <s v="Driver"/>
    <n v="4459.3999999999996"/>
    <n v="1408.06"/>
    <n v="18798.23"/>
    <s v="No"/>
    <s v="None"/>
    <n v="0"/>
    <n v="0"/>
    <n v="0"/>
    <n v="0"/>
    <n v="0"/>
    <n v="724"/>
    <n v="0.35"/>
    <x v="4"/>
    <x v="1087"/>
    <n v="0"/>
  </r>
  <r>
    <s v="U25901"/>
    <x v="0"/>
    <x v="0"/>
    <x v="0"/>
    <x v="2"/>
    <s v="Engineer"/>
    <n v="2980.96"/>
    <n v="1484.26"/>
    <n v="34786.32"/>
    <s v="No"/>
    <s v="None"/>
    <n v="0"/>
    <n v="0"/>
    <n v="0"/>
    <n v="0"/>
    <n v="0"/>
    <n v="395"/>
    <n v="0.97"/>
    <x v="0"/>
    <x v="776"/>
    <n v="0"/>
  </r>
  <r>
    <s v="U25955"/>
    <x v="9"/>
    <x v="0"/>
    <x v="2"/>
    <x v="3"/>
    <s v="Student"/>
    <n v="3887.13"/>
    <n v="3062.48"/>
    <n v="45519.43"/>
    <s v="No"/>
    <s v="None"/>
    <n v="0"/>
    <n v="0"/>
    <n v="0"/>
    <n v="0"/>
    <n v="0"/>
    <n v="678"/>
    <n v="0.98"/>
    <x v="4"/>
    <x v="454"/>
    <n v="0"/>
  </r>
  <r>
    <s v="U25980"/>
    <x v="45"/>
    <x v="1"/>
    <x v="0"/>
    <x v="1"/>
    <s v="Unemployed"/>
    <n v="3731.09"/>
    <n v="1902.43"/>
    <n v="14894.07"/>
    <s v="No"/>
    <s v="None"/>
    <n v="0"/>
    <n v="0"/>
    <n v="0"/>
    <n v="0"/>
    <n v="0"/>
    <n v="521"/>
    <n v="0.33"/>
    <x v="2"/>
    <x v="1088"/>
    <n v="0"/>
  </r>
  <r>
    <s v="U25998"/>
    <x v="37"/>
    <x v="1"/>
    <x v="2"/>
    <x v="2"/>
    <s v="Manager"/>
    <n v="6978.64"/>
    <n v="6208.84"/>
    <n v="63092.7"/>
    <s v="No"/>
    <s v="None"/>
    <n v="0"/>
    <n v="0"/>
    <n v="0"/>
    <n v="0"/>
    <n v="0"/>
    <n v="732"/>
    <n v="0.75"/>
    <x v="4"/>
    <x v="225"/>
    <n v="0"/>
  </r>
  <r>
    <s v="U26015"/>
    <x v="46"/>
    <x v="1"/>
    <x v="0"/>
    <x v="1"/>
    <s v="Doctor"/>
    <n v="918.02"/>
    <n v="537.25"/>
    <n v="5493.58"/>
    <s v="No"/>
    <s v="None"/>
    <n v="0"/>
    <n v="0"/>
    <n v="0"/>
    <n v="0"/>
    <n v="0"/>
    <n v="617"/>
    <n v="0.5"/>
    <x v="0"/>
    <x v="1089"/>
    <n v="0"/>
  </r>
  <r>
    <s v="U26022"/>
    <x v="13"/>
    <x v="1"/>
    <x v="4"/>
    <x v="0"/>
    <s v="Unemployed"/>
    <n v="1398.16"/>
    <n v="1142.97"/>
    <n v="14626.07"/>
    <s v="No"/>
    <s v="None"/>
    <n v="0"/>
    <n v="0"/>
    <n v="0"/>
    <n v="0"/>
    <n v="0"/>
    <n v="449"/>
    <n v="0.87"/>
    <x v="2"/>
    <x v="669"/>
    <n v="0"/>
  </r>
  <r>
    <s v="U26052"/>
    <x v="25"/>
    <x v="1"/>
    <x v="0"/>
    <x v="2"/>
    <s v="Salesperson"/>
    <n v="8238.2999999999993"/>
    <n v="6788.41"/>
    <n v="80730.960000000006"/>
    <s v="No"/>
    <s v="None"/>
    <n v="0"/>
    <n v="0"/>
    <n v="0"/>
    <n v="0"/>
    <n v="0"/>
    <n v="394"/>
    <n v="0.82"/>
    <x v="2"/>
    <x v="1090"/>
    <n v="0"/>
  </r>
  <r>
    <s v="U26060"/>
    <x v="16"/>
    <x v="0"/>
    <x v="1"/>
    <x v="1"/>
    <s v="Student"/>
    <n v="1204"/>
    <n v="529.4"/>
    <n v="11450.09"/>
    <s v="No"/>
    <s v="None"/>
    <n v="0"/>
    <n v="0"/>
    <n v="0"/>
    <n v="0"/>
    <n v="0"/>
    <n v="414"/>
    <n v="0.79"/>
    <x v="3"/>
    <x v="1078"/>
    <n v="0"/>
  </r>
  <r>
    <s v="U26079"/>
    <x v="9"/>
    <x v="1"/>
    <x v="3"/>
    <x v="1"/>
    <s v="Student"/>
    <n v="7015.13"/>
    <n v="2360"/>
    <n v="34281.03"/>
    <s v="Yes"/>
    <s v="Home"/>
    <n v="261406.44"/>
    <n v="36"/>
    <n v="9987.2900000000009"/>
    <n v="22.03"/>
    <n v="1.42"/>
    <n v="756"/>
    <n v="0.41"/>
    <x v="4"/>
    <x v="102"/>
    <n v="1"/>
  </r>
  <r>
    <s v="U26085"/>
    <x v="20"/>
    <x v="1"/>
    <x v="2"/>
    <x v="2"/>
    <s v="Student"/>
    <n v="7282.24"/>
    <n v="4675.0200000000004"/>
    <n v="20448.09"/>
    <s v="No"/>
    <s v="None"/>
    <n v="0"/>
    <n v="0"/>
    <n v="0"/>
    <n v="0"/>
    <n v="0"/>
    <n v="850"/>
    <n v="0.23"/>
    <x v="0"/>
    <x v="512"/>
    <n v="0"/>
  </r>
  <r>
    <s v="U26131"/>
    <x v="48"/>
    <x v="1"/>
    <x v="3"/>
    <x v="1"/>
    <s v="Manager"/>
    <n v="6455.26"/>
    <n v="2445.4299999999998"/>
    <n v="10591.13"/>
    <s v="No"/>
    <s v="None"/>
    <n v="0"/>
    <n v="0"/>
    <n v="0"/>
    <n v="0"/>
    <n v="0"/>
    <n v="357"/>
    <n v="0.14000000000000001"/>
    <x v="4"/>
    <x v="512"/>
    <n v="0"/>
  </r>
  <r>
    <s v="U26150"/>
    <x v="10"/>
    <x v="1"/>
    <x v="3"/>
    <x v="1"/>
    <s v="Doctor"/>
    <n v="6269.89"/>
    <n v="4777.28"/>
    <n v="36464.51"/>
    <s v="No"/>
    <s v="None"/>
    <n v="0"/>
    <n v="0"/>
    <n v="0"/>
    <n v="0"/>
    <n v="0"/>
    <n v="814"/>
    <n v="0.48"/>
    <x v="1"/>
    <x v="185"/>
    <n v="0"/>
  </r>
  <r>
    <s v="U26161"/>
    <x v="20"/>
    <x v="0"/>
    <x v="2"/>
    <x v="1"/>
    <s v="Salesperson"/>
    <n v="2282.3200000000002"/>
    <n v="1382.96"/>
    <n v="13465.48"/>
    <s v="No"/>
    <s v="None"/>
    <n v="0"/>
    <n v="0"/>
    <n v="0"/>
    <n v="0"/>
    <n v="0"/>
    <n v="340"/>
    <n v="0.49"/>
    <x v="2"/>
    <x v="355"/>
    <n v="0"/>
  </r>
  <r>
    <s v="U26170"/>
    <x v="45"/>
    <x v="1"/>
    <x v="2"/>
    <x v="1"/>
    <s v="Doctor"/>
    <n v="3311.6"/>
    <n v="2076.98"/>
    <n v="33549.75"/>
    <s v="No"/>
    <s v="None"/>
    <n v="0"/>
    <n v="0"/>
    <n v="0"/>
    <n v="0"/>
    <n v="0"/>
    <n v="591"/>
    <n v="0.84"/>
    <x v="2"/>
    <x v="330"/>
    <n v="0"/>
  </r>
  <r>
    <s v="U26183"/>
    <x v="37"/>
    <x v="1"/>
    <x v="0"/>
    <x v="1"/>
    <s v="Student"/>
    <n v="3533.08"/>
    <n v="2939.95"/>
    <n v="30642.720000000001"/>
    <s v="No"/>
    <s v="None"/>
    <n v="0"/>
    <n v="0"/>
    <n v="0"/>
    <n v="0"/>
    <n v="0"/>
    <n v="624"/>
    <n v="0.72"/>
    <x v="2"/>
    <x v="1091"/>
    <n v="0"/>
  </r>
  <r>
    <s v="U26226"/>
    <x v="38"/>
    <x v="0"/>
    <x v="3"/>
    <x v="1"/>
    <s v="Engineer"/>
    <n v="523.04999999999995"/>
    <n v="457.09"/>
    <n v="3035.19"/>
    <s v="No"/>
    <s v="None"/>
    <n v="0"/>
    <n v="0"/>
    <n v="0"/>
    <n v="0"/>
    <n v="0"/>
    <n v="761"/>
    <n v="0.48"/>
    <x v="4"/>
    <x v="922"/>
    <n v="0"/>
  </r>
  <r>
    <s v="U26228"/>
    <x v="13"/>
    <x v="0"/>
    <x v="4"/>
    <x v="0"/>
    <s v="Teacher"/>
    <n v="4473.16"/>
    <n v="3582.82"/>
    <n v="7664.05"/>
    <s v="Yes"/>
    <s v="Home"/>
    <n v="310321.49"/>
    <n v="360"/>
    <n v="4315.99"/>
    <n v="16.57"/>
    <n v="0.96"/>
    <n v="850"/>
    <n v="0.14000000000000001"/>
    <x v="3"/>
    <x v="547"/>
    <n v="1"/>
  </r>
  <r>
    <s v="U26239"/>
    <x v="25"/>
    <x v="1"/>
    <x v="3"/>
    <x v="1"/>
    <s v="Student"/>
    <n v="4093.72"/>
    <n v="1352.34"/>
    <n v="28701.53"/>
    <s v="No"/>
    <s v="None"/>
    <n v="0"/>
    <n v="0"/>
    <n v="0"/>
    <n v="0"/>
    <n v="0"/>
    <n v="671"/>
    <n v="0.57999999999999996"/>
    <x v="0"/>
    <x v="1055"/>
    <n v="0"/>
  </r>
  <r>
    <s v="U26250"/>
    <x v="12"/>
    <x v="0"/>
    <x v="0"/>
    <x v="0"/>
    <s v="Teacher"/>
    <n v="6440.4"/>
    <n v="4814.7299999999996"/>
    <n v="47898.33"/>
    <s v="No"/>
    <s v="None"/>
    <n v="0"/>
    <n v="0"/>
    <n v="0"/>
    <n v="0"/>
    <n v="0"/>
    <n v="335"/>
    <n v="0.62"/>
    <x v="4"/>
    <x v="557"/>
    <n v="0"/>
  </r>
  <r>
    <s v="U26265"/>
    <x v="11"/>
    <x v="0"/>
    <x v="2"/>
    <x v="1"/>
    <s v="Salesperson"/>
    <n v="5233.66"/>
    <n v="3382.16"/>
    <n v="48598.17"/>
    <s v="No"/>
    <s v="None"/>
    <n v="0"/>
    <n v="0"/>
    <n v="0"/>
    <n v="0"/>
    <n v="0"/>
    <n v="327"/>
    <n v="0.77"/>
    <x v="3"/>
    <x v="1053"/>
    <n v="0"/>
  </r>
  <r>
    <s v="U26272"/>
    <x v="38"/>
    <x v="1"/>
    <x v="0"/>
    <x v="2"/>
    <s v="Teacher"/>
    <n v="3784.58"/>
    <n v="2476.0500000000002"/>
    <n v="9642.52"/>
    <s v="No"/>
    <s v="None"/>
    <n v="0"/>
    <n v="0"/>
    <n v="0"/>
    <n v="0"/>
    <n v="0"/>
    <n v="810"/>
    <n v="0.21"/>
    <x v="4"/>
    <x v="946"/>
    <n v="0"/>
  </r>
  <r>
    <s v="U26279"/>
    <x v="20"/>
    <x v="0"/>
    <x v="2"/>
    <x v="2"/>
    <s v="Accountant"/>
    <n v="7285.13"/>
    <n v="3573.89"/>
    <n v="52376.4"/>
    <s v="No"/>
    <s v="None"/>
    <n v="0"/>
    <n v="0"/>
    <n v="0"/>
    <n v="0"/>
    <n v="0"/>
    <n v="659"/>
    <n v="0.6"/>
    <x v="1"/>
    <x v="1092"/>
    <n v="0"/>
  </r>
  <r>
    <s v="U26290"/>
    <x v="4"/>
    <x v="0"/>
    <x v="3"/>
    <x v="2"/>
    <s v="Engineer"/>
    <n v="3855.42"/>
    <n v="2574.85"/>
    <n v="44344.39"/>
    <s v="No"/>
    <s v="None"/>
    <n v="0"/>
    <n v="0"/>
    <n v="0"/>
    <n v="0"/>
    <n v="0"/>
    <n v="314"/>
    <n v="0.96"/>
    <x v="1"/>
    <x v="439"/>
    <n v="0"/>
  </r>
  <r>
    <s v="U26333"/>
    <x v="3"/>
    <x v="0"/>
    <x v="0"/>
    <x v="2"/>
    <s v="Manager"/>
    <n v="500"/>
    <n v="435.93"/>
    <n v="2864.58"/>
    <s v="No"/>
    <s v="None"/>
    <n v="0"/>
    <n v="0"/>
    <n v="0"/>
    <n v="0"/>
    <n v="0"/>
    <n v="436"/>
    <n v="0.48"/>
    <x v="2"/>
    <x v="717"/>
    <n v="0"/>
  </r>
  <r>
    <s v="U26357"/>
    <x v="6"/>
    <x v="0"/>
    <x v="0"/>
    <x v="1"/>
    <s v="Teacher"/>
    <n v="2679.8"/>
    <n v="2406.09"/>
    <n v="18437.84"/>
    <s v="No"/>
    <s v="None"/>
    <n v="0"/>
    <n v="0"/>
    <n v="0"/>
    <n v="0"/>
    <n v="0"/>
    <n v="749"/>
    <n v="0.56999999999999995"/>
    <x v="0"/>
    <x v="1093"/>
    <n v="0"/>
  </r>
  <r>
    <s v="U26388"/>
    <x v="45"/>
    <x v="1"/>
    <x v="2"/>
    <x v="1"/>
    <s v="Accountant"/>
    <n v="4795.6499999999996"/>
    <n v="2571.12"/>
    <n v="6281.98"/>
    <s v="Yes"/>
    <s v="Car"/>
    <n v="166849.26999999999"/>
    <n v="300"/>
    <n v="1039.5999999999999"/>
    <n v="5.65"/>
    <n v="0.22"/>
    <n v="326"/>
    <n v="0.11"/>
    <x v="1"/>
    <x v="863"/>
    <n v="0"/>
  </r>
  <r>
    <s v="U26427"/>
    <x v="43"/>
    <x v="1"/>
    <x v="2"/>
    <x v="2"/>
    <s v="Driver"/>
    <n v="6321.74"/>
    <n v="2187.35"/>
    <n v="46745.82"/>
    <s v="Yes"/>
    <s v="Home"/>
    <n v="30020.07"/>
    <n v="36"/>
    <n v="1184.56"/>
    <n v="24.43"/>
    <n v="0.19"/>
    <n v="606"/>
    <n v="0.62"/>
    <x v="3"/>
    <x v="996"/>
    <n v="0"/>
  </r>
  <r>
    <s v="U26435"/>
    <x v="2"/>
    <x v="1"/>
    <x v="3"/>
    <x v="1"/>
    <s v="Student"/>
    <n v="5233.1499999999996"/>
    <n v="2940.05"/>
    <n v="34478.81"/>
    <s v="Yes"/>
    <s v="Education"/>
    <n v="43877.99"/>
    <n v="36"/>
    <n v="1669.37"/>
    <n v="21.72"/>
    <n v="0.32"/>
    <n v="578"/>
    <n v="0.55000000000000004"/>
    <x v="1"/>
    <x v="927"/>
    <n v="0"/>
  </r>
  <r>
    <s v="U26436"/>
    <x v="46"/>
    <x v="0"/>
    <x v="2"/>
    <x v="1"/>
    <s v="Manager"/>
    <n v="5752.06"/>
    <n v="3515.44"/>
    <n v="19690.63"/>
    <s v="No"/>
    <s v="None"/>
    <n v="0"/>
    <n v="0"/>
    <n v="0"/>
    <n v="0"/>
    <n v="0"/>
    <n v="365"/>
    <n v="0.28999999999999998"/>
    <x v="3"/>
    <x v="785"/>
    <n v="0"/>
  </r>
  <r>
    <s v="U26440"/>
    <x v="9"/>
    <x v="1"/>
    <x v="2"/>
    <x v="2"/>
    <s v="Teacher"/>
    <n v="5515.13"/>
    <n v="3907.91"/>
    <n v="54808.19"/>
    <s v="No"/>
    <s v="None"/>
    <n v="0"/>
    <n v="0"/>
    <n v="0"/>
    <n v="0"/>
    <n v="0"/>
    <n v="776"/>
    <n v="0.83"/>
    <x v="1"/>
    <x v="845"/>
    <n v="0"/>
  </r>
  <r>
    <s v="U26441"/>
    <x v="49"/>
    <x v="2"/>
    <x v="0"/>
    <x v="1"/>
    <s v="Driver"/>
    <n v="5458.17"/>
    <n v="3084.08"/>
    <n v="14946.52"/>
    <s v="No"/>
    <s v="None"/>
    <n v="0"/>
    <n v="0"/>
    <n v="0"/>
    <n v="0"/>
    <n v="0"/>
    <n v="602"/>
    <n v="0.23"/>
    <x v="1"/>
    <x v="1094"/>
    <n v="0"/>
  </r>
  <r>
    <s v="U26445"/>
    <x v="7"/>
    <x v="0"/>
    <x v="2"/>
    <x v="1"/>
    <s v="Teacher"/>
    <n v="4086.29"/>
    <n v="2753.11"/>
    <n v="44035.66"/>
    <s v="Yes"/>
    <s v="Education"/>
    <n v="5860.02"/>
    <n v="240"/>
    <n v="62.53"/>
    <n v="11.51"/>
    <n v="0.02"/>
    <n v="418"/>
    <n v="0.9"/>
    <x v="4"/>
    <x v="853"/>
    <n v="0"/>
  </r>
  <r>
    <s v="U26469"/>
    <x v="33"/>
    <x v="0"/>
    <x v="3"/>
    <x v="2"/>
    <s v="Engineer"/>
    <n v="500"/>
    <n v="397.62"/>
    <n v="3687"/>
    <s v="No"/>
    <s v="None"/>
    <n v="0"/>
    <n v="0"/>
    <n v="0"/>
    <n v="0"/>
    <n v="0"/>
    <n v="818"/>
    <n v="0.61"/>
    <x v="0"/>
    <x v="1095"/>
    <n v="0"/>
  </r>
  <r>
    <s v="U26478"/>
    <x v="4"/>
    <x v="0"/>
    <x v="1"/>
    <x v="1"/>
    <s v="Accountant"/>
    <n v="6231.98"/>
    <n v="1921.89"/>
    <n v="34275.31"/>
    <s v="Yes"/>
    <s v="Business"/>
    <n v="305916.65000000002"/>
    <n v="360"/>
    <n v="2608.1"/>
    <n v="9.66"/>
    <n v="0.42"/>
    <n v="636"/>
    <n v="0.46"/>
    <x v="2"/>
    <x v="242"/>
    <n v="1"/>
  </r>
  <r>
    <s v="U26525"/>
    <x v="21"/>
    <x v="1"/>
    <x v="3"/>
    <x v="2"/>
    <s v="Driver"/>
    <n v="6255.1"/>
    <n v="2897.03"/>
    <n v="44999.93"/>
    <s v="No"/>
    <s v="None"/>
    <n v="0"/>
    <n v="0"/>
    <n v="0"/>
    <n v="0"/>
    <n v="0"/>
    <n v="313"/>
    <n v="0.6"/>
    <x v="0"/>
    <x v="1096"/>
    <n v="0"/>
  </r>
  <r>
    <s v="U26534"/>
    <x v="22"/>
    <x v="1"/>
    <x v="2"/>
    <x v="0"/>
    <s v="Accountant"/>
    <n v="4620.6099999999997"/>
    <n v="2328.4499999999998"/>
    <n v="38479.17"/>
    <s v="No"/>
    <s v="None"/>
    <n v="0"/>
    <n v="0"/>
    <n v="0"/>
    <n v="0"/>
    <n v="0"/>
    <n v="654"/>
    <n v="0.69"/>
    <x v="1"/>
    <x v="753"/>
    <n v="0"/>
  </r>
  <r>
    <s v="U26544"/>
    <x v="17"/>
    <x v="1"/>
    <x v="2"/>
    <x v="3"/>
    <s v="Student"/>
    <n v="2222.27"/>
    <n v="1819.94"/>
    <n v="2969.76"/>
    <s v="No"/>
    <s v="None"/>
    <n v="0"/>
    <n v="0"/>
    <n v="0"/>
    <n v="0"/>
    <n v="0"/>
    <n v="604"/>
    <n v="0.11"/>
    <x v="1"/>
    <x v="1032"/>
    <n v="0"/>
  </r>
  <r>
    <s v="U26569"/>
    <x v="37"/>
    <x v="1"/>
    <x v="3"/>
    <x v="1"/>
    <s v="Doctor"/>
    <n v="500"/>
    <n v="152.29"/>
    <n v="5882.19"/>
    <s v="No"/>
    <s v="None"/>
    <n v="0"/>
    <n v="0"/>
    <n v="0"/>
    <n v="0"/>
    <n v="0"/>
    <n v="431"/>
    <n v="0.98"/>
    <x v="0"/>
    <x v="1097"/>
    <n v="0"/>
  </r>
  <r>
    <s v="U26572"/>
    <x v="47"/>
    <x v="1"/>
    <x v="0"/>
    <x v="1"/>
    <s v="Doctor"/>
    <n v="5646.75"/>
    <n v="3157.62"/>
    <n v="54935.45"/>
    <s v="Yes"/>
    <s v="Business"/>
    <n v="197868.77"/>
    <n v="180"/>
    <n v="2533.54"/>
    <n v="13.23"/>
    <n v="0.45"/>
    <n v="711"/>
    <n v="0.81"/>
    <x v="1"/>
    <x v="497"/>
    <n v="1"/>
  </r>
  <r>
    <s v="U26574"/>
    <x v="29"/>
    <x v="1"/>
    <x v="2"/>
    <x v="2"/>
    <s v="Student"/>
    <n v="3936.88"/>
    <n v="1253.4100000000001"/>
    <n v="24742.68"/>
    <s v="No"/>
    <s v="None"/>
    <n v="0"/>
    <n v="0"/>
    <n v="0"/>
    <n v="0"/>
    <n v="0"/>
    <n v="675"/>
    <n v="0.52"/>
    <x v="4"/>
    <x v="1098"/>
    <n v="0"/>
  </r>
  <r>
    <s v="U26599"/>
    <x v="29"/>
    <x v="1"/>
    <x v="2"/>
    <x v="1"/>
    <s v="Doctor"/>
    <n v="500"/>
    <n v="351.65"/>
    <n v="936.37"/>
    <s v="No"/>
    <s v="None"/>
    <n v="0"/>
    <n v="0"/>
    <n v="0"/>
    <n v="0"/>
    <n v="0"/>
    <n v="477"/>
    <n v="0.16"/>
    <x v="1"/>
    <x v="646"/>
    <n v="0"/>
  </r>
  <r>
    <s v="U26631"/>
    <x v="0"/>
    <x v="1"/>
    <x v="0"/>
    <x v="3"/>
    <s v="Accountant"/>
    <n v="6481.08"/>
    <n v="4133.7"/>
    <n v="46857.95"/>
    <s v="No"/>
    <s v="None"/>
    <n v="0"/>
    <n v="0"/>
    <n v="0"/>
    <n v="0"/>
    <n v="0"/>
    <n v="323"/>
    <n v="0.6"/>
    <x v="0"/>
    <x v="71"/>
    <n v="0"/>
  </r>
  <r>
    <s v="U26652"/>
    <x v="11"/>
    <x v="2"/>
    <x v="0"/>
    <x v="1"/>
    <s v="Salesperson"/>
    <n v="500"/>
    <n v="386.78"/>
    <n v="5647.26"/>
    <s v="No"/>
    <s v="None"/>
    <n v="0"/>
    <n v="0"/>
    <n v="0"/>
    <n v="0"/>
    <n v="0"/>
    <n v="661"/>
    <n v="0.94"/>
    <x v="4"/>
    <x v="1099"/>
    <n v="0"/>
  </r>
  <r>
    <s v="U26656"/>
    <x v="46"/>
    <x v="0"/>
    <x v="2"/>
    <x v="1"/>
    <s v="Unemployed"/>
    <n v="2637.45"/>
    <n v="2111.8200000000002"/>
    <n v="11759.71"/>
    <s v="No"/>
    <s v="None"/>
    <n v="0"/>
    <n v="0"/>
    <n v="0"/>
    <n v="0"/>
    <n v="0"/>
    <n v="793"/>
    <n v="0.37"/>
    <x v="4"/>
    <x v="1100"/>
    <n v="0"/>
  </r>
  <r>
    <s v="U26671"/>
    <x v="6"/>
    <x v="0"/>
    <x v="0"/>
    <x v="1"/>
    <s v="Student"/>
    <n v="4815.24"/>
    <n v="3832.98"/>
    <n v="48199.75"/>
    <s v="No"/>
    <s v="None"/>
    <n v="0"/>
    <n v="0"/>
    <n v="0"/>
    <n v="0"/>
    <n v="0"/>
    <n v="689"/>
    <n v="0.83"/>
    <x v="3"/>
    <x v="449"/>
    <n v="0"/>
  </r>
  <r>
    <s v="U26674"/>
    <x v="13"/>
    <x v="0"/>
    <x v="2"/>
    <x v="1"/>
    <s v="Accountant"/>
    <n v="3311.81"/>
    <n v="1076.58"/>
    <n v="9640.23"/>
    <s v="Yes"/>
    <s v="Business"/>
    <n v="331063.86"/>
    <n v="240"/>
    <n v="4685.6099999999997"/>
    <n v="16.32"/>
    <n v="1.41"/>
    <n v="799"/>
    <n v="0.24"/>
    <x v="3"/>
    <x v="1101"/>
    <n v="1"/>
  </r>
  <r>
    <s v="U26683"/>
    <x v="49"/>
    <x v="0"/>
    <x v="2"/>
    <x v="2"/>
    <s v="Driver"/>
    <n v="590.01"/>
    <n v="519.86"/>
    <n v="724.86"/>
    <s v="No"/>
    <s v="None"/>
    <n v="0"/>
    <n v="0"/>
    <n v="0"/>
    <n v="0"/>
    <n v="0"/>
    <n v="843"/>
    <n v="0.1"/>
    <x v="2"/>
    <x v="418"/>
    <n v="0"/>
  </r>
  <r>
    <s v="U26687"/>
    <x v="30"/>
    <x v="2"/>
    <x v="2"/>
    <x v="1"/>
    <s v="Accountant"/>
    <n v="4204.58"/>
    <n v="2579.35"/>
    <n v="48867.7"/>
    <s v="No"/>
    <s v="None"/>
    <n v="0"/>
    <n v="0"/>
    <n v="0"/>
    <n v="0"/>
    <n v="0"/>
    <n v="387"/>
    <n v="0.97"/>
    <x v="4"/>
    <x v="949"/>
    <n v="0"/>
  </r>
  <r>
    <s v="U26697"/>
    <x v="45"/>
    <x v="1"/>
    <x v="3"/>
    <x v="1"/>
    <s v="Unemployed"/>
    <n v="2459.75"/>
    <n v="1680.28"/>
    <n v="16305.18"/>
    <s v="No"/>
    <s v="None"/>
    <n v="0"/>
    <n v="0"/>
    <n v="0"/>
    <n v="0"/>
    <n v="0"/>
    <n v="655"/>
    <n v="0.55000000000000004"/>
    <x v="1"/>
    <x v="48"/>
    <n v="0"/>
  </r>
  <r>
    <s v="U26698"/>
    <x v="46"/>
    <x v="1"/>
    <x v="3"/>
    <x v="1"/>
    <s v="Teacher"/>
    <n v="500"/>
    <n v="355.8"/>
    <n v="843.93"/>
    <s v="No"/>
    <s v="None"/>
    <n v="0"/>
    <n v="0"/>
    <n v="0"/>
    <n v="0"/>
    <n v="0"/>
    <n v="607"/>
    <n v="0.14000000000000001"/>
    <x v="4"/>
    <x v="827"/>
    <n v="0"/>
  </r>
  <r>
    <s v="U26705"/>
    <x v="33"/>
    <x v="1"/>
    <x v="2"/>
    <x v="1"/>
    <s v="Manager"/>
    <n v="7122.67"/>
    <n v="3513.72"/>
    <n v="40875.56"/>
    <s v="No"/>
    <s v="None"/>
    <n v="0"/>
    <n v="0"/>
    <n v="0"/>
    <n v="0"/>
    <n v="0"/>
    <n v="721"/>
    <n v="0.48"/>
    <x v="1"/>
    <x v="507"/>
    <n v="0"/>
  </r>
  <r>
    <s v="U26707"/>
    <x v="39"/>
    <x v="1"/>
    <x v="2"/>
    <x v="1"/>
    <s v="Student"/>
    <n v="3582.88"/>
    <n v="2628.53"/>
    <n v="29362.55"/>
    <s v="No"/>
    <s v="None"/>
    <n v="0"/>
    <n v="0"/>
    <n v="0"/>
    <n v="0"/>
    <n v="0"/>
    <n v="714"/>
    <n v="0.68"/>
    <x v="0"/>
    <x v="6"/>
    <n v="0"/>
  </r>
  <r>
    <s v="U26709"/>
    <x v="12"/>
    <x v="0"/>
    <x v="3"/>
    <x v="2"/>
    <s v="Student"/>
    <n v="1932.82"/>
    <n v="680.94"/>
    <n v="5751.72"/>
    <s v="No"/>
    <s v="None"/>
    <n v="0"/>
    <n v="0"/>
    <n v="0"/>
    <n v="0"/>
    <n v="0"/>
    <n v="596"/>
    <n v="0.25"/>
    <x v="4"/>
    <x v="199"/>
    <n v="0"/>
  </r>
  <r>
    <s v="U26719"/>
    <x v="39"/>
    <x v="1"/>
    <x v="4"/>
    <x v="1"/>
    <s v="Student"/>
    <n v="6191.72"/>
    <n v="5535.88"/>
    <n v="23544.57"/>
    <s v="No"/>
    <s v="None"/>
    <n v="0"/>
    <n v="0"/>
    <n v="0"/>
    <n v="0"/>
    <n v="0"/>
    <n v="519"/>
    <n v="0.32"/>
    <x v="0"/>
    <x v="143"/>
    <n v="0"/>
  </r>
  <r>
    <s v="U26720"/>
    <x v="33"/>
    <x v="0"/>
    <x v="0"/>
    <x v="0"/>
    <s v="Teacher"/>
    <n v="4528.87"/>
    <n v="1674.62"/>
    <n v="9107.82"/>
    <s v="No"/>
    <s v="None"/>
    <n v="0"/>
    <n v="0"/>
    <n v="0"/>
    <n v="0"/>
    <n v="0"/>
    <n v="647"/>
    <n v="0.17"/>
    <x v="0"/>
    <x v="889"/>
    <n v="0"/>
  </r>
  <r>
    <s v="U26737"/>
    <x v="20"/>
    <x v="2"/>
    <x v="3"/>
    <x v="1"/>
    <s v="Unemployed"/>
    <n v="813.05"/>
    <n v="373.97"/>
    <n v="2140.3200000000002"/>
    <s v="No"/>
    <s v="None"/>
    <n v="0"/>
    <n v="0"/>
    <n v="0"/>
    <n v="0"/>
    <n v="0"/>
    <n v="472"/>
    <n v="0.22"/>
    <x v="0"/>
    <x v="243"/>
    <n v="0"/>
  </r>
  <r>
    <s v="U26777"/>
    <x v="10"/>
    <x v="0"/>
    <x v="2"/>
    <x v="1"/>
    <s v="Accountant"/>
    <n v="5185.9799999999996"/>
    <n v="1733.88"/>
    <n v="52427.53"/>
    <s v="No"/>
    <s v="None"/>
    <n v="0"/>
    <n v="0"/>
    <n v="0"/>
    <n v="0"/>
    <n v="0"/>
    <n v="475"/>
    <n v="0.84"/>
    <x v="2"/>
    <x v="183"/>
    <n v="0"/>
  </r>
  <r>
    <s v="U26781"/>
    <x v="4"/>
    <x v="1"/>
    <x v="2"/>
    <x v="1"/>
    <s v="Student"/>
    <n v="6472.34"/>
    <n v="5795.97"/>
    <n v="59182.080000000002"/>
    <s v="No"/>
    <s v="None"/>
    <n v="0"/>
    <n v="0"/>
    <n v="0"/>
    <n v="0"/>
    <n v="0"/>
    <n v="616"/>
    <n v="0.76"/>
    <x v="1"/>
    <x v="1102"/>
    <n v="0"/>
  </r>
  <r>
    <s v="U26787"/>
    <x v="32"/>
    <x v="0"/>
    <x v="2"/>
    <x v="2"/>
    <s v="Unemployed"/>
    <n v="2635.57"/>
    <n v="1264.76"/>
    <n v="28919.05"/>
    <s v="No"/>
    <s v="None"/>
    <n v="0"/>
    <n v="0"/>
    <n v="0"/>
    <n v="0"/>
    <n v="0"/>
    <n v="529"/>
    <n v="0.91"/>
    <x v="1"/>
    <x v="178"/>
    <n v="0"/>
  </r>
  <r>
    <s v="U26788"/>
    <x v="22"/>
    <x v="0"/>
    <x v="3"/>
    <x v="1"/>
    <s v="Salesperson"/>
    <n v="5368.35"/>
    <n v="1688.87"/>
    <n v="45970.78"/>
    <s v="No"/>
    <s v="None"/>
    <n v="0"/>
    <n v="0"/>
    <n v="0"/>
    <n v="0"/>
    <n v="0"/>
    <n v="804"/>
    <n v="0.71"/>
    <x v="3"/>
    <x v="990"/>
    <n v="0"/>
  </r>
  <r>
    <s v="U26815"/>
    <x v="2"/>
    <x v="0"/>
    <x v="2"/>
    <x v="1"/>
    <s v="Student"/>
    <n v="5829.42"/>
    <n v="3785.91"/>
    <n v="67659.679999999993"/>
    <s v="Yes"/>
    <s v="Home"/>
    <n v="228352.51"/>
    <n v="180"/>
    <n v="4231.54"/>
    <n v="21.3"/>
    <n v="0.73"/>
    <n v="506"/>
    <n v="0.97"/>
    <x v="0"/>
    <x v="1086"/>
    <n v="1"/>
  </r>
  <r>
    <s v="U26823"/>
    <x v="24"/>
    <x v="0"/>
    <x v="3"/>
    <x v="2"/>
    <s v="Manager"/>
    <n v="4699.32"/>
    <n v="1955.23"/>
    <n v="25080.62"/>
    <s v="No"/>
    <s v="None"/>
    <n v="0"/>
    <n v="0"/>
    <n v="0"/>
    <n v="0"/>
    <n v="0"/>
    <n v="740"/>
    <n v="0.44"/>
    <x v="3"/>
    <x v="107"/>
    <n v="0"/>
  </r>
  <r>
    <s v="U26825"/>
    <x v="12"/>
    <x v="1"/>
    <x v="2"/>
    <x v="2"/>
    <s v="Accountant"/>
    <n v="5391.8"/>
    <n v="3736.13"/>
    <n v="18331.419999999998"/>
    <s v="No"/>
    <s v="None"/>
    <n v="0"/>
    <n v="0"/>
    <n v="0"/>
    <n v="0"/>
    <n v="0"/>
    <n v="374"/>
    <n v="0.28000000000000003"/>
    <x v="4"/>
    <x v="1103"/>
    <n v="0"/>
  </r>
  <r>
    <s v="U26835"/>
    <x v="20"/>
    <x v="1"/>
    <x v="1"/>
    <x v="1"/>
    <s v="Engineer"/>
    <n v="4226.24"/>
    <n v="2317.0500000000002"/>
    <n v="18920.3"/>
    <s v="No"/>
    <s v="None"/>
    <n v="0"/>
    <n v="0"/>
    <n v="0"/>
    <n v="0"/>
    <n v="0"/>
    <n v="776"/>
    <n v="0.37"/>
    <x v="2"/>
    <x v="279"/>
    <n v="0"/>
  </r>
  <r>
    <s v="U26840"/>
    <x v="12"/>
    <x v="1"/>
    <x v="3"/>
    <x v="1"/>
    <s v="Accountant"/>
    <n v="4188.2700000000004"/>
    <n v="3317.7"/>
    <n v="17393.53"/>
    <s v="Yes"/>
    <s v="Car"/>
    <n v="5367.67"/>
    <n v="36"/>
    <n v="200.77"/>
    <n v="20.47"/>
    <n v="0.05"/>
    <n v="777"/>
    <n v="0.35"/>
    <x v="4"/>
    <x v="680"/>
    <n v="0"/>
  </r>
  <r>
    <s v="U26880"/>
    <x v="32"/>
    <x v="2"/>
    <x v="2"/>
    <x v="3"/>
    <s v="Salesperson"/>
    <n v="2359.23"/>
    <n v="1764.58"/>
    <n v="27357.81"/>
    <s v="No"/>
    <s v="None"/>
    <n v="0"/>
    <n v="0"/>
    <n v="0"/>
    <n v="0"/>
    <n v="0"/>
    <n v="568"/>
    <n v="0.97"/>
    <x v="1"/>
    <x v="679"/>
    <n v="0"/>
  </r>
  <r>
    <s v="U26881"/>
    <x v="43"/>
    <x v="1"/>
    <x v="0"/>
    <x v="3"/>
    <s v="Teacher"/>
    <n v="3806.13"/>
    <n v="1796.96"/>
    <n v="6987.53"/>
    <s v="No"/>
    <s v="None"/>
    <n v="0"/>
    <n v="0"/>
    <n v="0"/>
    <n v="0"/>
    <n v="0"/>
    <n v="656"/>
    <n v="0.15"/>
    <x v="3"/>
    <x v="337"/>
    <n v="0"/>
  </r>
  <r>
    <s v="U26886"/>
    <x v="20"/>
    <x v="0"/>
    <x v="2"/>
    <x v="1"/>
    <s v="Student"/>
    <n v="6282.93"/>
    <n v="2976.63"/>
    <n v="66946.240000000005"/>
    <s v="No"/>
    <s v="None"/>
    <n v="0"/>
    <n v="0"/>
    <n v="0"/>
    <n v="0"/>
    <n v="0"/>
    <n v="384"/>
    <n v="0.89"/>
    <x v="4"/>
    <x v="1104"/>
    <n v="0"/>
  </r>
  <r>
    <s v="U26891"/>
    <x v="27"/>
    <x v="0"/>
    <x v="2"/>
    <x v="1"/>
    <s v="Manager"/>
    <n v="6454.67"/>
    <n v="2264.75"/>
    <n v="33444.089999999997"/>
    <s v="No"/>
    <s v="None"/>
    <n v="0"/>
    <n v="0"/>
    <n v="0"/>
    <n v="0"/>
    <n v="0"/>
    <n v="599"/>
    <n v="0.43"/>
    <x v="4"/>
    <x v="377"/>
    <n v="0"/>
  </r>
  <r>
    <s v="U26930"/>
    <x v="15"/>
    <x v="0"/>
    <x v="4"/>
    <x v="1"/>
    <s v="Driver"/>
    <n v="4826.16"/>
    <n v="2746.38"/>
    <n v="23920.65"/>
    <s v="Yes"/>
    <s v="Education"/>
    <n v="77084.88"/>
    <n v="60"/>
    <n v="1629.87"/>
    <n v="9.7899999999999991"/>
    <n v="0.34"/>
    <n v="731"/>
    <n v="0.41"/>
    <x v="0"/>
    <x v="738"/>
    <n v="0"/>
  </r>
  <r>
    <s v="U26932"/>
    <x v="33"/>
    <x v="1"/>
    <x v="2"/>
    <x v="1"/>
    <s v="Unemployed"/>
    <n v="4365.2"/>
    <n v="2424.67"/>
    <n v="11157.08"/>
    <s v="No"/>
    <s v="None"/>
    <n v="0"/>
    <n v="0"/>
    <n v="0"/>
    <n v="0"/>
    <n v="0"/>
    <n v="763"/>
    <n v="0.21"/>
    <x v="0"/>
    <x v="656"/>
    <n v="0"/>
  </r>
  <r>
    <s v="U26953"/>
    <x v="12"/>
    <x v="0"/>
    <x v="1"/>
    <x v="1"/>
    <s v="Accountant"/>
    <n v="6791.89"/>
    <n v="4740.7"/>
    <n v="54086.15"/>
    <s v="Yes"/>
    <s v="Home"/>
    <n v="190673.16"/>
    <n v="240"/>
    <n v="3090.21"/>
    <n v="19"/>
    <n v="0.45"/>
    <n v="480"/>
    <n v="0.66"/>
    <x v="3"/>
    <x v="1105"/>
    <n v="1"/>
  </r>
  <r>
    <s v="U26956"/>
    <x v="29"/>
    <x v="1"/>
    <x v="3"/>
    <x v="1"/>
    <s v="Manager"/>
    <n v="3632.38"/>
    <n v="2207.36"/>
    <n v="33084.53"/>
    <s v="Yes"/>
    <s v="Education"/>
    <n v="5142.71"/>
    <n v="180"/>
    <n v="113.63"/>
    <n v="25.95"/>
    <n v="0.03"/>
    <n v="590"/>
    <n v="0.76"/>
    <x v="3"/>
    <x v="566"/>
    <n v="0"/>
  </r>
  <r>
    <s v="U26963"/>
    <x v="12"/>
    <x v="1"/>
    <x v="3"/>
    <x v="1"/>
    <s v="Unemployed"/>
    <n v="4594.83"/>
    <n v="4000.53"/>
    <n v="48545.599999999999"/>
    <s v="Yes"/>
    <s v="Education"/>
    <n v="196300.9"/>
    <n v="300"/>
    <n v="1562.19"/>
    <n v="8.36"/>
    <n v="0.34"/>
    <n v="807"/>
    <n v="0.88"/>
    <x v="0"/>
    <x v="1106"/>
    <n v="0"/>
  </r>
  <r>
    <s v="U26984"/>
    <x v="50"/>
    <x v="1"/>
    <x v="2"/>
    <x v="1"/>
    <s v="Manager"/>
    <n v="4121.51"/>
    <n v="1753.85"/>
    <n v="45840.71"/>
    <s v="No"/>
    <s v="None"/>
    <n v="0"/>
    <n v="0"/>
    <n v="0"/>
    <n v="0"/>
    <n v="0"/>
    <n v="795"/>
    <n v="0.93"/>
    <x v="3"/>
    <x v="770"/>
    <n v="0"/>
  </r>
  <r>
    <s v="U26986"/>
    <x v="28"/>
    <x v="1"/>
    <x v="2"/>
    <x v="0"/>
    <s v="Manager"/>
    <n v="5972.4"/>
    <n v="2685.46"/>
    <n v="7799.92"/>
    <s v="Yes"/>
    <s v="Education"/>
    <n v="12367.89"/>
    <n v="240"/>
    <n v="98.28"/>
    <n v="7.32"/>
    <n v="0.02"/>
    <n v="435"/>
    <n v="0.11"/>
    <x v="0"/>
    <x v="299"/>
    <n v="0"/>
  </r>
  <r>
    <s v="U26989"/>
    <x v="16"/>
    <x v="1"/>
    <x v="2"/>
    <x v="1"/>
    <s v="Student"/>
    <n v="5936.04"/>
    <n v="4308.2299999999996"/>
    <n v="20589.29"/>
    <s v="No"/>
    <s v="None"/>
    <n v="0"/>
    <n v="0"/>
    <n v="0"/>
    <n v="0"/>
    <n v="0"/>
    <n v="751"/>
    <n v="0.28999999999999998"/>
    <x v="4"/>
    <x v="1107"/>
    <n v="0"/>
  </r>
  <r>
    <s v="U26995"/>
    <x v="19"/>
    <x v="0"/>
    <x v="1"/>
    <x v="2"/>
    <s v="Accountant"/>
    <n v="1274.25"/>
    <n v="617.05999999999995"/>
    <n v="10872.97"/>
    <s v="Yes"/>
    <s v="Car"/>
    <n v="35728.46"/>
    <n v="60"/>
    <n v="763"/>
    <n v="10.220000000000001"/>
    <n v="0.6"/>
    <n v="456"/>
    <n v="0.71"/>
    <x v="4"/>
    <x v="1077"/>
    <n v="1"/>
  </r>
  <r>
    <s v="U26996"/>
    <x v="26"/>
    <x v="2"/>
    <x v="0"/>
    <x v="1"/>
    <s v="Driver"/>
    <n v="6536.67"/>
    <n v="4123.29"/>
    <n v="19996.62"/>
    <s v="Yes"/>
    <s v="Home"/>
    <n v="231189.87"/>
    <n v="36"/>
    <n v="9696.98"/>
    <n v="29.07"/>
    <n v="1.48"/>
    <n v="764"/>
    <n v="0.25"/>
    <x v="4"/>
    <x v="953"/>
    <n v="1"/>
  </r>
  <r>
    <s v="U26999"/>
    <x v="43"/>
    <x v="1"/>
    <x v="2"/>
    <x v="2"/>
    <s v="Engineer"/>
    <n v="3698.32"/>
    <n v="2664.27"/>
    <n v="12418.12"/>
    <s v="Yes"/>
    <s v="Education"/>
    <n v="36849.24"/>
    <n v="360"/>
    <n v="298.62"/>
    <n v="9.08"/>
    <n v="0.08"/>
    <n v="554"/>
    <n v="0.28000000000000003"/>
    <x v="3"/>
    <x v="909"/>
    <n v="0"/>
  </r>
  <r>
    <s v="U27021"/>
    <x v="36"/>
    <x v="0"/>
    <x v="4"/>
    <x v="1"/>
    <s v="Unemployed"/>
    <n v="2820.15"/>
    <n v="1081.02"/>
    <n v="17823.5"/>
    <s v="No"/>
    <s v="None"/>
    <n v="0"/>
    <n v="0"/>
    <n v="0"/>
    <n v="0"/>
    <n v="0"/>
    <n v="668"/>
    <n v="0.53"/>
    <x v="0"/>
    <x v="158"/>
    <n v="0"/>
  </r>
  <r>
    <s v="U27027"/>
    <x v="38"/>
    <x v="2"/>
    <x v="3"/>
    <x v="3"/>
    <s v="Teacher"/>
    <n v="6355.95"/>
    <n v="4663.83"/>
    <n v="60183.78"/>
    <s v="Yes"/>
    <s v="Education"/>
    <n v="379396.56"/>
    <n v="120"/>
    <n v="8665.7999999999993"/>
    <n v="25.13"/>
    <n v="1.36"/>
    <n v="850"/>
    <n v="0.79"/>
    <x v="1"/>
    <x v="576"/>
    <n v="1"/>
  </r>
  <r>
    <s v="U27034"/>
    <x v="39"/>
    <x v="1"/>
    <x v="0"/>
    <x v="1"/>
    <s v="Teacher"/>
    <n v="3338.26"/>
    <n v="2927.54"/>
    <n v="5972.11"/>
    <s v="No"/>
    <s v="None"/>
    <n v="0"/>
    <n v="0"/>
    <n v="0"/>
    <n v="0"/>
    <n v="0"/>
    <n v="309"/>
    <n v="0.15"/>
    <x v="3"/>
    <x v="923"/>
    <n v="0"/>
  </r>
  <r>
    <s v="U27073"/>
    <x v="36"/>
    <x v="0"/>
    <x v="2"/>
    <x v="1"/>
    <s v="Unemployed"/>
    <n v="4248.34"/>
    <n v="2942.08"/>
    <n v="28210.23"/>
    <s v="No"/>
    <s v="None"/>
    <n v="0"/>
    <n v="0"/>
    <n v="0"/>
    <n v="0"/>
    <n v="0"/>
    <n v="389"/>
    <n v="0.55000000000000004"/>
    <x v="3"/>
    <x v="1052"/>
    <n v="0"/>
  </r>
  <r>
    <s v="U27083"/>
    <x v="1"/>
    <x v="1"/>
    <x v="1"/>
    <x v="1"/>
    <s v="Teacher"/>
    <n v="4121.59"/>
    <n v="3395.16"/>
    <n v="28537.97"/>
    <s v="No"/>
    <s v="None"/>
    <n v="0"/>
    <n v="0"/>
    <n v="0"/>
    <n v="0"/>
    <n v="0"/>
    <n v="330"/>
    <n v="0.57999999999999996"/>
    <x v="3"/>
    <x v="401"/>
    <n v="0"/>
  </r>
  <r>
    <s v="U27097"/>
    <x v="16"/>
    <x v="1"/>
    <x v="3"/>
    <x v="2"/>
    <s v="Teacher"/>
    <n v="10464.200000000001"/>
    <n v="6827.35"/>
    <n v="110773.25"/>
    <s v="Yes"/>
    <s v="Business"/>
    <n v="264301.99"/>
    <n v="240"/>
    <n v="2066.62"/>
    <n v="7.11"/>
    <n v="0.2"/>
    <n v="842"/>
    <n v="0.88"/>
    <x v="1"/>
    <x v="1108"/>
    <n v="0"/>
  </r>
  <r>
    <s v="U27101"/>
    <x v="40"/>
    <x v="1"/>
    <x v="3"/>
    <x v="0"/>
    <s v="Manager"/>
    <n v="3888.33"/>
    <n v="2236.4299999999998"/>
    <n v="40242.800000000003"/>
    <s v="No"/>
    <s v="None"/>
    <n v="0"/>
    <n v="0"/>
    <n v="0"/>
    <n v="0"/>
    <n v="0"/>
    <n v="674"/>
    <n v="0.86"/>
    <x v="0"/>
    <x v="1039"/>
    <n v="0"/>
  </r>
  <r>
    <s v="U27114"/>
    <x v="36"/>
    <x v="1"/>
    <x v="3"/>
    <x v="1"/>
    <s v="Unemployed"/>
    <n v="3547.79"/>
    <n v="1702.84"/>
    <n v="26332.73"/>
    <s v="No"/>
    <s v="None"/>
    <n v="0"/>
    <n v="0"/>
    <n v="0"/>
    <n v="0"/>
    <n v="0"/>
    <n v="400"/>
    <n v="0.62"/>
    <x v="0"/>
    <x v="1109"/>
    <n v="0"/>
  </r>
  <r>
    <s v="U27141"/>
    <x v="43"/>
    <x v="0"/>
    <x v="3"/>
    <x v="2"/>
    <s v="Unemployed"/>
    <n v="7648.38"/>
    <n v="6257.7"/>
    <n v="75124.31"/>
    <s v="No"/>
    <s v="None"/>
    <n v="0"/>
    <n v="0"/>
    <n v="0"/>
    <n v="0"/>
    <n v="0"/>
    <n v="352"/>
    <n v="0.82"/>
    <x v="3"/>
    <x v="756"/>
    <n v="0"/>
  </r>
  <r>
    <s v="U27142"/>
    <x v="41"/>
    <x v="1"/>
    <x v="2"/>
    <x v="1"/>
    <s v="Salesperson"/>
    <n v="500"/>
    <n v="267.73"/>
    <n v="1951.25"/>
    <s v="No"/>
    <s v="None"/>
    <n v="0"/>
    <n v="0"/>
    <n v="0"/>
    <n v="0"/>
    <n v="0"/>
    <n v="530"/>
    <n v="0.33"/>
    <x v="1"/>
    <x v="470"/>
    <n v="0"/>
  </r>
  <r>
    <s v="U27152"/>
    <x v="6"/>
    <x v="1"/>
    <x v="3"/>
    <x v="1"/>
    <s v="Salesperson"/>
    <n v="5531.39"/>
    <n v="2084.46"/>
    <n v="57481.15"/>
    <s v="No"/>
    <s v="None"/>
    <n v="0"/>
    <n v="0"/>
    <n v="0"/>
    <n v="0"/>
    <n v="0"/>
    <n v="801"/>
    <n v="0.87"/>
    <x v="2"/>
    <x v="58"/>
    <n v="0"/>
  </r>
  <r>
    <s v="U27156"/>
    <x v="29"/>
    <x v="1"/>
    <x v="3"/>
    <x v="1"/>
    <s v="Salesperson"/>
    <n v="6052.47"/>
    <n v="3860.3"/>
    <n v="9541.02"/>
    <s v="No"/>
    <s v="None"/>
    <n v="0"/>
    <n v="0"/>
    <n v="0"/>
    <n v="0"/>
    <n v="0"/>
    <n v="832"/>
    <n v="0.13"/>
    <x v="2"/>
    <x v="736"/>
    <n v="0"/>
  </r>
  <r>
    <s v="U27174"/>
    <x v="35"/>
    <x v="1"/>
    <x v="1"/>
    <x v="2"/>
    <s v="Driver"/>
    <n v="4160.75"/>
    <n v="3481.1"/>
    <n v="10856.8"/>
    <s v="No"/>
    <s v="None"/>
    <n v="0"/>
    <n v="0"/>
    <n v="0"/>
    <n v="0"/>
    <n v="0"/>
    <n v="823"/>
    <n v="0.22"/>
    <x v="1"/>
    <x v="622"/>
    <n v="0"/>
  </r>
  <r>
    <s v="U27193"/>
    <x v="45"/>
    <x v="0"/>
    <x v="3"/>
    <x v="1"/>
    <s v="Student"/>
    <n v="5892.99"/>
    <n v="4656.3599999999997"/>
    <n v="50300.25"/>
    <s v="No"/>
    <s v="None"/>
    <n v="0"/>
    <n v="0"/>
    <n v="0"/>
    <n v="0"/>
    <n v="0"/>
    <n v="681"/>
    <n v="0.71"/>
    <x v="1"/>
    <x v="994"/>
    <n v="0"/>
  </r>
  <r>
    <s v="U27205"/>
    <x v="17"/>
    <x v="1"/>
    <x v="3"/>
    <x v="2"/>
    <s v="Teacher"/>
    <n v="1441.56"/>
    <n v="1031.73"/>
    <n v="4727.75"/>
    <s v="No"/>
    <s v="None"/>
    <n v="0"/>
    <n v="0"/>
    <n v="0"/>
    <n v="0"/>
    <n v="0"/>
    <n v="833"/>
    <n v="0.27"/>
    <x v="2"/>
    <x v="187"/>
    <n v="0"/>
  </r>
  <r>
    <s v="U27206"/>
    <x v="18"/>
    <x v="0"/>
    <x v="3"/>
    <x v="1"/>
    <s v="Teacher"/>
    <n v="2859.84"/>
    <n v="2131.9899999999998"/>
    <n v="31015.86"/>
    <s v="No"/>
    <s v="None"/>
    <n v="0"/>
    <n v="0"/>
    <n v="0"/>
    <n v="0"/>
    <n v="0"/>
    <n v="562"/>
    <n v="0.9"/>
    <x v="0"/>
    <x v="1110"/>
    <n v="0"/>
  </r>
  <r>
    <s v="U27226"/>
    <x v="48"/>
    <x v="0"/>
    <x v="3"/>
    <x v="1"/>
    <s v="Unemployed"/>
    <n v="4199.7299999999996"/>
    <n v="1772.91"/>
    <n v="11582.19"/>
    <s v="Yes"/>
    <s v="Business"/>
    <n v="92690.95"/>
    <n v="36"/>
    <n v="3425.39"/>
    <n v="19.59"/>
    <n v="0.82"/>
    <n v="317"/>
    <n v="0.23"/>
    <x v="0"/>
    <x v="1111"/>
    <n v="1"/>
  </r>
  <r>
    <s v="U27232"/>
    <x v="32"/>
    <x v="0"/>
    <x v="0"/>
    <x v="0"/>
    <s v="Teacher"/>
    <n v="3428.66"/>
    <n v="2465.0500000000002"/>
    <n v="25790.799999999999"/>
    <s v="No"/>
    <s v="None"/>
    <n v="0"/>
    <n v="0"/>
    <n v="0"/>
    <n v="0"/>
    <n v="0"/>
    <n v="672"/>
    <n v="0.63"/>
    <x v="4"/>
    <x v="1112"/>
    <n v="0"/>
  </r>
  <r>
    <s v="U27233"/>
    <x v="26"/>
    <x v="0"/>
    <x v="0"/>
    <x v="1"/>
    <s v="Doctor"/>
    <n v="2525.08"/>
    <n v="2171.41"/>
    <n v="26335"/>
    <s v="No"/>
    <s v="None"/>
    <n v="0"/>
    <n v="0"/>
    <n v="0"/>
    <n v="0"/>
    <n v="0"/>
    <n v="506"/>
    <n v="0.87"/>
    <x v="0"/>
    <x v="1113"/>
    <n v="0"/>
  </r>
  <r>
    <s v="U27255"/>
    <x v="35"/>
    <x v="1"/>
    <x v="2"/>
    <x v="1"/>
    <s v="Unemployed"/>
    <n v="5215.32"/>
    <n v="3258.81"/>
    <n v="7097.9"/>
    <s v="No"/>
    <s v="None"/>
    <n v="0"/>
    <n v="0"/>
    <n v="0"/>
    <n v="0"/>
    <n v="0"/>
    <n v="508"/>
    <n v="0.11"/>
    <x v="4"/>
    <x v="557"/>
    <n v="0"/>
  </r>
  <r>
    <s v="U27259"/>
    <x v="51"/>
    <x v="0"/>
    <x v="3"/>
    <x v="3"/>
    <s v="Manager"/>
    <n v="6037.43"/>
    <n v="4347.17"/>
    <n v="9511.99"/>
    <s v="Yes"/>
    <s v="Car"/>
    <n v="154402.51"/>
    <n v="60"/>
    <n v="3482.38"/>
    <n v="12.61"/>
    <n v="0.57999999999999996"/>
    <n v="318"/>
    <n v="0.13"/>
    <x v="4"/>
    <x v="358"/>
    <n v="1"/>
  </r>
  <r>
    <s v="U27274"/>
    <x v="32"/>
    <x v="1"/>
    <x v="4"/>
    <x v="1"/>
    <s v="Engineer"/>
    <n v="2488.7199999999998"/>
    <n v="1974.58"/>
    <n v="21788.32"/>
    <s v="No"/>
    <s v="None"/>
    <n v="0"/>
    <n v="0"/>
    <n v="0"/>
    <n v="0"/>
    <n v="0"/>
    <n v="781"/>
    <n v="0.73"/>
    <x v="0"/>
    <x v="814"/>
    <n v="0"/>
  </r>
  <r>
    <s v="U27275"/>
    <x v="50"/>
    <x v="1"/>
    <x v="3"/>
    <x v="1"/>
    <s v="Driver"/>
    <n v="5816.52"/>
    <n v="4252.49"/>
    <n v="61048.13"/>
    <s v="No"/>
    <s v="None"/>
    <n v="0"/>
    <n v="0"/>
    <n v="0"/>
    <n v="0"/>
    <n v="0"/>
    <n v="688"/>
    <n v="0.87"/>
    <x v="4"/>
    <x v="1114"/>
    <n v="0"/>
  </r>
  <r>
    <s v="U27290"/>
    <x v="22"/>
    <x v="0"/>
    <x v="4"/>
    <x v="1"/>
    <s v="Teacher"/>
    <n v="2824.22"/>
    <n v="1051.18"/>
    <n v="9492.42"/>
    <s v="Yes"/>
    <s v="Education"/>
    <n v="223542.78"/>
    <n v="240"/>
    <n v="4981.03"/>
    <n v="26.6"/>
    <n v="1.76"/>
    <n v="838"/>
    <n v="0.28000000000000003"/>
    <x v="1"/>
    <x v="268"/>
    <n v="1"/>
  </r>
  <r>
    <s v="U27304"/>
    <x v="21"/>
    <x v="1"/>
    <x v="3"/>
    <x v="2"/>
    <s v="Engineer"/>
    <n v="2874.75"/>
    <n v="1697.79"/>
    <n v="5128.1499999999996"/>
    <s v="No"/>
    <s v="None"/>
    <n v="0"/>
    <n v="0"/>
    <n v="0"/>
    <n v="0"/>
    <n v="0"/>
    <n v="693"/>
    <n v="0.15"/>
    <x v="2"/>
    <x v="1115"/>
    <n v="0"/>
  </r>
  <r>
    <s v="U27306"/>
    <x v="49"/>
    <x v="1"/>
    <x v="0"/>
    <x v="1"/>
    <s v="Teacher"/>
    <n v="3331.7"/>
    <n v="1071.9000000000001"/>
    <n v="38045.89"/>
    <s v="Yes"/>
    <s v="Car"/>
    <n v="263112.93"/>
    <n v="120"/>
    <n v="3657.22"/>
    <n v="11.22"/>
    <n v="1.1000000000000001"/>
    <n v="588"/>
    <n v="0.95"/>
    <x v="2"/>
    <x v="570"/>
    <n v="1"/>
  </r>
  <r>
    <s v="U27310"/>
    <x v="25"/>
    <x v="1"/>
    <x v="4"/>
    <x v="2"/>
    <s v="Unemployed"/>
    <n v="6482.21"/>
    <n v="2482.9"/>
    <n v="65917.72"/>
    <s v="No"/>
    <s v="None"/>
    <n v="0"/>
    <n v="0"/>
    <n v="0"/>
    <n v="0"/>
    <n v="0"/>
    <n v="402"/>
    <n v="0.85"/>
    <x v="4"/>
    <x v="795"/>
    <n v="0"/>
  </r>
  <r>
    <s v="U27337"/>
    <x v="19"/>
    <x v="0"/>
    <x v="2"/>
    <x v="1"/>
    <s v="Driver"/>
    <n v="500"/>
    <n v="256.95"/>
    <n v="5777.3"/>
    <s v="No"/>
    <s v="None"/>
    <n v="0"/>
    <n v="0"/>
    <n v="0"/>
    <n v="0"/>
    <n v="0"/>
    <n v="582"/>
    <n v="0.96"/>
    <x v="2"/>
    <x v="430"/>
    <n v="0"/>
  </r>
  <r>
    <s v="U27351"/>
    <x v="39"/>
    <x v="0"/>
    <x v="3"/>
    <x v="0"/>
    <s v="Driver"/>
    <n v="7130.46"/>
    <n v="4597.13"/>
    <n v="27804.38"/>
    <s v="No"/>
    <s v="None"/>
    <n v="0"/>
    <n v="0"/>
    <n v="0"/>
    <n v="0"/>
    <n v="0"/>
    <n v="387"/>
    <n v="0.32"/>
    <x v="4"/>
    <x v="627"/>
    <n v="0"/>
  </r>
  <r>
    <s v="U27360"/>
    <x v="17"/>
    <x v="1"/>
    <x v="0"/>
    <x v="1"/>
    <s v="Doctor"/>
    <n v="5900.12"/>
    <n v="3528.64"/>
    <n v="25027.9"/>
    <s v="Yes"/>
    <s v="Home"/>
    <n v="214690.66"/>
    <n v="24"/>
    <n v="9952.5300000000007"/>
    <n v="10.46"/>
    <n v="1.69"/>
    <n v="434"/>
    <n v="0.35"/>
    <x v="3"/>
    <x v="489"/>
    <n v="1"/>
  </r>
  <r>
    <s v="U27364"/>
    <x v="32"/>
    <x v="0"/>
    <x v="0"/>
    <x v="0"/>
    <s v="Accountant"/>
    <n v="6080.5"/>
    <n v="4378.8100000000004"/>
    <n v="12228.66"/>
    <s v="No"/>
    <s v="None"/>
    <n v="0"/>
    <n v="0"/>
    <n v="0"/>
    <n v="0"/>
    <n v="0"/>
    <n v="449"/>
    <n v="0.17"/>
    <x v="4"/>
    <x v="693"/>
    <n v="0"/>
  </r>
  <r>
    <s v="U27398"/>
    <x v="47"/>
    <x v="1"/>
    <x v="0"/>
    <x v="0"/>
    <s v="Driver"/>
    <n v="3582.39"/>
    <n v="1252.74"/>
    <n v="23835.91"/>
    <s v="No"/>
    <s v="None"/>
    <n v="0"/>
    <n v="0"/>
    <n v="0"/>
    <n v="0"/>
    <n v="0"/>
    <n v="307"/>
    <n v="0.55000000000000004"/>
    <x v="4"/>
    <x v="1116"/>
    <n v="0"/>
  </r>
  <r>
    <s v="U27399"/>
    <x v="24"/>
    <x v="2"/>
    <x v="2"/>
    <x v="1"/>
    <s v="Doctor"/>
    <n v="1725.18"/>
    <n v="1186.04"/>
    <n v="18612.34"/>
    <s v="No"/>
    <s v="None"/>
    <n v="0"/>
    <n v="0"/>
    <n v="0"/>
    <n v="0"/>
    <n v="0"/>
    <n v="776"/>
    <n v="0.9"/>
    <x v="4"/>
    <x v="957"/>
    <n v="0"/>
  </r>
  <r>
    <s v="U27402"/>
    <x v="33"/>
    <x v="0"/>
    <x v="3"/>
    <x v="1"/>
    <s v="Salesperson"/>
    <n v="920.5"/>
    <n v="689.58"/>
    <n v="10727.9"/>
    <s v="No"/>
    <s v="None"/>
    <n v="0"/>
    <n v="0"/>
    <n v="0"/>
    <n v="0"/>
    <n v="0"/>
    <n v="416"/>
    <n v="0.97"/>
    <x v="1"/>
    <x v="1117"/>
    <n v="0"/>
  </r>
  <r>
    <s v="U27424"/>
    <x v="40"/>
    <x v="1"/>
    <x v="0"/>
    <x v="1"/>
    <s v="Salesperson"/>
    <n v="500"/>
    <n v="282.87"/>
    <n v="2535.77"/>
    <s v="No"/>
    <s v="None"/>
    <n v="0"/>
    <n v="0"/>
    <n v="0"/>
    <n v="0"/>
    <n v="0"/>
    <n v="684"/>
    <n v="0.42"/>
    <x v="2"/>
    <x v="964"/>
    <n v="0"/>
  </r>
  <r>
    <s v="U27436"/>
    <x v="25"/>
    <x v="1"/>
    <x v="2"/>
    <x v="1"/>
    <s v="Doctor"/>
    <n v="2242.39"/>
    <n v="1444.77"/>
    <n v="22803.22"/>
    <s v="Yes"/>
    <s v="Car"/>
    <n v="26270.43"/>
    <n v="300"/>
    <n v="456.07"/>
    <n v="20.71"/>
    <n v="0.2"/>
    <n v="502"/>
    <n v="0.85"/>
    <x v="3"/>
    <x v="1118"/>
    <n v="0"/>
  </r>
  <r>
    <s v="U27442"/>
    <x v="22"/>
    <x v="1"/>
    <x v="2"/>
    <x v="3"/>
    <s v="Salesperson"/>
    <n v="3817.57"/>
    <n v="2875.55"/>
    <n v="20624.439999999999"/>
    <s v="No"/>
    <s v="None"/>
    <n v="0"/>
    <n v="0"/>
    <n v="0"/>
    <n v="0"/>
    <n v="0"/>
    <n v="687"/>
    <n v="0.45"/>
    <x v="4"/>
    <x v="815"/>
    <n v="0"/>
  </r>
  <r>
    <s v="U27468"/>
    <x v="21"/>
    <x v="1"/>
    <x v="3"/>
    <x v="1"/>
    <s v="Driver"/>
    <n v="5574.04"/>
    <n v="2131.0700000000002"/>
    <n v="58553.39"/>
    <s v="No"/>
    <s v="None"/>
    <n v="0"/>
    <n v="0"/>
    <n v="0"/>
    <n v="0"/>
    <n v="0"/>
    <n v="575"/>
    <n v="0.88"/>
    <x v="0"/>
    <x v="2"/>
    <n v="0"/>
  </r>
  <r>
    <s v="U27470"/>
    <x v="7"/>
    <x v="1"/>
    <x v="3"/>
    <x v="1"/>
    <s v="Teacher"/>
    <n v="3652.05"/>
    <n v="1761.46"/>
    <n v="35198.33"/>
    <s v="No"/>
    <s v="None"/>
    <n v="0"/>
    <n v="0"/>
    <n v="0"/>
    <n v="0"/>
    <n v="0"/>
    <n v="647"/>
    <n v="0.8"/>
    <x v="0"/>
    <x v="42"/>
    <n v="0"/>
  </r>
  <r>
    <s v="U27487"/>
    <x v="41"/>
    <x v="1"/>
    <x v="2"/>
    <x v="3"/>
    <s v="Doctor"/>
    <n v="3627.65"/>
    <n v="2622.46"/>
    <n v="38730.480000000003"/>
    <s v="No"/>
    <s v="None"/>
    <n v="0"/>
    <n v="0"/>
    <n v="0"/>
    <n v="0"/>
    <n v="0"/>
    <n v="331"/>
    <n v="0.89"/>
    <x v="4"/>
    <x v="300"/>
    <n v="0"/>
  </r>
  <r>
    <s v="U27489"/>
    <x v="9"/>
    <x v="1"/>
    <x v="0"/>
    <x v="1"/>
    <s v="Student"/>
    <n v="8329.01"/>
    <n v="7143.39"/>
    <n v="85215.85"/>
    <s v="No"/>
    <s v="None"/>
    <n v="0"/>
    <n v="0"/>
    <n v="0"/>
    <n v="0"/>
    <n v="0"/>
    <n v="552"/>
    <n v="0.85"/>
    <x v="4"/>
    <x v="104"/>
    <n v="0"/>
  </r>
  <r>
    <s v="U27495"/>
    <x v="20"/>
    <x v="0"/>
    <x v="3"/>
    <x v="2"/>
    <s v="Driver"/>
    <n v="4755.13"/>
    <n v="1844.99"/>
    <n v="12249.95"/>
    <s v="Yes"/>
    <s v="Education"/>
    <n v="153888.1"/>
    <n v="300"/>
    <n v="3126.4"/>
    <n v="24.32"/>
    <n v="0.66"/>
    <n v="615"/>
    <n v="0.21"/>
    <x v="3"/>
    <x v="726"/>
    <n v="1"/>
  </r>
  <r>
    <s v="U27500"/>
    <x v="15"/>
    <x v="0"/>
    <x v="0"/>
    <x v="1"/>
    <s v="Student"/>
    <n v="5743.77"/>
    <n v="2544.08"/>
    <n v="60280.66"/>
    <s v="No"/>
    <s v="None"/>
    <n v="0"/>
    <n v="0"/>
    <n v="0"/>
    <n v="0"/>
    <n v="0"/>
    <n v="337"/>
    <n v="0.87"/>
    <x v="3"/>
    <x v="799"/>
    <n v="0"/>
  </r>
  <r>
    <s v="U27562"/>
    <x v="27"/>
    <x v="0"/>
    <x v="3"/>
    <x v="1"/>
    <s v="Unemployed"/>
    <n v="2804.41"/>
    <n v="1898.85"/>
    <n v="3609.72"/>
    <s v="No"/>
    <s v="None"/>
    <n v="0"/>
    <n v="0"/>
    <n v="0"/>
    <n v="0"/>
    <n v="0"/>
    <n v="475"/>
    <n v="0.11"/>
    <x v="3"/>
    <x v="286"/>
    <n v="0"/>
  </r>
  <r>
    <s v="U27564"/>
    <x v="24"/>
    <x v="0"/>
    <x v="3"/>
    <x v="0"/>
    <s v="Driver"/>
    <n v="6658.36"/>
    <n v="4012.58"/>
    <n v="14088.42"/>
    <s v="No"/>
    <s v="None"/>
    <n v="0"/>
    <n v="0"/>
    <n v="0"/>
    <n v="0"/>
    <n v="0"/>
    <n v="495"/>
    <n v="0.18"/>
    <x v="0"/>
    <x v="427"/>
    <n v="0"/>
  </r>
  <r>
    <s v="U27570"/>
    <x v="46"/>
    <x v="0"/>
    <x v="0"/>
    <x v="3"/>
    <s v="Manager"/>
    <n v="3173.64"/>
    <n v="1837.04"/>
    <n v="22376.13"/>
    <s v="No"/>
    <s v="None"/>
    <n v="0"/>
    <n v="0"/>
    <n v="0"/>
    <n v="0"/>
    <n v="0"/>
    <n v="413"/>
    <n v="0.59"/>
    <x v="0"/>
    <x v="806"/>
    <n v="0"/>
  </r>
  <r>
    <s v="U27575"/>
    <x v="32"/>
    <x v="0"/>
    <x v="0"/>
    <x v="2"/>
    <s v="Salesperson"/>
    <n v="5588.33"/>
    <n v="3609.16"/>
    <n v="19603.689999999999"/>
    <s v="No"/>
    <s v="None"/>
    <n v="0"/>
    <n v="0"/>
    <n v="0"/>
    <n v="0"/>
    <n v="0"/>
    <n v="442"/>
    <n v="0.28999999999999998"/>
    <x v="0"/>
    <x v="820"/>
    <n v="0"/>
  </r>
  <r>
    <s v="U27582"/>
    <x v="30"/>
    <x v="0"/>
    <x v="0"/>
    <x v="2"/>
    <s v="Engineer"/>
    <n v="7440.84"/>
    <n v="2734.12"/>
    <n v="35917.93"/>
    <s v="No"/>
    <s v="None"/>
    <n v="0"/>
    <n v="0"/>
    <n v="0"/>
    <n v="0"/>
    <n v="0"/>
    <n v="692"/>
    <n v="0.4"/>
    <x v="2"/>
    <x v="239"/>
    <n v="0"/>
  </r>
  <r>
    <s v="U27593"/>
    <x v="32"/>
    <x v="1"/>
    <x v="2"/>
    <x v="1"/>
    <s v="Driver"/>
    <n v="4418.47"/>
    <n v="1933.89"/>
    <n v="49988.72"/>
    <s v="No"/>
    <s v="None"/>
    <n v="0"/>
    <n v="0"/>
    <n v="0"/>
    <n v="0"/>
    <n v="0"/>
    <n v="579"/>
    <n v="0.94"/>
    <x v="3"/>
    <x v="1119"/>
    <n v="0"/>
  </r>
  <r>
    <s v="U27633"/>
    <x v="16"/>
    <x v="0"/>
    <x v="3"/>
    <x v="1"/>
    <s v="Doctor"/>
    <n v="1996.3"/>
    <n v="692.32"/>
    <n v="14346.72"/>
    <s v="No"/>
    <s v="None"/>
    <n v="0"/>
    <n v="0"/>
    <n v="0"/>
    <n v="0"/>
    <n v="0"/>
    <n v="579"/>
    <n v="0.6"/>
    <x v="1"/>
    <x v="360"/>
    <n v="0"/>
  </r>
  <r>
    <s v="U27659"/>
    <x v="29"/>
    <x v="0"/>
    <x v="3"/>
    <x v="1"/>
    <s v="Salesperson"/>
    <n v="5852.84"/>
    <n v="2395.44"/>
    <n v="16177.09"/>
    <s v="No"/>
    <s v="None"/>
    <n v="0"/>
    <n v="0"/>
    <n v="0"/>
    <n v="0"/>
    <n v="0"/>
    <n v="650"/>
    <n v="0.23"/>
    <x v="1"/>
    <x v="842"/>
    <n v="0"/>
  </r>
  <r>
    <s v="U27666"/>
    <x v="0"/>
    <x v="1"/>
    <x v="3"/>
    <x v="2"/>
    <s v="Unemployed"/>
    <n v="3724.11"/>
    <n v="1457.64"/>
    <n v="35634.480000000003"/>
    <s v="No"/>
    <s v="None"/>
    <n v="0"/>
    <n v="0"/>
    <n v="0"/>
    <n v="0"/>
    <n v="0"/>
    <n v="813"/>
    <n v="0.8"/>
    <x v="4"/>
    <x v="1120"/>
    <n v="0"/>
  </r>
  <r>
    <s v="U27676"/>
    <x v="39"/>
    <x v="0"/>
    <x v="3"/>
    <x v="1"/>
    <s v="Salesperson"/>
    <n v="6087.48"/>
    <n v="3162.83"/>
    <n v="31050.42"/>
    <s v="No"/>
    <s v="None"/>
    <n v="0"/>
    <n v="0"/>
    <n v="0"/>
    <n v="0"/>
    <n v="0"/>
    <n v="471"/>
    <n v="0.43"/>
    <x v="0"/>
    <x v="1087"/>
    <n v="0"/>
  </r>
  <r>
    <s v="U27712"/>
    <x v="44"/>
    <x v="0"/>
    <x v="0"/>
    <x v="1"/>
    <s v="Driver"/>
    <n v="4298.92"/>
    <n v="1475.51"/>
    <n v="33770.629999999997"/>
    <s v="No"/>
    <s v="None"/>
    <n v="0"/>
    <n v="0"/>
    <n v="0"/>
    <n v="0"/>
    <n v="0"/>
    <n v="730"/>
    <n v="0.65"/>
    <x v="4"/>
    <x v="347"/>
    <n v="0"/>
  </r>
  <r>
    <s v="U27729"/>
    <x v="11"/>
    <x v="1"/>
    <x v="3"/>
    <x v="1"/>
    <s v="Student"/>
    <n v="1689.15"/>
    <n v="609.1"/>
    <n v="7235.83"/>
    <s v="No"/>
    <s v="None"/>
    <n v="0"/>
    <n v="0"/>
    <n v="0"/>
    <n v="0"/>
    <n v="0"/>
    <n v="624"/>
    <n v="0.36"/>
    <x v="2"/>
    <x v="763"/>
    <n v="0"/>
  </r>
  <r>
    <s v="U27735"/>
    <x v="7"/>
    <x v="1"/>
    <x v="1"/>
    <x v="2"/>
    <s v="Engineer"/>
    <n v="500"/>
    <n v="370.98"/>
    <n v="1967.42"/>
    <s v="No"/>
    <s v="None"/>
    <n v="0"/>
    <n v="0"/>
    <n v="0"/>
    <n v="0"/>
    <n v="0"/>
    <n v="671"/>
    <n v="0.33"/>
    <x v="0"/>
    <x v="1121"/>
    <n v="0"/>
  </r>
  <r>
    <s v="U27751"/>
    <x v="38"/>
    <x v="0"/>
    <x v="3"/>
    <x v="3"/>
    <s v="Teacher"/>
    <n v="6623"/>
    <n v="3080.05"/>
    <n v="24287.85"/>
    <s v="No"/>
    <s v="None"/>
    <n v="0"/>
    <n v="0"/>
    <n v="0"/>
    <n v="0"/>
    <n v="0"/>
    <n v="309"/>
    <n v="0.31"/>
    <x v="4"/>
    <x v="1122"/>
    <n v="0"/>
  </r>
  <r>
    <s v="U27787"/>
    <x v="26"/>
    <x v="1"/>
    <x v="3"/>
    <x v="1"/>
    <s v="Manager"/>
    <n v="500"/>
    <n v="273"/>
    <n v="1586.65"/>
    <s v="No"/>
    <s v="None"/>
    <n v="0"/>
    <n v="0"/>
    <n v="0"/>
    <n v="0"/>
    <n v="0"/>
    <n v="723"/>
    <n v="0.26"/>
    <x v="2"/>
    <x v="614"/>
    <n v="0"/>
  </r>
  <r>
    <s v="U27813"/>
    <x v="22"/>
    <x v="1"/>
    <x v="0"/>
    <x v="0"/>
    <s v="Salesperson"/>
    <n v="2592.27"/>
    <n v="860.09"/>
    <n v="21727.79"/>
    <s v="No"/>
    <s v="None"/>
    <n v="0"/>
    <n v="0"/>
    <n v="0"/>
    <n v="0"/>
    <n v="0"/>
    <n v="336"/>
    <n v="0.7"/>
    <x v="1"/>
    <x v="1123"/>
    <n v="0"/>
  </r>
  <r>
    <s v="U27831"/>
    <x v="48"/>
    <x v="0"/>
    <x v="1"/>
    <x v="1"/>
    <s v="Unemployed"/>
    <n v="5579.29"/>
    <n v="2176.64"/>
    <n v="34633.1"/>
    <s v="No"/>
    <s v="None"/>
    <n v="0"/>
    <n v="0"/>
    <n v="0"/>
    <n v="0"/>
    <n v="0"/>
    <n v="406"/>
    <n v="0.52"/>
    <x v="1"/>
    <x v="103"/>
    <n v="0"/>
  </r>
  <r>
    <s v="U27833"/>
    <x v="50"/>
    <x v="1"/>
    <x v="2"/>
    <x v="2"/>
    <s v="Manager"/>
    <n v="3447.88"/>
    <n v="1419.98"/>
    <n v="27706.59"/>
    <s v="No"/>
    <s v="None"/>
    <n v="0"/>
    <n v="0"/>
    <n v="0"/>
    <n v="0"/>
    <n v="0"/>
    <n v="811"/>
    <n v="0.67"/>
    <x v="1"/>
    <x v="817"/>
    <n v="0"/>
  </r>
  <r>
    <s v="U27845"/>
    <x v="17"/>
    <x v="0"/>
    <x v="2"/>
    <x v="2"/>
    <s v="Manager"/>
    <n v="4507.62"/>
    <n v="2784.68"/>
    <n v="43986.48"/>
    <s v="No"/>
    <s v="None"/>
    <n v="0"/>
    <n v="0"/>
    <n v="0"/>
    <n v="0"/>
    <n v="0"/>
    <n v="773"/>
    <n v="0.81"/>
    <x v="2"/>
    <x v="520"/>
    <n v="0"/>
  </r>
  <r>
    <s v="U27854"/>
    <x v="44"/>
    <x v="0"/>
    <x v="4"/>
    <x v="2"/>
    <s v="Accountant"/>
    <n v="2029.85"/>
    <n v="977.82"/>
    <n v="5077.91"/>
    <s v="No"/>
    <s v="None"/>
    <n v="0"/>
    <n v="0"/>
    <n v="0"/>
    <n v="0"/>
    <n v="0"/>
    <n v="570"/>
    <n v="0.21"/>
    <x v="1"/>
    <x v="513"/>
    <n v="0"/>
  </r>
  <r>
    <s v="U27877"/>
    <x v="15"/>
    <x v="1"/>
    <x v="3"/>
    <x v="3"/>
    <s v="Teacher"/>
    <n v="1438.76"/>
    <n v="881.11"/>
    <n v="12526.74"/>
    <s v="No"/>
    <s v="None"/>
    <n v="0"/>
    <n v="0"/>
    <n v="0"/>
    <n v="0"/>
    <n v="0"/>
    <n v="752"/>
    <n v="0.73"/>
    <x v="3"/>
    <x v="936"/>
    <n v="0"/>
  </r>
  <r>
    <s v="U27911"/>
    <x v="28"/>
    <x v="1"/>
    <x v="3"/>
    <x v="1"/>
    <s v="Student"/>
    <n v="5602.36"/>
    <n v="3953.93"/>
    <n v="51378.34"/>
    <s v="Yes"/>
    <s v="Car"/>
    <n v="294467.05"/>
    <n v="180"/>
    <n v="4983.46"/>
    <n v="19.13"/>
    <n v="0.89"/>
    <n v="411"/>
    <n v="0.76"/>
    <x v="4"/>
    <x v="900"/>
    <n v="1"/>
  </r>
  <r>
    <s v="U27917"/>
    <x v="48"/>
    <x v="1"/>
    <x v="2"/>
    <x v="1"/>
    <s v="Accountant"/>
    <n v="5265.77"/>
    <n v="2642.09"/>
    <n v="33549.800000000003"/>
    <s v="Yes"/>
    <s v="Education"/>
    <n v="305474.96000000002"/>
    <n v="300"/>
    <n v="5852.13"/>
    <n v="22.91"/>
    <n v="1.1100000000000001"/>
    <n v="512"/>
    <n v="0.53"/>
    <x v="2"/>
    <x v="175"/>
    <n v="1"/>
  </r>
  <r>
    <s v="U27925"/>
    <x v="25"/>
    <x v="2"/>
    <x v="1"/>
    <x v="1"/>
    <s v="Doctor"/>
    <n v="4404.91"/>
    <n v="2556.3200000000002"/>
    <n v="39552.870000000003"/>
    <s v="Yes"/>
    <s v="Car"/>
    <n v="271629.06"/>
    <n v="60"/>
    <n v="5987.48"/>
    <n v="11.6"/>
    <n v="1.36"/>
    <n v="724"/>
    <n v="0.75"/>
    <x v="0"/>
    <x v="814"/>
    <n v="1"/>
  </r>
  <r>
    <s v="U27930"/>
    <x v="45"/>
    <x v="1"/>
    <x v="2"/>
    <x v="3"/>
    <s v="Accountant"/>
    <n v="5320.06"/>
    <n v="4119.47"/>
    <n v="58100.32"/>
    <s v="No"/>
    <s v="None"/>
    <n v="0"/>
    <n v="0"/>
    <n v="0"/>
    <n v="0"/>
    <n v="0"/>
    <n v="627"/>
    <n v="0.91"/>
    <x v="4"/>
    <x v="861"/>
    <n v="0"/>
  </r>
  <r>
    <s v="U27931"/>
    <x v="5"/>
    <x v="0"/>
    <x v="0"/>
    <x v="2"/>
    <s v="Student"/>
    <n v="5941.64"/>
    <n v="5196.76"/>
    <n v="53024.73"/>
    <s v="No"/>
    <s v="None"/>
    <n v="0"/>
    <n v="0"/>
    <n v="0"/>
    <n v="0"/>
    <n v="0"/>
    <n v="410"/>
    <n v="0.74"/>
    <x v="2"/>
    <x v="685"/>
    <n v="0"/>
  </r>
  <r>
    <s v="U27934"/>
    <x v="26"/>
    <x v="0"/>
    <x v="0"/>
    <x v="0"/>
    <s v="Student"/>
    <n v="2895.99"/>
    <n v="1930.82"/>
    <n v="18989.990000000002"/>
    <s v="No"/>
    <s v="None"/>
    <n v="0"/>
    <n v="0"/>
    <n v="0"/>
    <n v="0"/>
    <n v="0"/>
    <n v="438"/>
    <n v="0.55000000000000004"/>
    <x v="2"/>
    <x v="1033"/>
    <n v="0"/>
  </r>
  <r>
    <s v="U27955"/>
    <x v="28"/>
    <x v="0"/>
    <x v="2"/>
    <x v="2"/>
    <s v="Driver"/>
    <n v="4677.96"/>
    <n v="3361.01"/>
    <n v="48523.91"/>
    <s v="Yes"/>
    <s v="Home"/>
    <n v="322511.59000000003"/>
    <n v="180"/>
    <n v="5581.04"/>
    <n v="19.649999999999999"/>
    <n v="1.19"/>
    <n v="495"/>
    <n v="0.86"/>
    <x v="2"/>
    <x v="336"/>
    <n v="1"/>
  </r>
  <r>
    <s v="U27967"/>
    <x v="12"/>
    <x v="0"/>
    <x v="2"/>
    <x v="1"/>
    <s v="Teacher"/>
    <n v="4419.37"/>
    <n v="2802.69"/>
    <n v="12933.59"/>
    <s v="No"/>
    <s v="None"/>
    <n v="0"/>
    <n v="0"/>
    <n v="0"/>
    <n v="0"/>
    <n v="0"/>
    <n v="521"/>
    <n v="0.24"/>
    <x v="1"/>
    <x v="1124"/>
    <n v="0"/>
  </r>
  <r>
    <s v="U27993"/>
    <x v="35"/>
    <x v="0"/>
    <x v="3"/>
    <x v="2"/>
    <s v="Teacher"/>
    <n v="6764.16"/>
    <n v="2442.44"/>
    <n v="41814.36"/>
    <s v="Yes"/>
    <s v="Car"/>
    <n v="317914.57"/>
    <n v="300"/>
    <n v="2132.6999999999998"/>
    <n v="6.43"/>
    <n v="0.32"/>
    <n v="737"/>
    <n v="0.52"/>
    <x v="1"/>
    <x v="551"/>
    <n v="0"/>
  </r>
  <r>
    <s v="U27999"/>
    <x v="36"/>
    <x v="1"/>
    <x v="3"/>
    <x v="1"/>
    <s v="Driver"/>
    <n v="5183.1000000000004"/>
    <n v="3547.58"/>
    <n v="8362.98"/>
    <s v="No"/>
    <s v="None"/>
    <n v="0"/>
    <n v="0"/>
    <n v="0"/>
    <n v="0"/>
    <n v="0"/>
    <n v="730"/>
    <n v="0.13"/>
    <x v="2"/>
    <x v="512"/>
    <n v="0"/>
  </r>
  <r>
    <s v="U28001"/>
    <x v="5"/>
    <x v="0"/>
    <x v="3"/>
    <x v="2"/>
    <s v="Engineer"/>
    <n v="1925.76"/>
    <n v="1469.51"/>
    <n v="15190.31"/>
    <s v="No"/>
    <s v="None"/>
    <n v="0"/>
    <n v="0"/>
    <n v="0"/>
    <n v="0"/>
    <n v="0"/>
    <n v="406"/>
    <n v="0.66"/>
    <x v="3"/>
    <x v="928"/>
    <n v="0"/>
  </r>
  <r>
    <s v="U28008"/>
    <x v="2"/>
    <x v="1"/>
    <x v="0"/>
    <x v="1"/>
    <s v="Salesperson"/>
    <n v="4747.9799999999996"/>
    <n v="2646.31"/>
    <n v="56022.67"/>
    <s v="Yes"/>
    <s v="Home"/>
    <n v="173234.78"/>
    <n v="360"/>
    <n v="919.4"/>
    <n v="4.9000000000000004"/>
    <n v="0.19"/>
    <n v="813"/>
    <n v="0.98"/>
    <x v="1"/>
    <x v="674"/>
    <n v="0"/>
  </r>
  <r>
    <s v="U28018"/>
    <x v="15"/>
    <x v="0"/>
    <x v="0"/>
    <x v="3"/>
    <s v="Accountant"/>
    <n v="2135.9499999999998"/>
    <n v="1768"/>
    <n v="17855.009999999998"/>
    <s v="No"/>
    <s v="None"/>
    <n v="0"/>
    <n v="0"/>
    <n v="0"/>
    <n v="0"/>
    <n v="0"/>
    <n v="632"/>
    <n v="0.7"/>
    <x v="2"/>
    <x v="1125"/>
    <n v="0"/>
  </r>
  <r>
    <s v="U28026"/>
    <x v="4"/>
    <x v="1"/>
    <x v="0"/>
    <x v="1"/>
    <s v="Salesperson"/>
    <n v="3186.43"/>
    <n v="1336.83"/>
    <n v="14608.86"/>
    <s v="No"/>
    <s v="None"/>
    <n v="0"/>
    <n v="0"/>
    <n v="0"/>
    <n v="0"/>
    <n v="0"/>
    <n v="552"/>
    <n v="0.38"/>
    <x v="1"/>
    <x v="524"/>
    <n v="0"/>
  </r>
  <r>
    <s v="U28034"/>
    <x v="50"/>
    <x v="0"/>
    <x v="3"/>
    <x v="1"/>
    <s v="Doctor"/>
    <n v="1709.5"/>
    <n v="665.01"/>
    <n v="2686.02"/>
    <s v="No"/>
    <s v="None"/>
    <n v="0"/>
    <n v="0"/>
    <n v="0"/>
    <n v="0"/>
    <n v="0"/>
    <n v="439"/>
    <n v="0.13"/>
    <x v="1"/>
    <x v="1126"/>
    <n v="0"/>
  </r>
  <r>
    <s v="U28042"/>
    <x v="12"/>
    <x v="0"/>
    <x v="0"/>
    <x v="1"/>
    <s v="Salesperson"/>
    <n v="1487.98"/>
    <n v="741.9"/>
    <n v="10530.52"/>
    <s v="No"/>
    <s v="None"/>
    <n v="0"/>
    <n v="0"/>
    <n v="0"/>
    <n v="0"/>
    <n v="0"/>
    <n v="723"/>
    <n v="0.59"/>
    <x v="0"/>
    <x v="63"/>
    <n v="0"/>
  </r>
  <r>
    <s v="U28063"/>
    <x v="10"/>
    <x v="1"/>
    <x v="4"/>
    <x v="1"/>
    <s v="Driver"/>
    <n v="5919.97"/>
    <n v="2472.34"/>
    <n v="24373.87"/>
    <s v="Yes"/>
    <s v="Education"/>
    <n v="162480.75"/>
    <n v="300"/>
    <n v="3731.72"/>
    <n v="27.53"/>
    <n v="0.63"/>
    <n v="778"/>
    <n v="0.34"/>
    <x v="1"/>
    <x v="1127"/>
    <n v="1"/>
  </r>
  <r>
    <s v="U28066"/>
    <x v="44"/>
    <x v="0"/>
    <x v="1"/>
    <x v="3"/>
    <s v="Student"/>
    <n v="4923.2"/>
    <n v="2079.2399999999998"/>
    <n v="34672.6"/>
    <s v="Yes"/>
    <s v="Education"/>
    <n v="371173.53"/>
    <n v="300"/>
    <n v="6154.85"/>
    <n v="19.75"/>
    <n v="1.25"/>
    <n v="805"/>
    <n v="0.59"/>
    <x v="0"/>
    <x v="536"/>
    <n v="1"/>
  </r>
  <r>
    <s v="U28072"/>
    <x v="45"/>
    <x v="1"/>
    <x v="4"/>
    <x v="2"/>
    <s v="Manager"/>
    <n v="3121.47"/>
    <n v="2015.69"/>
    <n v="17131.240000000002"/>
    <s v="No"/>
    <s v="None"/>
    <n v="0"/>
    <n v="0"/>
    <n v="0"/>
    <n v="0"/>
    <n v="0"/>
    <n v="491"/>
    <n v="0.46"/>
    <x v="2"/>
    <x v="1128"/>
    <n v="0"/>
  </r>
  <r>
    <s v="U28076"/>
    <x v="26"/>
    <x v="1"/>
    <x v="3"/>
    <x v="1"/>
    <s v="Driver"/>
    <n v="3351.91"/>
    <n v="2922.24"/>
    <n v="35071.339999999997"/>
    <s v="No"/>
    <s v="None"/>
    <n v="0"/>
    <n v="0"/>
    <n v="0"/>
    <n v="0"/>
    <n v="0"/>
    <n v="616"/>
    <n v="0.87"/>
    <x v="1"/>
    <x v="718"/>
    <n v="0"/>
  </r>
  <r>
    <s v="U28096"/>
    <x v="42"/>
    <x v="1"/>
    <x v="3"/>
    <x v="2"/>
    <s v="Manager"/>
    <n v="7212.73"/>
    <n v="3573.59"/>
    <n v="46770.33"/>
    <s v="Yes"/>
    <s v="Car"/>
    <n v="3754.77"/>
    <n v="120"/>
    <n v="49.89"/>
    <n v="10.130000000000001"/>
    <n v="0.01"/>
    <n v="457"/>
    <n v="0.54"/>
    <x v="1"/>
    <x v="293"/>
    <n v="0"/>
  </r>
  <r>
    <s v="U28097"/>
    <x v="32"/>
    <x v="1"/>
    <x v="3"/>
    <x v="2"/>
    <s v="Engineer"/>
    <n v="3208.73"/>
    <n v="1722.51"/>
    <n v="36209.25"/>
    <s v="No"/>
    <s v="None"/>
    <n v="0"/>
    <n v="0"/>
    <n v="0"/>
    <n v="0"/>
    <n v="0"/>
    <n v="480"/>
    <n v="0.94"/>
    <x v="0"/>
    <x v="496"/>
    <n v="0"/>
  </r>
  <r>
    <s v="U28103"/>
    <x v="32"/>
    <x v="0"/>
    <x v="3"/>
    <x v="1"/>
    <s v="Engineer"/>
    <n v="1488.03"/>
    <n v="918.16"/>
    <n v="16783.79"/>
    <s v="No"/>
    <s v="None"/>
    <n v="0"/>
    <n v="0"/>
    <n v="0"/>
    <n v="0"/>
    <n v="0"/>
    <n v="628"/>
    <n v="0.94"/>
    <x v="2"/>
    <x v="1129"/>
    <n v="0"/>
  </r>
  <r>
    <s v="U28111"/>
    <x v="51"/>
    <x v="1"/>
    <x v="3"/>
    <x v="1"/>
    <s v="Salesperson"/>
    <n v="3969.58"/>
    <n v="1835.39"/>
    <n v="41245.870000000003"/>
    <s v="No"/>
    <s v="None"/>
    <n v="0"/>
    <n v="0"/>
    <n v="0"/>
    <n v="0"/>
    <n v="0"/>
    <n v="490"/>
    <n v="0.87"/>
    <x v="0"/>
    <x v="1130"/>
    <n v="0"/>
  </r>
  <r>
    <s v="U28128"/>
    <x v="41"/>
    <x v="0"/>
    <x v="2"/>
    <x v="2"/>
    <s v="Salesperson"/>
    <n v="3883.28"/>
    <n v="2946.88"/>
    <n v="6553.82"/>
    <s v="Yes"/>
    <s v="Car"/>
    <n v="93858.93"/>
    <n v="240"/>
    <n v="1971.64"/>
    <n v="25.03"/>
    <n v="0.51"/>
    <n v="448"/>
    <n v="0.14000000000000001"/>
    <x v="0"/>
    <x v="123"/>
    <n v="1"/>
  </r>
  <r>
    <s v="U28152"/>
    <x v="29"/>
    <x v="1"/>
    <x v="2"/>
    <x v="1"/>
    <s v="Driver"/>
    <n v="5667.87"/>
    <n v="2290.69"/>
    <n v="24855.88"/>
    <s v="No"/>
    <s v="None"/>
    <n v="0"/>
    <n v="0"/>
    <n v="0"/>
    <n v="0"/>
    <n v="0"/>
    <n v="328"/>
    <n v="0.37"/>
    <x v="4"/>
    <x v="1109"/>
    <n v="0"/>
  </r>
  <r>
    <s v="U28163"/>
    <x v="39"/>
    <x v="0"/>
    <x v="0"/>
    <x v="1"/>
    <s v="Driver"/>
    <n v="6285.64"/>
    <n v="4904.25"/>
    <n v="31178.46"/>
    <s v="Yes"/>
    <s v="Education"/>
    <n v="53209.75"/>
    <n v="120"/>
    <n v="1048.1400000000001"/>
    <n v="20.56"/>
    <n v="0.17"/>
    <n v="616"/>
    <n v="0.41"/>
    <x v="3"/>
    <x v="421"/>
    <n v="0"/>
  </r>
  <r>
    <s v="U28167"/>
    <x v="17"/>
    <x v="0"/>
    <x v="3"/>
    <x v="0"/>
    <s v="Salesperson"/>
    <n v="3119.3"/>
    <n v="1064.74"/>
    <n v="24512.21"/>
    <s v="No"/>
    <s v="None"/>
    <n v="0"/>
    <n v="0"/>
    <n v="0"/>
    <n v="0"/>
    <n v="0"/>
    <n v="375"/>
    <n v="0.65"/>
    <x v="0"/>
    <x v="494"/>
    <n v="0"/>
  </r>
  <r>
    <s v="U28207"/>
    <x v="0"/>
    <x v="0"/>
    <x v="3"/>
    <x v="1"/>
    <s v="Unemployed"/>
    <n v="2071.17"/>
    <n v="1410.03"/>
    <n v="22818.21"/>
    <s v="No"/>
    <s v="None"/>
    <n v="0"/>
    <n v="0"/>
    <n v="0"/>
    <n v="0"/>
    <n v="0"/>
    <n v="512"/>
    <n v="0.92"/>
    <x v="4"/>
    <x v="139"/>
    <n v="0"/>
  </r>
  <r>
    <s v="U28227"/>
    <x v="19"/>
    <x v="0"/>
    <x v="3"/>
    <x v="1"/>
    <s v="Unemployed"/>
    <n v="3308.39"/>
    <n v="2631.11"/>
    <n v="28657.919999999998"/>
    <s v="No"/>
    <s v="None"/>
    <n v="0"/>
    <n v="0"/>
    <n v="0"/>
    <n v="0"/>
    <n v="0"/>
    <n v="698"/>
    <n v="0.72"/>
    <x v="0"/>
    <x v="299"/>
    <n v="0"/>
  </r>
  <r>
    <s v="U28235"/>
    <x v="5"/>
    <x v="1"/>
    <x v="3"/>
    <x v="1"/>
    <s v="Engineer"/>
    <n v="5430.68"/>
    <n v="2586.13"/>
    <n v="40864.58"/>
    <s v="Yes"/>
    <s v="Education"/>
    <n v="399524.86"/>
    <n v="60"/>
    <n v="9414.73"/>
    <n v="14.57"/>
    <n v="1.73"/>
    <n v="503"/>
    <n v="0.63"/>
    <x v="1"/>
    <x v="513"/>
    <n v="1"/>
  </r>
  <r>
    <s v="U28242"/>
    <x v="34"/>
    <x v="1"/>
    <x v="3"/>
    <x v="2"/>
    <s v="Teacher"/>
    <n v="5426.63"/>
    <n v="1632.33"/>
    <n v="45336.09"/>
    <s v="Yes"/>
    <s v="Business"/>
    <n v="369962.55"/>
    <n v="300"/>
    <n v="5711.66"/>
    <n v="18.329999999999998"/>
    <n v="1.05"/>
    <n v="335"/>
    <n v="0.7"/>
    <x v="4"/>
    <x v="986"/>
    <n v="1"/>
  </r>
  <r>
    <s v="U28247"/>
    <x v="11"/>
    <x v="0"/>
    <x v="3"/>
    <x v="0"/>
    <s v="Engineer"/>
    <n v="1973.32"/>
    <n v="1426.16"/>
    <n v="9884.52"/>
    <s v="No"/>
    <s v="None"/>
    <n v="0"/>
    <n v="0"/>
    <n v="0"/>
    <n v="0"/>
    <n v="0"/>
    <n v="458"/>
    <n v="0.42"/>
    <x v="3"/>
    <x v="1069"/>
    <n v="0"/>
  </r>
  <r>
    <s v="U28264"/>
    <x v="43"/>
    <x v="1"/>
    <x v="2"/>
    <x v="1"/>
    <s v="Student"/>
    <n v="2492.66"/>
    <n v="834.21"/>
    <n v="17840.37"/>
    <s v="Yes"/>
    <s v="Business"/>
    <n v="142618"/>
    <n v="300"/>
    <n v="3052.64"/>
    <n v="25.64"/>
    <n v="1.22"/>
    <n v="521"/>
    <n v="0.6"/>
    <x v="3"/>
    <x v="516"/>
    <n v="1"/>
  </r>
  <r>
    <s v="U28286"/>
    <x v="12"/>
    <x v="1"/>
    <x v="2"/>
    <x v="2"/>
    <s v="Accountant"/>
    <n v="6252.7"/>
    <n v="4657.93"/>
    <n v="29436.12"/>
    <s v="No"/>
    <s v="None"/>
    <n v="0"/>
    <n v="0"/>
    <n v="0"/>
    <n v="0"/>
    <n v="0"/>
    <n v="331"/>
    <n v="0.39"/>
    <x v="4"/>
    <x v="460"/>
    <n v="0"/>
  </r>
  <r>
    <s v="U28296"/>
    <x v="35"/>
    <x v="0"/>
    <x v="0"/>
    <x v="1"/>
    <s v="Accountant"/>
    <n v="3326.17"/>
    <n v="1415.41"/>
    <n v="10675.93"/>
    <s v="Yes"/>
    <s v="Education"/>
    <n v="151528.06"/>
    <n v="36"/>
    <n v="5396.36"/>
    <n v="16.920000000000002"/>
    <n v="1.62"/>
    <n v="650"/>
    <n v="0.27"/>
    <x v="1"/>
    <x v="708"/>
    <n v="1"/>
  </r>
  <r>
    <s v="U28308"/>
    <x v="36"/>
    <x v="0"/>
    <x v="0"/>
    <x v="1"/>
    <s v="Salesperson"/>
    <n v="1516.08"/>
    <n v="471.8"/>
    <n v="15223.72"/>
    <s v="No"/>
    <s v="None"/>
    <n v="0"/>
    <n v="0"/>
    <n v="0"/>
    <n v="0"/>
    <n v="0"/>
    <n v="648"/>
    <n v="0.84"/>
    <x v="4"/>
    <x v="456"/>
    <n v="0"/>
  </r>
  <r>
    <s v="U28351"/>
    <x v="50"/>
    <x v="0"/>
    <x v="4"/>
    <x v="1"/>
    <s v="Salesperson"/>
    <n v="4549.93"/>
    <n v="3544.73"/>
    <n v="52660.94"/>
    <s v="No"/>
    <s v="None"/>
    <n v="0"/>
    <n v="0"/>
    <n v="0"/>
    <n v="0"/>
    <n v="0"/>
    <n v="453"/>
    <n v="0.96"/>
    <x v="2"/>
    <x v="678"/>
    <n v="0"/>
  </r>
  <r>
    <s v="U28359"/>
    <x v="9"/>
    <x v="1"/>
    <x v="2"/>
    <x v="1"/>
    <s v="Accountant"/>
    <n v="1833.49"/>
    <n v="1141.03"/>
    <n v="3077.97"/>
    <s v="No"/>
    <s v="None"/>
    <n v="0"/>
    <n v="0"/>
    <n v="0"/>
    <n v="0"/>
    <n v="0"/>
    <n v="683"/>
    <n v="0.14000000000000001"/>
    <x v="0"/>
    <x v="883"/>
    <n v="0"/>
  </r>
  <r>
    <s v="U28379"/>
    <x v="2"/>
    <x v="0"/>
    <x v="4"/>
    <x v="0"/>
    <s v="Teacher"/>
    <n v="2570.8200000000002"/>
    <n v="1050.71"/>
    <n v="8492.43"/>
    <s v="Yes"/>
    <s v="Education"/>
    <n v="432606.19"/>
    <n v="240"/>
    <n v="3253.47"/>
    <n v="6.61"/>
    <n v="1.27"/>
    <n v="526"/>
    <n v="0.28000000000000003"/>
    <x v="2"/>
    <x v="1131"/>
    <n v="1"/>
  </r>
  <r>
    <s v="U28387"/>
    <x v="29"/>
    <x v="1"/>
    <x v="3"/>
    <x v="1"/>
    <s v="Doctor"/>
    <n v="4760"/>
    <n v="2275.35"/>
    <n v="9598.36"/>
    <s v="No"/>
    <s v="None"/>
    <n v="0"/>
    <n v="0"/>
    <n v="0"/>
    <n v="0"/>
    <n v="0"/>
    <n v="344"/>
    <n v="0.17"/>
    <x v="4"/>
    <x v="371"/>
    <n v="0"/>
  </r>
  <r>
    <s v="U28407"/>
    <x v="14"/>
    <x v="0"/>
    <x v="0"/>
    <x v="1"/>
    <s v="Driver"/>
    <n v="8156.69"/>
    <n v="6822.36"/>
    <n v="60640.42"/>
    <s v="Yes"/>
    <s v="Car"/>
    <n v="53298.87"/>
    <n v="120"/>
    <n v="629.89"/>
    <n v="7.4"/>
    <n v="0.08"/>
    <n v="760"/>
    <n v="0.62"/>
    <x v="4"/>
    <x v="544"/>
    <n v="0"/>
  </r>
  <r>
    <s v="U28417"/>
    <x v="4"/>
    <x v="0"/>
    <x v="2"/>
    <x v="1"/>
    <s v="Salesperson"/>
    <n v="500"/>
    <n v="185.47"/>
    <n v="1480.96"/>
    <s v="No"/>
    <s v="None"/>
    <n v="0"/>
    <n v="0"/>
    <n v="0"/>
    <n v="0"/>
    <n v="0"/>
    <n v="450"/>
    <n v="0.25"/>
    <x v="0"/>
    <x v="784"/>
    <n v="0"/>
  </r>
  <r>
    <s v="U28420"/>
    <x v="50"/>
    <x v="1"/>
    <x v="1"/>
    <x v="1"/>
    <s v="Engineer"/>
    <n v="5163.55"/>
    <n v="1562.88"/>
    <n v="13329.61"/>
    <s v="Yes"/>
    <s v="Education"/>
    <n v="114086.58"/>
    <n v="24"/>
    <n v="5668.7"/>
    <n v="17.510000000000002"/>
    <n v="1.1000000000000001"/>
    <n v="502"/>
    <n v="0.22"/>
    <x v="4"/>
    <x v="1132"/>
    <n v="1"/>
  </r>
  <r>
    <s v="U28441"/>
    <x v="30"/>
    <x v="1"/>
    <x v="3"/>
    <x v="1"/>
    <s v="Engineer"/>
    <n v="1768.58"/>
    <n v="1580.19"/>
    <n v="14236.96"/>
    <s v="Yes"/>
    <s v="Home"/>
    <n v="214645.22"/>
    <n v="120"/>
    <n v="2949.45"/>
    <n v="10.94"/>
    <n v="1.67"/>
    <n v="580"/>
    <n v="0.67"/>
    <x v="1"/>
    <x v="814"/>
    <n v="1"/>
  </r>
  <r>
    <s v="U28470"/>
    <x v="26"/>
    <x v="1"/>
    <x v="3"/>
    <x v="0"/>
    <s v="Unemployed"/>
    <n v="1944.85"/>
    <n v="620.78"/>
    <n v="20022.28"/>
    <s v="No"/>
    <s v="None"/>
    <n v="0"/>
    <n v="0"/>
    <n v="0"/>
    <n v="0"/>
    <n v="0"/>
    <n v="373"/>
    <n v="0.86"/>
    <x v="3"/>
    <x v="572"/>
    <n v="0"/>
  </r>
  <r>
    <s v="U28476"/>
    <x v="16"/>
    <x v="1"/>
    <x v="0"/>
    <x v="0"/>
    <s v="Engineer"/>
    <n v="4284.47"/>
    <n v="1302.6199999999999"/>
    <n v="46696.86"/>
    <s v="No"/>
    <s v="None"/>
    <n v="0"/>
    <n v="0"/>
    <n v="0"/>
    <n v="0"/>
    <n v="0"/>
    <n v="773"/>
    <n v="0.91"/>
    <x v="2"/>
    <x v="307"/>
    <n v="0"/>
  </r>
  <r>
    <s v="U28477"/>
    <x v="24"/>
    <x v="1"/>
    <x v="0"/>
    <x v="1"/>
    <s v="Engineer"/>
    <n v="4932.5"/>
    <n v="2310.9"/>
    <n v="57011.38"/>
    <s v="No"/>
    <s v="None"/>
    <n v="0"/>
    <n v="0"/>
    <n v="0"/>
    <n v="0"/>
    <n v="0"/>
    <n v="754"/>
    <n v="0.96"/>
    <x v="4"/>
    <x v="400"/>
    <n v="0"/>
  </r>
  <r>
    <s v="U28495"/>
    <x v="35"/>
    <x v="1"/>
    <x v="3"/>
    <x v="1"/>
    <s v="Student"/>
    <n v="2815.63"/>
    <n v="2191.87"/>
    <n v="32839.29"/>
    <s v="No"/>
    <s v="None"/>
    <n v="0"/>
    <n v="0"/>
    <n v="0"/>
    <n v="0"/>
    <n v="0"/>
    <n v="761"/>
    <n v="0.97"/>
    <x v="1"/>
    <x v="836"/>
    <n v="0"/>
  </r>
  <r>
    <s v="U28514"/>
    <x v="34"/>
    <x v="1"/>
    <x v="0"/>
    <x v="1"/>
    <s v="Accountant"/>
    <n v="6908.26"/>
    <n v="4703.6000000000004"/>
    <n v="31169.39"/>
    <s v="No"/>
    <s v="None"/>
    <n v="0"/>
    <n v="0"/>
    <n v="0"/>
    <n v="0"/>
    <n v="0"/>
    <n v="437"/>
    <n v="0.38"/>
    <x v="1"/>
    <x v="975"/>
    <n v="0"/>
  </r>
  <r>
    <s v="U28555"/>
    <x v="31"/>
    <x v="0"/>
    <x v="2"/>
    <x v="3"/>
    <s v="Unemployed"/>
    <n v="3371.3"/>
    <n v="1498.52"/>
    <n v="18307.060000000001"/>
    <s v="Yes"/>
    <s v="Business"/>
    <n v="109668.07"/>
    <n v="36"/>
    <n v="3669.32"/>
    <n v="12.51"/>
    <n v="1.0900000000000001"/>
    <n v="480"/>
    <n v="0.45"/>
    <x v="4"/>
    <x v="681"/>
    <n v="1"/>
  </r>
  <r>
    <s v="U28561"/>
    <x v="25"/>
    <x v="0"/>
    <x v="2"/>
    <x v="1"/>
    <s v="Accountant"/>
    <n v="6123.6"/>
    <n v="3733.02"/>
    <n v="67108.97"/>
    <s v="No"/>
    <s v="None"/>
    <n v="0"/>
    <n v="0"/>
    <n v="0"/>
    <n v="0"/>
    <n v="0"/>
    <n v="575"/>
    <n v="0.91"/>
    <x v="1"/>
    <x v="991"/>
    <n v="0"/>
  </r>
  <r>
    <s v="U28563"/>
    <x v="17"/>
    <x v="0"/>
    <x v="3"/>
    <x v="1"/>
    <s v="Salesperson"/>
    <n v="3912.74"/>
    <n v="1856.93"/>
    <n v="12073.36"/>
    <s v="Yes"/>
    <s v="Business"/>
    <n v="54061.08"/>
    <n v="300"/>
    <n v="585.02"/>
    <n v="12.39"/>
    <n v="0.15"/>
    <n v="602"/>
    <n v="0.26"/>
    <x v="4"/>
    <x v="865"/>
    <n v="0"/>
  </r>
  <r>
    <s v="U28565"/>
    <x v="25"/>
    <x v="0"/>
    <x v="0"/>
    <x v="3"/>
    <s v="Student"/>
    <n v="2479.34"/>
    <n v="1290.29"/>
    <n v="12506.1"/>
    <s v="No"/>
    <s v="None"/>
    <n v="0"/>
    <n v="0"/>
    <n v="0"/>
    <n v="0"/>
    <n v="0"/>
    <n v="813"/>
    <n v="0.42"/>
    <x v="0"/>
    <x v="1133"/>
    <n v="0"/>
  </r>
  <r>
    <s v="U28567"/>
    <x v="21"/>
    <x v="1"/>
    <x v="0"/>
    <x v="1"/>
    <s v="Accountant"/>
    <n v="5024.3999999999996"/>
    <n v="2868.1"/>
    <n v="12292.58"/>
    <s v="No"/>
    <s v="None"/>
    <n v="0"/>
    <n v="0"/>
    <n v="0"/>
    <n v="0"/>
    <n v="0"/>
    <n v="559"/>
    <n v="0.2"/>
    <x v="1"/>
    <x v="739"/>
    <n v="0"/>
  </r>
  <r>
    <s v="U28571"/>
    <x v="17"/>
    <x v="1"/>
    <x v="2"/>
    <x v="0"/>
    <s v="Doctor"/>
    <n v="3091.08"/>
    <n v="971.33"/>
    <n v="8013.62"/>
    <s v="No"/>
    <s v="None"/>
    <n v="0"/>
    <n v="0"/>
    <n v="0"/>
    <n v="0"/>
    <n v="0"/>
    <n v="524"/>
    <n v="0.22"/>
    <x v="0"/>
    <x v="1134"/>
    <n v="0"/>
  </r>
  <r>
    <s v="U28580"/>
    <x v="36"/>
    <x v="0"/>
    <x v="3"/>
    <x v="1"/>
    <s v="Teacher"/>
    <n v="4953.88"/>
    <n v="1649.57"/>
    <n v="32844.26"/>
    <s v="No"/>
    <s v="None"/>
    <n v="0"/>
    <n v="0"/>
    <n v="0"/>
    <n v="0"/>
    <n v="0"/>
    <n v="786"/>
    <n v="0.55000000000000004"/>
    <x v="0"/>
    <x v="1135"/>
    <n v="0"/>
  </r>
  <r>
    <s v="U28581"/>
    <x v="42"/>
    <x v="0"/>
    <x v="3"/>
    <x v="0"/>
    <s v="Unemployed"/>
    <n v="4349.3999999999996"/>
    <n v="2363.15"/>
    <n v="36927.85"/>
    <s v="No"/>
    <s v="None"/>
    <n v="0"/>
    <n v="0"/>
    <n v="0"/>
    <n v="0"/>
    <n v="0"/>
    <n v="766"/>
    <n v="0.71"/>
    <x v="4"/>
    <x v="1099"/>
    <n v="0"/>
  </r>
  <r>
    <s v="U28600"/>
    <x v="11"/>
    <x v="1"/>
    <x v="0"/>
    <x v="1"/>
    <s v="Engineer"/>
    <n v="7275.55"/>
    <n v="2351.81"/>
    <n v="56315.1"/>
    <s v="No"/>
    <s v="None"/>
    <n v="0"/>
    <n v="0"/>
    <n v="0"/>
    <n v="0"/>
    <n v="0"/>
    <n v="848"/>
    <n v="0.65"/>
    <x v="1"/>
    <x v="164"/>
    <n v="0"/>
  </r>
  <r>
    <s v="U28609"/>
    <x v="32"/>
    <x v="1"/>
    <x v="0"/>
    <x v="2"/>
    <s v="Salesperson"/>
    <n v="3952.29"/>
    <n v="3236.44"/>
    <n v="22894.52"/>
    <s v="Yes"/>
    <s v="Education"/>
    <n v="347709.36"/>
    <n v="180"/>
    <n v="5826.17"/>
    <n v="18.899999999999999"/>
    <n v="1.47"/>
    <n v="362"/>
    <n v="0.48"/>
    <x v="3"/>
    <x v="909"/>
    <n v="1"/>
  </r>
  <r>
    <s v="U28636"/>
    <x v="17"/>
    <x v="0"/>
    <x v="3"/>
    <x v="1"/>
    <s v="Doctor"/>
    <n v="6502.41"/>
    <n v="5082.78"/>
    <n v="59115.63"/>
    <s v="Yes"/>
    <s v="Education"/>
    <n v="185461.04"/>
    <n v="240"/>
    <n v="2409.31"/>
    <n v="14.76"/>
    <n v="0.37"/>
    <n v="527"/>
    <n v="0.76"/>
    <x v="0"/>
    <x v="264"/>
    <n v="0"/>
  </r>
  <r>
    <s v="U28644"/>
    <x v="17"/>
    <x v="0"/>
    <x v="0"/>
    <x v="1"/>
    <s v="Salesperson"/>
    <n v="4031.1"/>
    <n v="2410.1999999999998"/>
    <n v="14344.81"/>
    <s v="No"/>
    <s v="None"/>
    <n v="0"/>
    <n v="0"/>
    <n v="0"/>
    <n v="0"/>
    <n v="0"/>
    <n v="402"/>
    <n v="0.3"/>
    <x v="3"/>
    <x v="1010"/>
    <n v="0"/>
  </r>
  <r>
    <s v="U28650"/>
    <x v="31"/>
    <x v="0"/>
    <x v="0"/>
    <x v="2"/>
    <s v="Student"/>
    <n v="6386.63"/>
    <n v="2666.1"/>
    <n v="37023.97"/>
    <s v="No"/>
    <s v="None"/>
    <n v="0"/>
    <n v="0"/>
    <n v="0"/>
    <n v="0"/>
    <n v="0"/>
    <n v="479"/>
    <n v="0.48"/>
    <x v="1"/>
    <x v="109"/>
    <n v="0"/>
  </r>
  <r>
    <s v="U28651"/>
    <x v="11"/>
    <x v="1"/>
    <x v="2"/>
    <x v="3"/>
    <s v="Student"/>
    <n v="3428.46"/>
    <n v="2220.2800000000002"/>
    <n v="35536.86"/>
    <s v="No"/>
    <s v="None"/>
    <n v="0"/>
    <n v="0"/>
    <n v="0"/>
    <n v="0"/>
    <n v="0"/>
    <n v="829"/>
    <n v="0.86"/>
    <x v="1"/>
    <x v="184"/>
    <n v="0"/>
  </r>
  <r>
    <s v="U28653"/>
    <x v="11"/>
    <x v="0"/>
    <x v="0"/>
    <x v="3"/>
    <s v="Salesperson"/>
    <n v="4023.47"/>
    <n v="1612.38"/>
    <n v="23894.71"/>
    <s v="No"/>
    <s v="None"/>
    <n v="0"/>
    <n v="0"/>
    <n v="0"/>
    <n v="0"/>
    <n v="0"/>
    <n v="727"/>
    <n v="0.49"/>
    <x v="3"/>
    <x v="491"/>
    <n v="0"/>
  </r>
  <r>
    <s v="U28667"/>
    <x v="20"/>
    <x v="1"/>
    <x v="2"/>
    <x v="1"/>
    <s v="Engineer"/>
    <n v="1084.99"/>
    <n v="455.3"/>
    <n v="9815.32"/>
    <s v="No"/>
    <s v="None"/>
    <n v="0"/>
    <n v="0"/>
    <n v="0"/>
    <n v="0"/>
    <n v="0"/>
    <n v="382"/>
    <n v="0.75"/>
    <x v="1"/>
    <x v="128"/>
    <n v="0"/>
  </r>
  <r>
    <s v="U28686"/>
    <x v="32"/>
    <x v="0"/>
    <x v="3"/>
    <x v="2"/>
    <s v="Driver"/>
    <n v="5426.57"/>
    <n v="3594.44"/>
    <n v="60472.79"/>
    <s v="Yes"/>
    <s v="Home"/>
    <n v="16664.72"/>
    <n v="60"/>
    <n v="432.29"/>
    <n v="19"/>
    <n v="0.08"/>
    <n v="526"/>
    <n v="0.93"/>
    <x v="4"/>
    <x v="1136"/>
    <n v="0"/>
  </r>
  <r>
    <s v="U28689"/>
    <x v="17"/>
    <x v="0"/>
    <x v="3"/>
    <x v="1"/>
    <s v="Manager"/>
    <n v="3431.2"/>
    <n v="2604.9499999999998"/>
    <n v="11529.89"/>
    <s v="No"/>
    <s v="None"/>
    <n v="0"/>
    <n v="0"/>
    <n v="0"/>
    <n v="0"/>
    <n v="0"/>
    <n v="614"/>
    <n v="0.28000000000000003"/>
    <x v="2"/>
    <x v="425"/>
    <n v="0"/>
  </r>
  <r>
    <s v="U28702"/>
    <x v="46"/>
    <x v="1"/>
    <x v="0"/>
    <x v="1"/>
    <s v="Manager"/>
    <n v="5215.79"/>
    <n v="3628.33"/>
    <n v="30691.84"/>
    <s v="No"/>
    <s v="None"/>
    <n v="0"/>
    <n v="0"/>
    <n v="0"/>
    <n v="0"/>
    <n v="0"/>
    <n v="318"/>
    <n v="0.49"/>
    <x v="3"/>
    <x v="42"/>
    <n v="0"/>
  </r>
  <r>
    <s v="U28707"/>
    <x v="25"/>
    <x v="1"/>
    <x v="2"/>
    <x v="1"/>
    <s v="Manager"/>
    <n v="4935.88"/>
    <n v="2697.39"/>
    <n v="11184.54"/>
    <s v="No"/>
    <s v="None"/>
    <n v="0"/>
    <n v="0"/>
    <n v="0"/>
    <n v="0"/>
    <n v="0"/>
    <n v="701"/>
    <n v="0.19"/>
    <x v="2"/>
    <x v="212"/>
    <n v="0"/>
  </r>
  <r>
    <s v="U28710"/>
    <x v="35"/>
    <x v="1"/>
    <x v="2"/>
    <x v="1"/>
    <s v="Accountant"/>
    <n v="3744.16"/>
    <n v="1933.48"/>
    <n v="21460.9"/>
    <s v="No"/>
    <s v="None"/>
    <n v="0"/>
    <n v="0"/>
    <n v="0"/>
    <n v="0"/>
    <n v="0"/>
    <n v="815"/>
    <n v="0.48"/>
    <x v="3"/>
    <x v="943"/>
    <n v="0"/>
  </r>
  <r>
    <s v="U28723"/>
    <x v="25"/>
    <x v="0"/>
    <x v="0"/>
    <x v="1"/>
    <s v="Unemployed"/>
    <n v="5185.79"/>
    <n v="2066.5700000000002"/>
    <n v="32236.19"/>
    <s v="No"/>
    <s v="None"/>
    <n v="0"/>
    <n v="0"/>
    <n v="0"/>
    <n v="0"/>
    <n v="0"/>
    <n v="569"/>
    <n v="0.52"/>
    <x v="3"/>
    <x v="486"/>
    <n v="0"/>
  </r>
  <r>
    <s v="U28736"/>
    <x v="6"/>
    <x v="2"/>
    <x v="0"/>
    <x v="3"/>
    <s v="Driver"/>
    <n v="5659.25"/>
    <n v="2540.71"/>
    <n v="52648.639999999999"/>
    <s v="Yes"/>
    <s v="Car"/>
    <n v="446385.38"/>
    <n v="300"/>
    <n v="8987.9699999999993"/>
    <n v="24.1"/>
    <n v="1.59"/>
    <n v="766"/>
    <n v="0.78"/>
    <x v="0"/>
    <x v="689"/>
    <n v="1"/>
  </r>
  <r>
    <s v="U28740"/>
    <x v="36"/>
    <x v="1"/>
    <x v="0"/>
    <x v="0"/>
    <s v="Unemployed"/>
    <n v="4108.79"/>
    <n v="2311.27"/>
    <n v="12584.65"/>
    <s v="No"/>
    <s v="None"/>
    <n v="0"/>
    <n v="0"/>
    <n v="0"/>
    <n v="0"/>
    <n v="0"/>
    <n v="745"/>
    <n v="0.26"/>
    <x v="0"/>
    <x v="1125"/>
    <n v="0"/>
  </r>
  <r>
    <s v="U28742"/>
    <x v="24"/>
    <x v="1"/>
    <x v="3"/>
    <x v="0"/>
    <s v="Salesperson"/>
    <n v="500"/>
    <n v="373.12"/>
    <n v="5657.84"/>
    <s v="No"/>
    <s v="None"/>
    <n v="0"/>
    <n v="0"/>
    <n v="0"/>
    <n v="0"/>
    <n v="0"/>
    <n v="449"/>
    <n v="0.94"/>
    <x v="3"/>
    <x v="415"/>
    <n v="0"/>
  </r>
  <r>
    <s v="U28748"/>
    <x v="37"/>
    <x v="1"/>
    <x v="3"/>
    <x v="1"/>
    <s v="Accountant"/>
    <n v="3652.06"/>
    <n v="1426.96"/>
    <n v="32136.92"/>
    <s v="No"/>
    <s v="None"/>
    <n v="0"/>
    <n v="0"/>
    <n v="0"/>
    <n v="0"/>
    <n v="0"/>
    <n v="770"/>
    <n v="0.73"/>
    <x v="0"/>
    <x v="19"/>
    <n v="0"/>
  </r>
  <r>
    <s v="U28757"/>
    <x v="2"/>
    <x v="1"/>
    <x v="3"/>
    <x v="1"/>
    <s v="Engineer"/>
    <n v="5373.74"/>
    <n v="4467.28"/>
    <n v="49612.51"/>
    <s v="No"/>
    <s v="None"/>
    <n v="0"/>
    <n v="0"/>
    <n v="0"/>
    <n v="0"/>
    <n v="0"/>
    <n v="463"/>
    <n v="0.77"/>
    <x v="3"/>
    <x v="273"/>
    <n v="0"/>
  </r>
  <r>
    <s v="U28780"/>
    <x v="32"/>
    <x v="1"/>
    <x v="3"/>
    <x v="1"/>
    <s v="Doctor"/>
    <n v="6091.44"/>
    <n v="4720.6099999999997"/>
    <n v="28835.91"/>
    <s v="No"/>
    <s v="None"/>
    <n v="0"/>
    <n v="0"/>
    <n v="0"/>
    <n v="0"/>
    <n v="0"/>
    <n v="367"/>
    <n v="0.39"/>
    <x v="3"/>
    <x v="842"/>
    <n v="0"/>
  </r>
  <r>
    <s v="U28801"/>
    <x v="15"/>
    <x v="1"/>
    <x v="1"/>
    <x v="2"/>
    <s v="Student"/>
    <n v="2336.67"/>
    <n v="1467.86"/>
    <n v="4530.1000000000004"/>
    <s v="No"/>
    <s v="None"/>
    <n v="0"/>
    <n v="0"/>
    <n v="0"/>
    <n v="0"/>
    <n v="0"/>
    <n v="686"/>
    <n v="0.16"/>
    <x v="2"/>
    <x v="793"/>
    <n v="0"/>
  </r>
  <r>
    <s v="U28806"/>
    <x v="3"/>
    <x v="1"/>
    <x v="3"/>
    <x v="2"/>
    <s v="Driver"/>
    <n v="4482.1000000000004"/>
    <n v="1356.89"/>
    <n v="6518.82"/>
    <s v="No"/>
    <s v="None"/>
    <n v="0"/>
    <n v="0"/>
    <n v="0"/>
    <n v="0"/>
    <n v="0"/>
    <n v="846"/>
    <n v="0.12"/>
    <x v="4"/>
    <x v="1090"/>
    <n v="0"/>
  </r>
  <r>
    <s v="U28813"/>
    <x v="9"/>
    <x v="1"/>
    <x v="3"/>
    <x v="1"/>
    <s v="Driver"/>
    <n v="7779.94"/>
    <n v="2830.79"/>
    <n v="78348.38"/>
    <s v="Yes"/>
    <s v="Home"/>
    <n v="228951.67"/>
    <n v="240"/>
    <n v="5494.66"/>
    <n v="28.7"/>
    <n v="0.71"/>
    <n v="652"/>
    <n v="0.84"/>
    <x v="2"/>
    <x v="381"/>
    <n v="1"/>
  </r>
  <r>
    <s v="U28820"/>
    <x v="24"/>
    <x v="0"/>
    <x v="3"/>
    <x v="1"/>
    <s v="Teacher"/>
    <n v="5090.4799999999996"/>
    <n v="2556.75"/>
    <n v="10169.969999999999"/>
    <s v="No"/>
    <s v="None"/>
    <n v="0"/>
    <n v="0"/>
    <n v="0"/>
    <n v="0"/>
    <n v="0"/>
    <n v="780"/>
    <n v="0.17"/>
    <x v="3"/>
    <x v="1028"/>
    <n v="0"/>
  </r>
  <r>
    <s v="U28823"/>
    <x v="3"/>
    <x v="1"/>
    <x v="2"/>
    <x v="1"/>
    <s v="Salesperson"/>
    <n v="2188.39"/>
    <n v="1013.72"/>
    <n v="18533.13"/>
    <s v="No"/>
    <s v="None"/>
    <n v="0"/>
    <n v="0"/>
    <n v="0"/>
    <n v="0"/>
    <n v="0"/>
    <n v="464"/>
    <n v="0.71"/>
    <x v="0"/>
    <x v="1137"/>
    <n v="0"/>
  </r>
  <r>
    <s v="U28828"/>
    <x v="1"/>
    <x v="1"/>
    <x v="3"/>
    <x v="1"/>
    <s v="Driver"/>
    <n v="5209.7700000000004"/>
    <n v="2554.6799999999998"/>
    <n v="30703.8"/>
    <s v="No"/>
    <s v="None"/>
    <n v="0"/>
    <n v="0"/>
    <n v="0"/>
    <n v="0"/>
    <n v="0"/>
    <n v="785"/>
    <n v="0.49"/>
    <x v="2"/>
    <x v="1138"/>
    <n v="0"/>
  </r>
  <r>
    <s v="U28830"/>
    <x v="0"/>
    <x v="1"/>
    <x v="2"/>
    <x v="1"/>
    <s v="Driver"/>
    <n v="6434.89"/>
    <n v="5660.22"/>
    <n v="40481.03"/>
    <s v="No"/>
    <s v="None"/>
    <n v="0"/>
    <n v="0"/>
    <n v="0"/>
    <n v="0"/>
    <n v="0"/>
    <n v="375"/>
    <n v="0.52"/>
    <x v="0"/>
    <x v="1002"/>
    <n v="0"/>
  </r>
  <r>
    <s v="U28841"/>
    <x v="45"/>
    <x v="1"/>
    <x v="2"/>
    <x v="1"/>
    <s v="Driver"/>
    <n v="5411.58"/>
    <n v="3742.94"/>
    <n v="31066.07"/>
    <s v="Yes"/>
    <s v="Business"/>
    <n v="262283.78000000003"/>
    <n v="300"/>
    <n v="2643.05"/>
    <n v="11.38"/>
    <n v="0.49"/>
    <n v="350"/>
    <n v="0.48"/>
    <x v="0"/>
    <x v="316"/>
    <n v="1"/>
  </r>
  <r>
    <s v="U28845"/>
    <x v="20"/>
    <x v="1"/>
    <x v="2"/>
    <x v="1"/>
    <s v="Driver"/>
    <n v="4029.97"/>
    <n v="2007.25"/>
    <n v="30356.34"/>
    <s v="Yes"/>
    <s v="Car"/>
    <n v="96435.13"/>
    <n v="24"/>
    <n v="4441.9799999999996"/>
    <n v="9.82"/>
    <n v="1.1000000000000001"/>
    <n v="560"/>
    <n v="0.63"/>
    <x v="4"/>
    <x v="466"/>
    <n v="1"/>
  </r>
  <r>
    <s v="U28908"/>
    <x v="31"/>
    <x v="1"/>
    <x v="2"/>
    <x v="1"/>
    <s v="Teacher"/>
    <n v="3204.06"/>
    <n v="1612.7"/>
    <n v="16161.99"/>
    <s v="Yes"/>
    <s v="Home"/>
    <n v="294929.37"/>
    <n v="120"/>
    <n v="2905.39"/>
    <n v="3.42"/>
    <n v="0.91"/>
    <n v="795"/>
    <n v="0.42"/>
    <x v="1"/>
    <x v="264"/>
    <n v="1"/>
  </r>
  <r>
    <s v="U28916"/>
    <x v="27"/>
    <x v="0"/>
    <x v="3"/>
    <x v="1"/>
    <s v="Manager"/>
    <n v="2050.94"/>
    <n v="1427.33"/>
    <n v="18435.91"/>
    <s v="Yes"/>
    <s v="Home"/>
    <n v="98507.41"/>
    <n v="300"/>
    <n v="2346.5"/>
    <n v="28.56"/>
    <n v="1.1399999999999999"/>
    <n v="518"/>
    <n v="0.75"/>
    <x v="4"/>
    <x v="977"/>
    <n v="1"/>
  </r>
  <r>
    <s v="U28919"/>
    <x v="46"/>
    <x v="0"/>
    <x v="4"/>
    <x v="2"/>
    <s v="Accountant"/>
    <n v="3975.52"/>
    <n v="2407.0100000000002"/>
    <n v="14409.22"/>
    <s v="Yes"/>
    <s v="Education"/>
    <n v="5050.6499999999996"/>
    <n v="36"/>
    <n v="163.9"/>
    <n v="10.39"/>
    <n v="0.04"/>
    <n v="371"/>
    <n v="0.3"/>
    <x v="3"/>
    <x v="882"/>
    <n v="0"/>
  </r>
  <r>
    <s v="U28938"/>
    <x v="38"/>
    <x v="1"/>
    <x v="3"/>
    <x v="1"/>
    <s v="Student"/>
    <n v="5451.08"/>
    <n v="2117.5700000000002"/>
    <n v="62378.67"/>
    <s v="Yes"/>
    <s v="Home"/>
    <n v="255681.71"/>
    <n v="300"/>
    <n v="3390.32"/>
    <n v="15.58"/>
    <n v="0.62"/>
    <n v="437"/>
    <n v="0.95"/>
    <x v="2"/>
    <x v="1139"/>
    <n v="1"/>
  </r>
  <r>
    <s v="U28989"/>
    <x v="31"/>
    <x v="0"/>
    <x v="0"/>
    <x v="3"/>
    <s v="Manager"/>
    <n v="4498.09"/>
    <n v="2775.51"/>
    <n v="43617.19"/>
    <s v="No"/>
    <s v="None"/>
    <n v="0"/>
    <n v="0"/>
    <n v="0"/>
    <n v="0"/>
    <n v="0"/>
    <n v="369"/>
    <n v="0.81"/>
    <x v="1"/>
    <x v="362"/>
    <n v="0"/>
  </r>
  <r>
    <s v="U29043"/>
    <x v="46"/>
    <x v="0"/>
    <x v="3"/>
    <x v="1"/>
    <s v="Teacher"/>
    <n v="500"/>
    <n v="220.04"/>
    <n v="4633.95"/>
    <s v="No"/>
    <s v="None"/>
    <n v="0"/>
    <n v="0"/>
    <n v="0"/>
    <n v="0"/>
    <n v="0"/>
    <n v="794"/>
    <n v="0.77"/>
    <x v="3"/>
    <x v="1005"/>
    <n v="0"/>
  </r>
  <r>
    <s v="U29047"/>
    <x v="28"/>
    <x v="1"/>
    <x v="0"/>
    <x v="2"/>
    <s v="Doctor"/>
    <n v="2352.5700000000002"/>
    <n v="2069.21"/>
    <n v="7096.41"/>
    <s v="Yes"/>
    <s v="Business"/>
    <n v="92715.5"/>
    <n v="240"/>
    <n v="1542.39"/>
    <n v="19.55"/>
    <n v="0.66"/>
    <n v="557"/>
    <n v="0.25"/>
    <x v="1"/>
    <x v="48"/>
    <n v="1"/>
  </r>
  <r>
    <s v="U29065"/>
    <x v="19"/>
    <x v="0"/>
    <x v="1"/>
    <x v="1"/>
    <s v="Salesperson"/>
    <n v="6818.51"/>
    <n v="3527.8"/>
    <n v="73042.22"/>
    <s v="Yes"/>
    <s v="Business"/>
    <n v="244658.77"/>
    <n v="240"/>
    <n v="5499.41"/>
    <n v="26.84"/>
    <n v="0.81"/>
    <n v="374"/>
    <n v="0.89"/>
    <x v="3"/>
    <x v="589"/>
    <n v="1"/>
  </r>
  <r>
    <s v="U29067"/>
    <x v="29"/>
    <x v="0"/>
    <x v="0"/>
    <x v="1"/>
    <s v="Manager"/>
    <n v="3910.05"/>
    <n v="2306.2800000000002"/>
    <n v="34614.93"/>
    <s v="No"/>
    <s v="None"/>
    <n v="0"/>
    <n v="0"/>
    <n v="0"/>
    <n v="0"/>
    <n v="0"/>
    <n v="428"/>
    <n v="0.74"/>
    <x v="0"/>
    <x v="134"/>
    <n v="0"/>
  </r>
  <r>
    <s v="U29082"/>
    <x v="48"/>
    <x v="1"/>
    <x v="3"/>
    <x v="1"/>
    <s v="Student"/>
    <n v="3997.08"/>
    <n v="2231.62"/>
    <n v="25024.11"/>
    <s v="Yes"/>
    <s v="Education"/>
    <n v="197549.16"/>
    <n v="120"/>
    <n v="2105.9499999999998"/>
    <n v="5.1100000000000003"/>
    <n v="0.53"/>
    <n v="635"/>
    <n v="0.52"/>
    <x v="2"/>
    <x v="287"/>
    <n v="1"/>
  </r>
  <r>
    <s v="U29090"/>
    <x v="41"/>
    <x v="2"/>
    <x v="2"/>
    <x v="0"/>
    <s v="Salesperson"/>
    <n v="1606.32"/>
    <n v="1225.3800000000001"/>
    <n v="4597.71"/>
    <s v="Yes"/>
    <s v="Education"/>
    <n v="91639.17"/>
    <n v="180"/>
    <n v="1089.82"/>
    <n v="11.83"/>
    <n v="0.68"/>
    <n v="842"/>
    <n v="0.24"/>
    <x v="1"/>
    <x v="664"/>
    <n v="1"/>
  </r>
  <r>
    <s v="U29096"/>
    <x v="26"/>
    <x v="0"/>
    <x v="0"/>
    <x v="2"/>
    <s v="Manager"/>
    <n v="6889.86"/>
    <n v="3153.28"/>
    <n v="36342.720000000001"/>
    <s v="No"/>
    <s v="None"/>
    <n v="0"/>
    <n v="0"/>
    <n v="0"/>
    <n v="0"/>
    <n v="0"/>
    <n v="403"/>
    <n v="0.44"/>
    <x v="0"/>
    <x v="692"/>
    <n v="0"/>
  </r>
  <r>
    <s v="U29117"/>
    <x v="19"/>
    <x v="1"/>
    <x v="3"/>
    <x v="0"/>
    <s v="Accountant"/>
    <n v="2050.23"/>
    <n v="1292.53"/>
    <n v="22586.28"/>
    <s v="Yes"/>
    <s v="Education"/>
    <n v="145438.25"/>
    <n v="180"/>
    <n v="3286.27"/>
    <n v="26.59"/>
    <n v="1.6"/>
    <n v="393"/>
    <n v="0.92"/>
    <x v="3"/>
    <x v="253"/>
    <n v="1"/>
  </r>
  <r>
    <s v="U29136"/>
    <x v="2"/>
    <x v="0"/>
    <x v="2"/>
    <x v="1"/>
    <s v="Unemployed"/>
    <n v="6942.52"/>
    <n v="4536.2"/>
    <n v="82039.649999999994"/>
    <s v="No"/>
    <s v="None"/>
    <n v="0"/>
    <n v="0"/>
    <n v="0"/>
    <n v="0"/>
    <n v="0"/>
    <n v="680"/>
    <n v="0.98"/>
    <x v="2"/>
    <x v="94"/>
    <n v="0"/>
  </r>
  <r>
    <s v="U29150"/>
    <x v="8"/>
    <x v="0"/>
    <x v="3"/>
    <x v="1"/>
    <s v="Engineer"/>
    <n v="3008.4"/>
    <n v="1523.77"/>
    <n v="10708.77"/>
    <s v="No"/>
    <s v="None"/>
    <n v="0"/>
    <n v="0"/>
    <n v="0"/>
    <n v="0"/>
    <n v="0"/>
    <n v="344"/>
    <n v="0.3"/>
    <x v="1"/>
    <x v="460"/>
    <n v="0"/>
  </r>
  <r>
    <s v="U29179"/>
    <x v="30"/>
    <x v="0"/>
    <x v="2"/>
    <x v="1"/>
    <s v="Unemployed"/>
    <n v="3469.98"/>
    <n v="1725.19"/>
    <n v="34854.660000000003"/>
    <s v="No"/>
    <s v="None"/>
    <n v="0"/>
    <n v="0"/>
    <n v="0"/>
    <n v="0"/>
    <n v="0"/>
    <n v="844"/>
    <n v="0.84"/>
    <x v="0"/>
    <x v="508"/>
    <n v="0"/>
  </r>
  <r>
    <s v="U29181"/>
    <x v="13"/>
    <x v="1"/>
    <x v="2"/>
    <x v="1"/>
    <s v="Manager"/>
    <n v="5006.6099999999997"/>
    <n v="3327.78"/>
    <n v="19677.7"/>
    <s v="No"/>
    <s v="None"/>
    <n v="0"/>
    <n v="0"/>
    <n v="0"/>
    <n v="0"/>
    <n v="0"/>
    <n v="543"/>
    <n v="0.33"/>
    <x v="4"/>
    <x v="53"/>
    <n v="0"/>
  </r>
  <r>
    <s v="U29186"/>
    <x v="34"/>
    <x v="0"/>
    <x v="4"/>
    <x v="2"/>
    <s v="Unemployed"/>
    <n v="5633.85"/>
    <n v="2073.36"/>
    <n v="22947.63"/>
    <s v="No"/>
    <s v="None"/>
    <n v="0"/>
    <n v="0"/>
    <n v="0"/>
    <n v="0"/>
    <n v="0"/>
    <n v="818"/>
    <n v="0.34"/>
    <x v="2"/>
    <x v="21"/>
    <n v="0"/>
  </r>
  <r>
    <s v="U29226"/>
    <x v="42"/>
    <x v="1"/>
    <x v="3"/>
    <x v="3"/>
    <s v="Accountant"/>
    <n v="2319.29"/>
    <n v="1873.54"/>
    <n v="20808.86"/>
    <s v="No"/>
    <s v="None"/>
    <n v="0"/>
    <n v="0"/>
    <n v="0"/>
    <n v="0"/>
    <n v="0"/>
    <n v="709"/>
    <n v="0.75"/>
    <x v="0"/>
    <x v="459"/>
    <n v="0"/>
  </r>
  <r>
    <s v="U29239"/>
    <x v="30"/>
    <x v="1"/>
    <x v="3"/>
    <x v="1"/>
    <s v="Manager"/>
    <n v="6630.01"/>
    <n v="5818.22"/>
    <n v="45342.04"/>
    <s v="No"/>
    <s v="None"/>
    <n v="0"/>
    <n v="0"/>
    <n v="0"/>
    <n v="0"/>
    <n v="0"/>
    <n v="312"/>
    <n v="0.56999999999999995"/>
    <x v="0"/>
    <x v="431"/>
    <n v="0"/>
  </r>
  <r>
    <s v="U29263"/>
    <x v="35"/>
    <x v="0"/>
    <x v="2"/>
    <x v="1"/>
    <s v="Doctor"/>
    <n v="2945.29"/>
    <n v="1791.78"/>
    <n v="10349.59"/>
    <s v="No"/>
    <s v="None"/>
    <n v="0"/>
    <n v="0"/>
    <n v="0"/>
    <n v="0"/>
    <n v="0"/>
    <n v="673"/>
    <n v="0.28999999999999998"/>
    <x v="1"/>
    <x v="826"/>
    <n v="0"/>
  </r>
  <r>
    <s v="U29282"/>
    <x v="33"/>
    <x v="2"/>
    <x v="3"/>
    <x v="1"/>
    <s v="Accountant"/>
    <n v="3131.54"/>
    <n v="1625.59"/>
    <n v="7207.69"/>
    <s v="No"/>
    <s v="None"/>
    <n v="0"/>
    <n v="0"/>
    <n v="0"/>
    <n v="0"/>
    <n v="0"/>
    <n v="572"/>
    <n v="0.19"/>
    <x v="2"/>
    <x v="872"/>
    <n v="0"/>
  </r>
  <r>
    <s v="U29311"/>
    <x v="15"/>
    <x v="1"/>
    <x v="3"/>
    <x v="1"/>
    <s v="Unemployed"/>
    <n v="4310.3599999999997"/>
    <n v="1558"/>
    <n v="26063.040000000001"/>
    <s v="Yes"/>
    <s v="Car"/>
    <n v="259044.02"/>
    <n v="360"/>
    <n v="1920.67"/>
    <n v="8.11"/>
    <n v="0.45"/>
    <n v="372"/>
    <n v="0.5"/>
    <x v="3"/>
    <x v="79"/>
    <n v="1"/>
  </r>
  <r>
    <s v="U29312"/>
    <x v="4"/>
    <x v="1"/>
    <x v="0"/>
    <x v="1"/>
    <s v="Teacher"/>
    <n v="5414.15"/>
    <n v="4555.3"/>
    <n v="30672.87"/>
    <s v="No"/>
    <s v="None"/>
    <n v="0"/>
    <n v="0"/>
    <n v="0"/>
    <n v="0"/>
    <n v="0"/>
    <n v="425"/>
    <n v="0.47"/>
    <x v="0"/>
    <x v="838"/>
    <n v="0"/>
  </r>
  <r>
    <s v="U29320"/>
    <x v="51"/>
    <x v="0"/>
    <x v="3"/>
    <x v="1"/>
    <s v="Doctor"/>
    <n v="7596.9"/>
    <n v="2323.4699999999998"/>
    <n v="85699.64"/>
    <s v="No"/>
    <s v="None"/>
    <n v="0"/>
    <n v="0"/>
    <n v="0"/>
    <n v="0"/>
    <n v="0"/>
    <n v="452"/>
    <n v="0.94"/>
    <x v="2"/>
    <x v="700"/>
    <n v="0"/>
  </r>
  <r>
    <s v="U29371"/>
    <x v="8"/>
    <x v="0"/>
    <x v="2"/>
    <x v="1"/>
    <s v="Student"/>
    <n v="4698.38"/>
    <n v="2448.5"/>
    <n v="25951.45"/>
    <s v="Yes"/>
    <s v="Car"/>
    <n v="490841.61"/>
    <n v="240"/>
    <n v="4828.1400000000003"/>
    <n v="10.28"/>
    <n v="1.03"/>
    <n v="507"/>
    <n v="0.46"/>
    <x v="1"/>
    <x v="162"/>
    <n v="1"/>
  </r>
  <r>
    <s v="U29373"/>
    <x v="50"/>
    <x v="0"/>
    <x v="2"/>
    <x v="1"/>
    <s v="Doctor"/>
    <n v="5760.9"/>
    <n v="2124.5100000000002"/>
    <n v="14225.05"/>
    <s v="No"/>
    <s v="None"/>
    <n v="0"/>
    <n v="0"/>
    <n v="0"/>
    <n v="0"/>
    <n v="0"/>
    <n v="611"/>
    <n v="0.21"/>
    <x v="0"/>
    <x v="190"/>
    <n v="0"/>
  </r>
  <r>
    <s v="U29378"/>
    <x v="3"/>
    <x v="0"/>
    <x v="1"/>
    <x v="2"/>
    <s v="Accountant"/>
    <n v="6176.89"/>
    <n v="4979.3599999999997"/>
    <n v="53137.91"/>
    <s v="Yes"/>
    <s v="Education"/>
    <n v="274806.93"/>
    <n v="240"/>
    <n v="3133.82"/>
    <n v="12.56"/>
    <n v="0.51"/>
    <n v="399"/>
    <n v="0.72"/>
    <x v="3"/>
    <x v="1140"/>
    <n v="1"/>
  </r>
  <r>
    <s v="U29379"/>
    <x v="19"/>
    <x v="0"/>
    <x v="3"/>
    <x v="1"/>
    <s v="Driver"/>
    <n v="2836.2"/>
    <n v="1992.36"/>
    <n v="27189.54"/>
    <s v="No"/>
    <s v="None"/>
    <n v="0"/>
    <n v="0"/>
    <n v="0"/>
    <n v="0"/>
    <n v="0"/>
    <n v="337"/>
    <n v="0.8"/>
    <x v="3"/>
    <x v="989"/>
    <n v="0"/>
  </r>
  <r>
    <s v="U29382"/>
    <x v="32"/>
    <x v="1"/>
    <x v="4"/>
    <x v="2"/>
    <s v="Accountant"/>
    <n v="4706.66"/>
    <n v="1741.63"/>
    <n v="53125.95"/>
    <s v="No"/>
    <s v="None"/>
    <n v="0"/>
    <n v="0"/>
    <n v="0"/>
    <n v="0"/>
    <n v="0"/>
    <n v="438"/>
    <n v="0.94"/>
    <x v="0"/>
    <x v="715"/>
    <n v="0"/>
  </r>
  <r>
    <s v="U29399"/>
    <x v="31"/>
    <x v="1"/>
    <x v="3"/>
    <x v="1"/>
    <s v="Accountant"/>
    <n v="5103.84"/>
    <n v="4290.0600000000004"/>
    <n v="57427.97"/>
    <s v="Yes"/>
    <s v="Business"/>
    <n v="169349.77"/>
    <n v="240"/>
    <n v="2561.58"/>
    <n v="17.600000000000001"/>
    <n v="0.5"/>
    <n v="815"/>
    <n v="0.94"/>
    <x v="0"/>
    <x v="176"/>
    <n v="1"/>
  </r>
  <r>
    <s v="U29405"/>
    <x v="37"/>
    <x v="1"/>
    <x v="3"/>
    <x v="2"/>
    <s v="Unemployed"/>
    <n v="4086.58"/>
    <n v="3557.06"/>
    <n v="14576.88"/>
    <s v="Yes"/>
    <s v="Car"/>
    <n v="249131.85"/>
    <n v="180"/>
    <n v="2274.23"/>
    <n v="7.25"/>
    <n v="0.56000000000000005"/>
    <n v="848"/>
    <n v="0.3"/>
    <x v="4"/>
    <x v="1141"/>
    <n v="1"/>
  </r>
  <r>
    <s v="U29414"/>
    <x v="9"/>
    <x v="0"/>
    <x v="3"/>
    <x v="1"/>
    <s v="Driver"/>
    <n v="995.94"/>
    <n v="754.49"/>
    <n v="7236.06"/>
    <s v="No"/>
    <s v="None"/>
    <n v="0"/>
    <n v="0"/>
    <n v="0"/>
    <n v="0"/>
    <n v="0"/>
    <n v="847"/>
    <n v="0.61"/>
    <x v="2"/>
    <x v="94"/>
    <n v="0"/>
  </r>
  <r>
    <s v="U29417"/>
    <x v="48"/>
    <x v="0"/>
    <x v="3"/>
    <x v="2"/>
    <s v="Unemployed"/>
    <n v="4760.95"/>
    <n v="2551.04"/>
    <n v="7283.8"/>
    <s v="No"/>
    <s v="None"/>
    <n v="0"/>
    <n v="0"/>
    <n v="0"/>
    <n v="0"/>
    <n v="0"/>
    <n v="443"/>
    <n v="0.13"/>
    <x v="4"/>
    <x v="442"/>
    <n v="0"/>
  </r>
  <r>
    <s v="U29435"/>
    <x v="32"/>
    <x v="1"/>
    <x v="2"/>
    <x v="0"/>
    <s v="Salesperson"/>
    <n v="1856.12"/>
    <n v="1396.45"/>
    <n v="2698.29"/>
    <s v="No"/>
    <s v="None"/>
    <n v="0"/>
    <n v="0"/>
    <n v="0"/>
    <n v="0"/>
    <n v="0"/>
    <n v="750"/>
    <n v="0.12"/>
    <x v="3"/>
    <x v="1142"/>
    <n v="0"/>
  </r>
  <r>
    <s v="U29452"/>
    <x v="49"/>
    <x v="1"/>
    <x v="3"/>
    <x v="1"/>
    <s v="Engineer"/>
    <n v="5606.86"/>
    <n v="4460.3"/>
    <n v="51907.94"/>
    <s v="No"/>
    <s v="None"/>
    <n v="0"/>
    <n v="0"/>
    <n v="0"/>
    <n v="0"/>
    <n v="0"/>
    <n v="381"/>
    <n v="0.77"/>
    <x v="0"/>
    <x v="94"/>
    <n v="0"/>
  </r>
  <r>
    <s v="U29458"/>
    <x v="50"/>
    <x v="1"/>
    <x v="3"/>
    <x v="2"/>
    <s v="Engineer"/>
    <n v="4352.08"/>
    <n v="3740.67"/>
    <n v="33014.68"/>
    <s v="No"/>
    <s v="None"/>
    <n v="0"/>
    <n v="0"/>
    <n v="0"/>
    <n v="0"/>
    <n v="0"/>
    <n v="842"/>
    <n v="0.63"/>
    <x v="0"/>
    <x v="637"/>
    <n v="0"/>
  </r>
  <r>
    <s v="U29463"/>
    <x v="47"/>
    <x v="1"/>
    <x v="3"/>
    <x v="1"/>
    <s v="Student"/>
    <n v="6588.17"/>
    <n v="3382.98"/>
    <n v="48702.01"/>
    <s v="No"/>
    <s v="None"/>
    <n v="0"/>
    <n v="0"/>
    <n v="0"/>
    <n v="0"/>
    <n v="0"/>
    <n v="373"/>
    <n v="0.62"/>
    <x v="3"/>
    <x v="30"/>
    <n v="0"/>
  </r>
  <r>
    <s v="U29512"/>
    <x v="22"/>
    <x v="1"/>
    <x v="3"/>
    <x v="2"/>
    <s v="Unemployed"/>
    <n v="3044.62"/>
    <n v="1355.51"/>
    <n v="20124.11"/>
    <s v="No"/>
    <s v="None"/>
    <n v="0"/>
    <n v="0"/>
    <n v="0"/>
    <n v="0"/>
    <n v="0"/>
    <n v="841"/>
    <n v="0.55000000000000004"/>
    <x v="2"/>
    <x v="594"/>
    <n v="0"/>
  </r>
  <r>
    <s v="U29513"/>
    <x v="35"/>
    <x v="1"/>
    <x v="2"/>
    <x v="2"/>
    <s v="Engineer"/>
    <n v="2862.21"/>
    <n v="2123.27"/>
    <n v="3451.72"/>
    <s v="Yes"/>
    <s v="Home"/>
    <n v="321644.63"/>
    <n v="240"/>
    <n v="2478.29"/>
    <n v="6.92"/>
    <n v="0.87"/>
    <n v="550"/>
    <n v="0.1"/>
    <x v="0"/>
    <x v="997"/>
    <n v="1"/>
  </r>
  <r>
    <s v="U29516"/>
    <x v="45"/>
    <x v="1"/>
    <x v="3"/>
    <x v="1"/>
    <s v="Accountant"/>
    <n v="4313.96"/>
    <n v="2932.27"/>
    <n v="39916.1"/>
    <s v="No"/>
    <s v="None"/>
    <n v="0"/>
    <n v="0"/>
    <n v="0"/>
    <n v="0"/>
    <n v="0"/>
    <n v="389"/>
    <n v="0.77"/>
    <x v="1"/>
    <x v="1143"/>
    <n v="0"/>
  </r>
  <r>
    <s v="U29528"/>
    <x v="29"/>
    <x v="1"/>
    <x v="2"/>
    <x v="1"/>
    <s v="Doctor"/>
    <n v="5966.65"/>
    <n v="4863.3900000000003"/>
    <n v="18715.53"/>
    <s v="No"/>
    <s v="None"/>
    <n v="0"/>
    <n v="0"/>
    <n v="0"/>
    <n v="0"/>
    <n v="0"/>
    <n v="415"/>
    <n v="0.26"/>
    <x v="1"/>
    <x v="409"/>
    <n v="0"/>
  </r>
  <r>
    <s v="U29552"/>
    <x v="47"/>
    <x v="1"/>
    <x v="3"/>
    <x v="1"/>
    <s v="Teacher"/>
    <n v="2287.94"/>
    <n v="2009.2"/>
    <n v="18650.5"/>
    <s v="No"/>
    <s v="None"/>
    <n v="0"/>
    <n v="0"/>
    <n v="0"/>
    <n v="0"/>
    <n v="0"/>
    <n v="587"/>
    <n v="0.68"/>
    <x v="4"/>
    <x v="233"/>
    <n v="0"/>
  </r>
  <r>
    <s v="U29574"/>
    <x v="26"/>
    <x v="0"/>
    <x v="2"/>
    <x v="1"/>
    <s v="Unemployed"/>
    <n v="1944.63"/>
    <n v="1433.7"/>
    <n v="15717.4"/>
    <s v="Yes"/>
    <s v="Car"/>
    <n v="111932.25"/>
    <n v="36"/>
    <n v="3693.74"/>
    <n v="11.55"/>
    <n v="1.9"/>
    <n v="758"/>
    <n v="0.67"/>
    <x v="2"/>
    <x v="1144"/>
    <n v="1"/>
  </r>
  <r>
    <s v="U29579"/>
    <x v="9"/>
    <x v="1"/>
    <x v="3"/>
    <x v="1"/>
    <s v="Manager"/>
    <n v="3572.11"/>
    <n v="2537.65"/>
    <n v="40829.5"/>
    <s v="Yes"/>
    <s v="Car"/>
    <n v="227078.12"/>
    <n v="180"/>
    <n v="2742.87"/>
    <n v="12.12"/>
    <n v="0.77"/>
    <n v="535"/>
    <n v="0.95"/>
    <x v="4"/>
    <x v="490"/>
    <n v="1"/>
  </r>
  <r>
    <s v="U29583"/>
    <x v="38"/>
    <x v="1"/>
    <x v="1"/>
    <x v="2"/>
    <s v="Manager"/>
    <n v="2496.2199999999998"/>
    <n v="1432.67"/>
    <n v="19176.86"/>
    <s v="No"/>
    <s v="None"/>
    <n v="0"/>
    <n v="0"/>
    <n v="0"/>
    <n v="0"/>
    <n v="0"/>
    <n v="728"/>
    <n v="0.64"/>
    <x v="1"/>
    <x v="93"/>
    <n v="0"/>
  </r>
  <r>
    <s v="U29612"/>
    <x v="8"/>
    <x v="1"/>
    <x v="3"/>
    <x v="0"/>
    <s v="Accountant"/>
    <n v="5528.2"/>
    <n v="4600.0600000000004"/>
    <n v="47729.98"/>
    <s v="No"/>
    <s v="None"/>
    <n v="0"/>
    <n v="0"/>
    <n v="0"/>
    <n v="0"/>
    <n v="0"/>
    <n v="707"/>
    <n v="0.72"/>
    <x v="0"/>
    <x v="1145"/>
    <n v="0"/>
  </r>
  <r>
    <s v="U29630"/>
    <x v="36"/>
    <x v="1"/>
    <x v="1"/>
    <x v="1"/>
    <s v="Unemployed"/>
    <n v="6020.19"/>
    <n v="3566.32"/>
    <n v="60999.64"/>
    <s v="No"/>
    <s v="None"/>
    <n v="0"/>
    <n v="0"/>
    <n v="0"/>
    <n v="0"/>
    <n v="0"/>
    <n v="793"/>
    <n v="0.84"/>
    <x v="3"/>
    <x v="672"/>
    <n v="0"/>
  </r>
  <r>
    <s v="U29642"/>
    <x v="51"/>
    <x v="0"/>
    <x v="2"/>
    <x v="1"/>
    <s v="Unemployed"/>
    <n v="4845.0200000000004"/>
    <n v="3413"/>
    <n v="22071.23"/>
    <s v="No"/>
    <s v="None"/>
    <n v="0"/>
    <n v="0"/>
    <n v="0"/>
    <n v="0"/>
    <n v="0"/>
    <n v="445"/>
    <n v="0.38"/>
    <x v="1"/>
    <x v="699"/>
    <n v="0"/>
  </r>
  <r>
    <s v="U29663"/>
    <x v="4"/>
    <x v="0"/>
    <x v="0"/>
    <x v="1"/>
    <s v="Student"/>
    <n v="1880.86"/>
    <n v="572.38"/>
    <n v="5541.07"/>
    <s v="No"/>
    <s v="None"/>
    <n v="0"/>
    <n v="0"/>
    <n v="0"/>
    <n v="0"/>
    <n v="0"/>
    <n v="565"/>
    <n v="0.25"/>
    <x v="0"/>
    <x v="123"/>
    <n v="0"/>
  </r>
  <r>
    <s v="U29681"/>
    <x v="8"/>
    <x v="0"/>
    <x v="2"/>
    <x v="1"/>
    <s v="Salesperson"/>
    <n v="5531.68"/>
    <n v="4935.5"/>
    <n v="25037.51"/>
    <s v="No"/>
    <s v="None"/>
    <n v="0"/>
    <n v="0"/>
    <n v="0"/>
    <n v="0"/>
    <n v="0"/>
    <n v="361"/>
    <n v="0.38"/>
    <x v="0"/>
    <x v="994"/>
    <n v="0"/>
  </r>
  <r>
    <s v="U29686"/>
    <x v="19"/>
    <x v="1"/>
    <x v="2"/>
    <x v="1"/>
    <s v="Accountant"/>
    <n v="961.45"/>
    <n v="491.95"/>
    <n v="6599.22"/>
    <s v="No"/>
    <s v="None"/>
    <n v="0"/>
    <n v="0"/>
    <n v="0"/>
    <n v="0"/>
    <n v="0"/>
    <n v="662"/>
    <n v="0.56999999999999995"/>
    <x v="2"/>
    <x v="474"/>
    <n v="0"/>
  </r>
  <r>
    <s v="U29687"/>
    <x v="49"/>
    <x v="1"/>
    <x v="0"/>
    <x v="1"/>
    <s v="Teacher"/>
    <n v="5389.67"/>
    <n v="2766.35"/>
    <n v="63413.27"/>
    <s v="Yes"/>
    <s v="Education"/>
    <n v="286864.67"/>
    <n v="36"/>
    <n v="8393.0400000000009"/>
    <n v="3.4"/>
    <n v="1.56"/>
    <n v="505"/>
    <n v="0.98"/>
    <x v="1"/>
    <x v="364"/>
    <n v="1"/>
  </r>
  <r>
    <s v="U29709"/>
    <x v="44"/>
    <x v="1"/>
    <x v="0"/>
    <x v="1"/>
    <s v="Engineer"/>
    <n v="4026.44"/>
    <n v="1832.92"/>
    <n v="38408.9"/>
    <s v="No"/>
    <s v="None"/>
    <n v="0"/>
    <n v="0"/>
    <n v="0"/>
    <n v="0"/>
    <n v="0"/>
    <n v="589"/>
    <n v="0.79"/>
    <x v="0"/>
    <x v="1146"/>
    <n v="0"/>
  </r>
  <r>
    <s v="U29716"/>
    <x v="10"/>
    <x v="0"/>
    <x v="3"/>
    <x v="0"/>
    <s v="Driver"/>
    <n v="3090.66"/>
    <n v="2243.96"/>
    <n v="23139.48"/>
    <s v="No"/>
    <s v="None"/>
    <n v="0"/>
    <n v="0"/>
    <n v="0"/>
    <n v="0"/>
    <n v="0"/>
    <n v="423"/>
    <n v="0.62"/>
    <x v="2"/>
    <x v="1147"/>
    <n v="0"/>
  </r>
  <r>
    <s v="U29720"/>
    <x v="31"/>
    <x v="2"/>
    <x v="0"/>
    <x v="0"/>
    <s v="Salesperson"/>
    <n v="5653.08"/>
    <n v="4919.9399999999996"/>
    <n v="14771.37"/>
    <s v="No"/>
    <s v="None"/>
    <n v="0"/>
    <n v="0"/>
    <n v="0"/>
    <n v="0"/>
    <n v="0"/>
    <n v="664"/>
    <n v="0.22"/>
    <x v="3"/>
    <x v="610"/>
    <n v="0"/>
  </r>
  <r>
    <s v="U29731"/>
    <x v="20"/>
    <x v="1"/>
    <x v="2"/>
    <x v="1"/>
    <s v="Accountant"/>
    <n v="3326.76"/>
    <n v="2862.88"/>
    <n v="14213.2"/>
    <s v="No"/>
    <s v="None"/>
    <n v="0"/>
    <n v="0"/>
    <n v="0"/>
    <n v="0"/>
    <n v="0"/>
    <n v="658"/>
    <n v="0.36"/>
    <x v="3"/>
    <x v="552"/>
    <n v="0"/>
  </r>
  <r>
    <s v="U29734"/>
    <x v="48"/>
    <x v="1"/>
    <x v="3"/>
    <x v="0"/>
    <s v="Accountant"/>
    <n v="3091.65"/>
    <n v="1924.29"/>
    <n v="20485.75"/>
    <s v="Yes"/>
    <s v="Business"/>
    <n v="168777.2"/>
    <n v="120"/>
    <n v="2085.38"/>
    <n v="8.42"/>
    <n v="0.67"/>
    <n v="648"/>
    <n v="0.55000000000000004"/>
    <x v="2"/>
    <x v="506"/>
    <n v="1"/>
  </r>
  <r>
    <s v="U29743"/>
    <x v="26"/>
    <x v="0"/>
    <x v="3"/>
    <x v="1"/>
    <s v="Salesperson"/>
    <n v="3885.28"/>
    <n v="1874.86"/>
    <n v="30174.65"/>
    <s v="No"/>
    <s v="None"/>
    <n v="0"/>
    <n v="0"/>
    <n v="0"/>
    <n v="0"/>
    <n v="0"/>
    <n v="549"/>
    <n v="0.65"/>
    <x v="4"/>
    <x v="338"/>
    <n v="0"/>
  </r>
  <r>
    <s v="U29753"/>
    <x v="15"/>
    <x v="0"/>
    <x v="3"/>
    <x v="1"/>
    <s v="Manager"/>
    <n v="8264.89"/>
    <n v="5008.6099999999997"/>
    <n v="40838.32"/>
    <s v="No"/>
    <s v="None"/>
    <n v="0"/>
    <n v="0"/>
    <n v="0"/>
    <n v="0"/>
    <n v="0"/>
    <n v="820"/>
    <n v="0.41"/>
    <x v="0"/>
    <x v="1148"/>
    <n v="0"/>
  </r>
  <r>
    <s v="U29760"/>
    <x v="24"/>
    <x v="0"/>
    <x v="3"/>
    <x v="2"/>
    <s v="Salesperson"/>
    <n v="1877.94"/>
    <n v="1622.25"/>
    <n v="16813.36"/>
    <s v="Yes"/>
    <s v="Business"/>
    <n v="48987.66"/>
    <n v="360"/>
    <n v="226.87"/>
    <n v="3.75"/>
    <n v="0.12"/>
    <n v="348"/>
    <n v="0.75"/>
    <x v="1"/>
    <x v="1149"/>
    <n v="0"/>
  </r>
  <r>
    <s v="U29764"/>
    <x v="4"/>
    <x v="1"/>
    <x v="2"/>
    <x v="1"/>
    <s v="Student"/>
    <n v="2083.3200000000002"/>
    <n v="1734.71"/>
    <n v="20846.86"/>
    <s v="Yes"/>
    <s v="Home"/>
    <n v="403759.5"/>
    <n v="240"/>
    <n v="2925.36"/>
    <n v="6.14"/>
    <n v="1.4"/>
    <n v="628"/>
    <n v="0.83"/>
    <x v="0"/>
    <x v="422"/>
    <n v="1"/>
  </r>
  <r>
    <s v="U29766"/>
    <x v="39"/>
    <x v="1"/>
    <x v="2"/>
    <x v="1"/>
    <s v="Unemployed"/>
    <n v="6346.65"/>
    <n v="2089.87"/>
    <n v="61377.65"/>
    <s v="No"/>
    <s v="None"/>
    <n v="0"/>
    <n v="0"/>
    <n v="0"/>
    <n v="0"/>
    <n v="0"/>
    <n v="640"/>
    <n v="0.81"/>
    <x v="3"/>
    <x v="1150"/>
    <n v="0"/>
  </r>
  <r>
    <s v="U29779"/>
    <x v="22"/>
    <x v="1"/>
    <x v="2"/>
    <x v="1"/>
    <s v="Manager"/>
    <n v="6488.69"/>
    <n v="5453.26"/>
    <n v="27746.19"/>
    <s v="Yes"/>
    <s v="Car"/>
    <n v="388505.32"/>
    <n v="120"/>
    <n v="7418.15"/>
    <n v="19.649999999999999"/>
    <n v="1.1399999999999999"/>
    <n v="552"/>
    <n v="0.36"/>
    <x v="0"/>
    <x v="514"/>
    <n v="1"/>
  </r>
  <r>
    <s v="U29787"/>
    <x v="42"/>
    <x v="2"/>
    <x v="4"/>
    <x v="1"/>
    <s v="Accountant"/>
    <n v="5922.3"/>
    <n v="4187.46"/>
    <n v="61812.01"/>
    <s v="Yes"/>
    <s v="Education"/>
    <n v="295116.34000000003"/>
    <n v="300"/>
    <n v="5400.04"/>
    <n v="21.86"/>
    <n v="0.91"/>
    <n v="376"/>
    <n v="0.87"/>
    <x v="3"/>
    <x v="1151"/>
    <n v="1"/>
  </r>
  <r>
    <s v="U29799"/>
    <x v="50"/>
    <x v="1"/>
    <x v="2"/>
    <x v="1"/>
    <s v="Engineer"/>
    <n v="1259.8"/>
    <n v="737.17"/>
    <n v="13213.5"/>
    <s v="Yes"/>
    <s v="Home"/>
    <n v="55138.18"/>
    <n v="24"/>
    <n v="2431.11"/>
    <n v="5.49"/>
    <n v="1.93"/>
    <n v="681"/>
    <n v="0.87"/>
    <x v="2"/>
    <x v="996"/>
    <n v="1"/>
  </r>
  <r>
    <s v="U29807"/>
    <x v="10"/>
    <x v="1"/>
    <x v="3"/>
    <x v="2"/>
    <s v="Salesperson"/>
    <n v="500"/>
    <n v="350.43"/>
    <n v="2520.59"/>
    <s v="No"/>
    <s v="None"/>
    <n v="0"/>
    <n v="0"/>
    <n v="0"/>
    <n v="0"/>
    <n v="0"/>
    <n v="452"/>
    <n v="0.42"/>
    <x v="3"/>
    <x v="850"/>
    <n v="0"/>
  </r>
  <r>
    <s v="U29848"/>
    <x v="28"/>
    <x v="1"/>
    <x v="0"/>
    <x v="2"/>
    <s v="Teacher"/>
    <n v="3389.99"/>
    <n v="1079.19"/>
    <n v="4078.94"/>
    <s v="Yes"/>
    <s v="Education"/>
    <n v="251004.89"/>
    <n v="120"/>
    <n v="3604.09"/>
    <n v="12.02"/>
    <n v="1.06"/>
    <n v="569"/>
    <n v="0.1"/>
    <x v="3"/>
    <x v="953"/>
    <n v="1"/>
  </r>
  <r>
    <s v="U29853"/>
    <x v="51"/>
    <x v="0"/>
    <x v="0"/>
    <x v="0"/>
    <s v="Driver"/>
    <n v="500"/>
    <n v="179.57"/>
    <n v="5048.7299999999996"/>
    <s v="No"/>
    <s v="None"/>
    <n v="0"/>
    <n v="0"/>
    <n v="0"/>
    <n v="0"/>
    <n v="0"/>
    <n v="485"/>
    <n v="0.84"/>
    <x v="1"/>
    <x v="1059"/>
    <n v="0"/>
  </r>
  <r>
    <s v="U29855"/>
    <x v="45"/>
    <x v="0"/>
    <x v="3"/>
    <x v="1"/>
    <s v="Engineer"/>
    <n v="4198.04"/>
    <n v="3164.36"/>
    <n v="26806.99"/>
    <s v="No"/>
    <s v="None"/>
    <n v="0"/>
    <n v="0"/>
    <n v="0"/>
    <n v="0"/>
    <n v="0"/>
    <n v="387"/>
    <n v="0.53"/>
    <x v="3"/>
    <x v="1062"/>
    <n v="0"/>
  </r>
  <r>
    <s v="U29864"/>
    <x v="5"/>
    <x v="1"/>
    <x v="0"/>
    <x v="1"/>
    <s v="Manager"/>
    <n v="7038.11"/>
    <n v="3645.75"/>
    <n v="26042.7"/>
    <s v="No"/>
    <s v="None"/>
    <n v="0"/>
    <n v="0"/>
    <n v="0"/>
    <n v="0"/>
    <n v="0"/>
    <n v="453"/>
    <n v="0.31"/>
    <x v="0"/>
    <x v="715"/>
    <n v="0"/>
  </r>
  <r>
    <s v="U29931"/>
    <x v="28"/>
    <x v="0"/>
    <x v="3"/>
    <x v="2"/>
    <s v="Doctor"/>
    <n v="1388.55"/>
    <n v="1070.8800000000001"/>
    <n v="5448.96"/>
    <s v="No"/>
    <s v="None"/>
    <n v="0"/>
    <n v="0"/>
    <n v="0"/>
    <n v="0"/>
    <n v="0"/>
    <n v="520"/>
    <n v="0.33"/>
    <x v="3"/>
    <x v="654"/>
    <n v="0"/>
  </r>
  <r>
    <s v="U30014"/>
    <x v="1"/>
    <x v="1"/>
    <x v="3"/>
    <x v="2"/>
    <s v="Driver"/>
    <n v="7897.82"/>
    <n v="3751.98"/>
    <n v="40364.959999999999"/>
    <s v="No"/>
    <s v="None"/>
    <n v="0"/>
    <n v="0"/>
    <n v="0"/>
    <n v="0"/>
    <n v="0"/>
    <n v="792"/>
    <n v="0.43"/>
    <x v="1"/>
    <x v="725"/>
    <n v="0"/>
  </r>
  <r>
    <s v="U30017"/>
    <x v="21"/>
    <x v="1"/>
    <x v="2"/>
    <x v="1"/>
    <s v="Unemployed"/>
    <n v="4834.82"/>
    <n v="3142.89"/>
    <n v="15167.66"/>
    <s v="No"/>
    <s v="None"/>
    <n v="0"/>
    <n v="0"/>
    <n v="0"/>
    <n v="0"/>
    <n v="0"/>
    <n v="317"/>
    <n v="0.26"/>
    <x v="3"/>
    <x v="250"/>
    <n v="0"/>
  </r>
  <r>
    <s v="U30075"/>
    <x v="15"/>
    <x v="1"/>
    <x v="3"/>
    <x v="0"/>
    <s v="Salesperson"/>
    <n v="4764.28"/>
    <n v="1479.18"/>
    <n v="47953.61"/>
    <s v="Yes"/>
    <s v="Home"/>
    <n v="97985.95"/>
    <n v="120"/>
    <n v="1146.3"/>
    <n v="7.17"/>
    <n v="0.24"/>
    <n v="438"/>
    <n v="0.84"/>
    <x v="4"/>
    <x v="1152"/>
    <n v="0"/>
  </r>
  <r>
    <s v="U30089"/>
    <x v="42"/>
    <x v="0"/>
    <x v="3"/>
    <x v="3"/>
    <s v="Driver"/>
    <n v="6744.02"/>
    <n v="4806.4799999999996"/>
    <n v="24380.71"/>
    <s v="Yes"/>
    <s v="Education"/>
    <n v="18360.89"/>
    <n v="12"/>
    <n v="1739.4"/>
    <n v="24.36"/>
    <n v="0.26"/>
    <n v="430"/>
    <n v="0.3"/>
    <x v="2"/>
    <x v="1153"/>
    <n v="0"/>
  </r>
  <r>
    <s v="U30097"/>
    <x v="9"/>
    <x v="0"/>
    <x v="0"/>
    <x v="1"/>
    <s v="Unemployed"/>
    <n v="6108.63"/>
    <n v="1833.99"/>
    <n v="32349.93"/>
    <s v="No"/>
    <s v="None"/>
    <n v="0"/>
    <n v="0"/>
    <n v="0"/>
    <n v="0"/>
    <n v="0"/>
    <n v="551"/>
    <n v="0.44"/>
    <x v="1"/>
    <x v="1074"/>
    <n v="0"/>
  </r>
  <r>
    <s v="U30105"/>
    <x v="38"/>
    <x v="1"/>
    <x v="3"/>
    <x v="1"/>
    <s v="Engineer"/>
    <n v="4891.3"/>
    <n v="1529.81"/>
    <n v="23011.53"/>
    <s v="Yes"/>
    <s v="Home"/>
    <n v="467510.41"/>
    <n v="360"/>
    <n v="7693.02"/>
    <n v="19.690000000000001"/>
    <n v="1.57"/>
    <n v="474"/>
    <n v="0.39"/>
    <x v="3"/>
    <x v="1154"/>
    <n v="1"/>
  </r>
  <r>
    <s v="U30106"/>
    <x v="35"/>
    <x v="2"/>
    <x v="0"/>
    <x v="1"/>
    <s v="Engineer"/>
    <n v="2934.9"/>
    <n v="2353.6799999999998"/>
    <n v="18009.63"/>
    <s v="No"/>
    <s v="None"/>
    <n v="0"/>
    <n v="0"/>
    <n v="0"/>
    <n v="0"/>
    <n v="0"/>
    <n v="429"/>
    <n v="0.51"/>
    <x v="3"/>
    <x v="235"/>
    <n v="0"/>
  </r>
  <r>
    <s v="U30113"/>
    <x v="44"/>
    <x v="1"/>
    <x v="2"/>
    <x v="1"/>
    <s v="Engineer"/>
    <n v="4366.4399999999996"/>
    <n v="1746.32"/>
    <n v="40992.269999999997"/>
    <s v="No"/>
    <s v="None"/>
    <n v="0"/>
    <n v="0"/>
    <n v="0"/>
    <n v="0"/>
    <n v="0"/>
    <n v="831"/>
    <n v="0.78"/>
    <x v="2"/>
    <x v="1155"/>
    <n v="0"/>
  </r>
  <r>
    <s v="U30118"/>
    <x v="15"/>
    <x v="0"/>
    <x v="3"/>
    <x v="1"/>
    <s v="Unemployed"/>
    <n v="2482.5"/>
    <n v="1638.75"/>
    <n v="13245.93"/>
    <s v="No"/>
    <s v="None"/>
    <n v="0"/>
    <n v="0"/>
    <n v="0"/>
    <n v="0"/>
    <n v="0"/>
    <n v="499"/>
    <n v="0.44"/>
    <x v="0"/>
    <x v="843"/>
    <n v="0"/>
  </r>
  <r>
    <s v="U30136"/>
    <x v="49"/>
    <x v="1"/>
    <x v="0"/>
    <x v="0"/>
    <s v="Teacher"/>
    <n v="5583.52"/>
    <n v="3628.35"/>
    <n v="19334.13"/>
    <s v="No"/>
    <s v="None"/>
    <n v="0"/>
    <n v="0"/>
    <n v="0"/>
    <n v="0"/>
    <n v="0"/>
    <n v="811"/>
    <n v="0.28999999999999998"/>
    <x v="0"/>
    <x v="1156"/>
    <n v="0"/>
  </r>
  <r>
    <s v="U30139"/>
    <x v="38"/>
    <x v="1"/>
    <x v="3"/>
    <x v="1"/>
    <s v="Unemployed"/>
    <n v="899.88"/>
    <n v="610.74"/>
    <n v="9332.66"/>
    <s v="Yes"/>
    <s v="Education"/>
    <n v="56480.81"/>
    <n v="300"/>
    <n v="627.25"/>
    <n v="12.77"/>
    <n v="0.7"/>
    <n v="405"/>
    <n v="0.86"/>
    <x v="0"/>
    <x v="810"/>
    <n v="1"/>
  </r>
  <r>
    <s v="U30143"/>
    <x v="21"/>
    <x v="0"/>
    <x v="1"/>
    <x v="1"/>
    <s v="Accountant"/>
    <n v="4522.4799999999996"/>
    <n v="2593.0500000000002"/>
    <n v="6896.23"/>
    <s v="Yes"/>
    <s v="Education"/>
    <n v="59772.28"/>
    <n v="36"/>
    <n v="2064.7199999999998"/>
    <n v="14.75"/>
    <n v="0.46"/>
    <n v="720"/>
    <n v="0.13"/>
    <x v="0"/>
    <x v="759"/>
    <n v="1"/>
  </r>
  <r>
    <s v="U30151"/>
    <x v="45"/>
    <x v="0"/>
    <x v="3"/>
    <x v="1"/>
    <s v="Student"/>
    <n v="6242.68"/>
    <n v="2453.7800000000002"/>
    <n v="7717.56"/>
    <s v="Yes"/>
    <s v="Education"/>
    <n v="131203.48000000001"/>
    <n v="36"/>
    <n v="4549.5"/>
    <n v="15.02"/>
    <n v="0.73"/>
    <n v="455"/>
    <n v="0.1"/>
    <x v="1"/>
    <x v="587"/>
    <n v="1"/>
  </r>
  <r>
    <s v="U30172"/>
    <x v="31"/>
    <x v="0"/>
    <x v="2"/>
    <x v="1"/>
    <s v="Doctor"/>
    <n v="4236.75"/>
    <n v="3778.41"/>
    <n v="37768.080000000002"/>
    <s v="No"/>
    <s v="None"/>
    <n v="0"/>
    <n v="0"/>
    <n v="0"/>
    <n v="0"/>
    <n v="0"/>
    <n v="512"/>
    <n v="0.74"/>
    <x v="3"/>
    <x v="276"/>
    <n v="0"/>
  </r>
  <r>
    <s v="U30176"/>
    <x v="27"/>
    <x v="1"/>
    <x v="0"/>
    <x v="0"/>
    <s v="Unemployed"/>
    <n v="702.49"/>
    <n v="264.36"/>
    <n v="3429.23"/>
    <s v="No"/>
    <s v="None"/>
    <n v="0"/>
    <n v="0"/>
    <n v="0"/>
    <n v="0"/>
    <n v="0"/>
    <n v="651"/>
    <n v="0.41"/>
    <x v="0"/>
    <x v="847"/>
    <n v="0"/>
  </r>
  <r>
    <s v="U30178"/>
    <x v="41"/>
    <x v="1"/>
    <x v="4"/>
    <x v="2"/>
    <s v="Doctor"/>
    <n v="2179.15"/>
    <n v="1610.51"/>
    <n v="3506.94"/>
    <s v="Yes"/>
    <s v="Car"/>
    <n v="173315.19"/>
    <n v="180"/>
    <n v="3618.05"/>
    <n v="24.38"/>
    <n v="1.66"/>
    <n v="633"/>
    <n v="0.13"/>
    <x v="2"/>
    <x v="1048"/>
    <n v="1"/>
  </r>
  <r>
    <s v="U30192"/>
    <x v="9"/>
    <x v="0"/>
    <x v="3"/>
    <x v="2"/>
    <s v="Doctor"/>
    <n v="3200.16"/>
    <n v="2666.96"/>
    <n v="29916.26"/>
    <s v="Yes"/>
    <s v="Education"/>
    <n v="309715.77"/>
    <n v="300"/>
    <n v="3483.76"/>
    <n v="12.96"/>
    <n v="1.0900000000000001"/>
    <n v="540"/>
    <n v="0.78"/>
    <x v="3"/>
    <x v="721"/>
    <n v="1"/>
  </r>
  <r>
    <s v="U30199"/>
    <x v="38"/>
    <x v="1"/>
    <x v="2"/>
    <x v="3"/>
    <s v="Driver"/>
    <n v="4166.63"/>
    <n v="3123.81"/>
    <n v="44502.36"/>
    <s v="No"/>
    <s v="None"/>
    <n v="0"/>
    <n v="0"/>
    <n v="0"/>
    <n v="0"/>
    <n v="0"/>
    <n v="811"/>
    <n v="0.89"/>
    <x v="4"/>
    <x v="831"/>
    <n v="0"/>
  </r>
  <r>
    <s v="U30232"/>
    <x v="37"/>
    <x v="2"/>
    <x v="3"/>
    <x v="1"/>
    <s v="Salesperson"/>
    <n v="5293.74"/>
    <n v="3369.32"/>
    <n v="24702.54"/>
    <s v="No"/>
    <s v="None"/>
    <n v="0"/>
    <n v="0"/>
    <n v="0"/>
    <n v="0"/>
    <n v="0"/>
    <n v="818"/>
    <n v="0.39"/>
    <x v="2"/>
    <x v="324"/>
    <n v="0"/>
  </r>
  <r>
    <s v="U30254"/>
    <x v="24"/>
    <x v="0"/>
    <x v="3"/>
    <x v="3"/>
    <s v="Engineer"/>
    <n v="6783.63"/>
    <n v="5387.89"/>
    <n v="68171.320000000007"/>
    <s v="No"/>
    <s v="None"/>
    <n v="0"/>
    <n v="0"/>
    <n v="0"/>
    <n v="0"/>
    <n v="0"/>
    <n v="435"/>
    <n v="0.84"/>
    <x v="1"/>
    <x v="568"/>
    <n v="0"/>
  </r>
  <r>
    <s v="U30264"/>
    <x v="43"/>
    <x v="0"/>
    <x v="3"/>
    <x v="2"/>
    <s v="Manager"/>
    <n v="6354.26"/>
    <n v="4878.6899999999996"/>
    <n v="54891.05"/>
    <s v="Yes"/>
    <s v="Car"/>
    <n v="441179.39"/>
    <n v="300"/>
    <n v="3200.25"/>
    <n v="7.29"/>
    <n v="0.5"/>
    <n v="537"/>
    <n v="0.72"/>
    <x v="1"/>
    <x v="3"/>
    <n v="1"/>
  </r>
  <r>
    <s v="U30265"/>
    <x v="12"/>
    <x v="0"/>
    <x v="2"/>
    <x v="1"/>
    <s v="Unemployed"/>
    <n v="2271.87"/>
    <n v="1229.01"/>
    <n v="7850.34"/>
    <s v="No"/>
    <s v="None"/>
    <n v="0"/>
    <n v="0"/>
    <n v="0"/>
    <n v="0"/>
    <n v="0"/>
    <n v="717"/>
    <n v="0.28999999999999998"/>
    <x v="1"/>
    <x v="1025"/>
    <n v="0"/>
  </r>
  <r>
    <s v="U30269"/>
    <x v="36"/>
    <x v="1"/>
    <x v="3"/>
    <x v="1"/>
    <s v="Doctor"/>
    <n v="3868.84"/>
    <n v="1256.71"/>
    <n v="21110.11"/>
    <s v="No"/>
    <s v="None"/>
    <n v="0"/>
    <n v="0"/>
    <n v="0"/>
    <n v="0"/>
    <n v="0"/>
    <n v="768"/>
    <n v="0.45"/>
    <x v="1"/>
    <x v="252"/>
    <n v="0"/>
  </r>
  <r>
    <s v="U30275"/>
    <x v="19"/>
    <x v="1"/>
    <x v="2"/>
    <x v="1"/>
    <s v="Driver"/>
    <n v="3831.39"/>
    <n v="3330.71"/>
    <n v="43249.43"/>
    <s v="No"/>
    <s v="None"/>
    <n v="0"/>
    <n v="0"/>
    <n v="0"/>
    <n v="0"/>
    <n v="0"/>
    <n v="522"/>
    <n v="0.94"/>
    <x v="3"/>
    <x v="1069"/>
    <n v="0"/>
  </r>
  <r>
    <s v="U30277"/>
    <x v="16"/>
    <x v="0"/>
    <x v="3"/>
    <x v="0"/>
    <s v="Engineer"/>
    <n v="2833.99"/>
    <n v="2103.4299999999998"/>
    <n v="21389.5"/>
    <s v="No"/>
    <s v="None"/>
    <n v="0"/>
    <n v="0"/>
    <n v="0"/>
    <n v="0"/>
    <n v="0"/>
    <n v="575"/>
    <n v="0.63"/>
    <x v="2"/>
    <x v="498"/>
    <n v="0"/>
  </r>
  <r>
    <s v="U30278"/>
    <x v="50"/>
    <x v="1"/>
    <x v="3"/>
    <x v="3"/>
    <s v="Salesperson"/>
    <n v="1802.54"/>
    <n v="1056.55"/>
    <n v="11579.05"/>
    <s v="No"/>
    <s v="None"/>
    <n v="0"/>
    <n v="0"/>
    <n v="0"/>
    <n v="0"/>
    <n v="0"/>
    <n v="745"/>
    <n v="0.54"/>
    <x v="2"/>
    <x v="134"/>
    <n v="0"/>
  </r>
  <r>
    <s v="U30306"/>
    <x v="28"/>
    <x v="1"/>
    <x v="1"/>
    <x v="1"/>
    <s v="Engineer"/>
    <n v="6790.08"/>
    <n v="5911.73"/>
    <n v="73269.75"/>
    <s v="No"/>
    <s v="None"/>
    <n v="0"/>
    <n v="0"/>
    <n v="0"/>
    <n v="0"/>
    <n v="0"/>
    <n v="416"/>
    <n v="0.9"/>
    <x v="3"/>
    <x v="526"/>
    <n v="0"/>
  </r>
  <r>
    <s v="U30328"/>
    <x v="27"/>
    <x v="1"/>
    <x v="0"/>
    <x v="1"/>
    <s v="Salesperson"/>
    <n v="500"/>
    <n v="153.01"/>
    <n v="1997.79"/>
    <s v="No"/>
    <s v="None"/>
    <n v="0"/>
    <n v="0"/>
    <n v="0"/>
    <n v="0"/>
    <n v="0"/>
    <n v="330"/>
    <n v="0.33"/>
    <x v="2"/>
    <x v="426"/>
    <n v="0"/>
  </r>
  <r>
    <s v="U30332"/>
    <x v="41"/>
    <x v="2"/>
    <x v="0"/>
    <x v="1"/>
    <s v="Salesperson"/>
    <n v="2253.5700000000002"/>
    <n v="2000.08"/>
    <n v="21950.07"/>
    <s v="No"/>
    <s v="None"/>
    <n v="0"/>
    <n v="0"/>
    <n v="0"/>
    <n v="0"/>
    <n v="0"/>
    <n v="692"/>
    <n v="0.81"/>
    <x v="2"/>
    <x v="137"/>
    <n v="0"/>
  </r>
  <r>
    <s v="U30334"/>
    <x v="6"/>
    <x v="0"/>
    <x v="0"/>
    <x v="1"/>
    <s v="Unemployed"/>
    <n v="7176.72"/>
    <n v="5306.74"/>
    <n v="28915.439999999999"/>
    <s v="No"/>
    <s v="None"/>
    <n v="0"/>
    <n v="0"/>
    <n v="0"/>
    <n v="0"/>
    <n v="0"/>
    <n v="550"/>
    <n v="0.34"/>
    <x v="2"/>
    <x v="532"/>
    <n v="0"/>
  </r>
  <r>
    <s v="U30341"/>
    <x v="36"/>
    <x v="0"/>
    <x v="0"/>
    <x v="2"/>
    <s v="Engineer"/>
    <n v="2511.1999999999998"/>
    <n v="2031.69"/>
    <n v="26864.35"/>
    <s v="No"/>
    <s v="None"/>
    <n v="0"/>
    <n v="0"/>
    <n v="0"/>
    <n v="0"/>
    <n v="0"/>
    <n v="414"/>
    <n v="0.89"/>
    <x v="4"/>
    <x v="554"/>
    <n v="0"/>
  </r>
  <r>
    <s v="U30342"/>
    <x v="46"/>
    <x v="0"/>
    <x v="3"/>
    <x v="3"/>
    <s v="Doctor"/>
    <n v="2768.83"/>
    <n v="1169.8399999999999"/>
    <n v="8440.16"/>
    <s v="No"/>
    <s v="None"/>
    <n v="0"/>
    <n v="0"/>
    <n v="0"/>
    <n v="0"/>
    <n v="0"/>
    <n v="812"/>
    <n v="0.25"/>
    <x v="3"/>
    <x v="220"/>
    <n v="0"/>
  </r>
  <r>
    <s v="U30357"/>
    <x v="46"/>
    <x v="0"/>
    <x v="0"/>
    <x v="3"/>
    <s v="Driver"/>
    <n v="1894.02"/>
    <n v="1614.09"/>
    <n v="9277.16"/>
    <s v="No"/>
    <s v="None"/>
    <n v="0"/>
    <n v="0"/>
    <n v="0"/>
    <n v="0"/>
    <n v="0"/>
    <n v="379"/>
    <n v="0.41"/>
    <x v="1"/>
    <x v="828"/>
    <n v="0"/>
  </r>
  <r>
    <s v="U30360"/>
    <x v="44"/>
    <x v="1"/>
    <x v="4"/>
    <x v="1"/>
    <s v="Driver"/>
    <n v="5626.6"/>
    <n v="3897.82"/>
    <n v="48165.61"/>
    <s v="Yes"/>
    <s v="Business"/>
    <n v="205509.22"/>
    <n v="300"/>
    <n v="3245.35"/>
    <n v="18.77"/>
    <n v="0.57999999999999996"/>
    <n v="399"/>
    <n v="0.71"/>
    <x v="3"/>
    <x v="632"/>
    <n v="1"/>
  </r>
  <r>
    <s v="U30364"/>
    <x v="1"/>
    <x v="0"/>
    <x v="2"/>
    <x v="1"/>
    <s v="Unemployed"/>
    <n v="4989.2700000000004"/>
    <n v="1577.44"/>
    <n v="47717.23"/>
    <s v="No"/>
    <s v="None"/>
    <n v="0"/>
    <n v="0"/>
    <n v="0"/>
    <n v="0"/>
    <n v="0"/>
    <n v="351"/>
    <n v="0.8"/>
    <x v="1"/>
    <x v="1081"/>
    <n v="0"/>
  </r>
  <r>
    <s v="U30365"/>
    <x v="25"/>
    <x v="0"/>
    <x v="2"/>
    <x v="3"/>
    <s v="Student"/>
    <n v="6280.46"/>
    <n v="4827.76"/>
    <n v="73516.67"/>
    <s v="Yes"/>
    <s v="Education"/>
    <n v="106832.12"/>
    <n v="360"/>
    <n v="1126.93"/>
    <n v="12.34"/>
    <n v="0.18"/>
    <n v="575"/>
    <n v="0.98"/>
    <x v="1"/>
    <x v="155"/>
    <n v="0"/>
  </r>
  <r>
    <s v="U30392"/>
    <x v="24"/>
    <x v="0"/>
    <x v="3"/>
    <x v="1"/>
    <s v="Teacher"/>
    <n v="6203.56"/>
    <n v="3462.08"/>
    <n v="12471.1"/>
    <s v="Yes"/>
    <s v="Business"/>
    <n v="27976.18"/>
    <n v="360"/>
    <n v="285.39999999999998"/>
    <n v="11.89"/>
    <n v="0.05"/>
    <n v="706"/>
    <n v="0.17"/>
    <x v="2"/>
    <x v="1157"/>
    <n v="0"/>
  </r>
  <r>
    <s v="U30425"/>
    <x v="47"/>
    <x v="1"/>
    <x v="2"/>
    <x v="1"/>
    <s v="Accountant"/>
    <n v="2957.78"/>
    <n v="2582.15"/>
    <n v="14448.53"/>
    <s v="Yes"/>
    <s v="Home"/>
    <n v="30611.68"/>
    <n v="360"/>
    <n v="280.47000000000003"/>
    <n v="10.52"/>
    <n v="0.09"/>
    <n v="753"/>
    <n v="0.41"/>
    <x v="3"/>
    <x v="1158"/>
    <n v="0"/>
  </r>
  <r>
    <s v="U30446"/>
    <x v="42"/>
    <x v="2"/>
    <x v="3"/>
    <x v="2"/>
    <s v="Doctor"/>
    <n v="2737.49"/>
    <n v="1665.36"/>
    <n v="15731.55"/>
    <s v="No"/>
    <s v="None"/>
    <n v="0"/>
    <n v="0"/>
    <n v="0"/>
    <n v="0"/>
    <n v="0"/>
    <n v="700"/>
    <n v="0.48"/>
    <x v="4"/>
    <x v="95"/>
    <n v="0"/>
  </r>
  <r>
    <s v="U30469"/>
    <x v="6"/>
    <x v="0"/>
    <x v="3"/>
    <x v="1"/>
    <s v="Driver"/>
    <n v="6286.03"/>
    <n v="1994.63"/>
    <n v="18263.41"/>
    <s v="No"/>
    <s v="None"/>
    <n v="0"/>
    <n v="0"/>
    <n v="0"/>
    <n v="0"/>
    <n v="0"/>
    <n v="713"/>
    <n v="0.24"/>
    <x v="1"/>
    <x v="647"/>
    <n v="0"/>
  </r>
  <r>
    <s v="U30483"/>
    <x v="25"/>
    <x v="1"/>
    <x v="3"/>
    <x v="1"/>
    <s v="Engineer"/>
    <n v="4810.37"/>
    <n v="4274.07"/>
    <n v="15913.36"/>
    <s v="No"/>
    <s v="None"/>
    <n v="0"/>
    <n v="0"/>
    <n v="0"/>
    <n v="0"/>
    <n v="0"/>
    <n v="614"/>
    <n v="0.28000000000000003"/>
    <x v="3"/>
    <x v="242"/>
    <n v="0"/>
  </r>
  <r>
    <s v="U30487"/>
    <x v="5"/>
    <x v="1"/>
    <x v="3"/>
    <x v="1"/>
    <s v="Accountant"/>
    <n v="2804.92"/>
    <n v="2332.4499999999998"/>
    <n v="11680.41"/>
    <s v="Yes"/>
    <s v="Business"/>
    <n v="348519.5"/>
    <n v="180"/>
    <n v="4432.57"/>
    <n v="13.1"/>
    <n v="1.58"/>
    <n v="358"/>
    <n v="0.35"/>
    <x v="3"/>
    <x v="420"/>
    <n v="1"/>
  </r>
  <r>
    <s v="U30504"/>
    <x v="42"/>
    <x v="0"/>
    <x v="3"/>
    <x v="1"/>
    <s v="Driver"/>
    <n v="3401.41"/>
    <n v="1692.33"/>
    <n v="20935.55"/>
    <s v="No"/>
    <s v="None"/>
    <n v="0"/>
    <n v="0"/>
    <n v="0"/>
    <n v="0"/>
    <n v="0"/>
    <n v="581"/>
    <n v="0.51"/>
    <x v="4"/>
    <x v="1159"/>
    <n v="0"/>
  </r>
  <r>
    <s v="U30512"/>
    <x v="37"/>
    <x v="1"/>
    <x v="2"/>
    <x v="1"/>
    <s v="Doctor"/>
    <n v="5167.03"/>
    <n v="3303.09"/>
    <n v="12716.79"/>
    <s v="Yes"/>
    <s v="Car"/>
    <n v="95983.39"/>
    <n v="300"/>
    <n v="1733.58"/>
    <n v="21.57"/>
    <n v="0.34"/>
    <n v="833"/>
    <n v="0.21"/>
    <x v="4"/>
    <x v="102"/>
    <n v="0"/>
  </r>
  <r>
    <s v="U30530"/>
    <x v="3"/>
    <x v="0"/>
    <x v="2"/>
    <x v="1"/>
    <s v="Doctor"/>
    <n v="500"/>
    <n v="256.35000000000002"/>
    <n v="2513.88"/>
    <s v="No"/>
    <s v="None"/>
    <n v="0"/>
    <n v="0"/>
    <n v="0"/>
    <n v="0"/>
    <n v="0"/>
    <n v="781"/>
    <n v="0.42"/>
    <x v="1"/>
    <x v="984"/>
    <n v="0"/>
  </r>
  <r>
    <s v="U30626"/>
    <x v="41"/>
    <x v="0"/>
    <x v="3"/>
    <x v="1"/>
    <s v="Driver"/>
    <n v="2989.12"/>
    <n v="2420.77"/>
    <n v="18967.14"/>
    <s v="No"/>
    <s v="None"/>
    <n v="0"/>
    <n v="0"/>
    <n v="0"/>
    <n v="0"/>
    <n v="0"/>
    <n v="651"/>
    <n v="0.53"/>
    <x v="0"/>
    <x v="1067"/>
    <n v="0"/>
  </r>
  <r>
    <s v="U30656"/>
    <x v="16"/>
    <x v="1"/>
    <x v="3"/>
    <x v="1"/>
    <s v="Driver"/>
    <n v="6968.68"/>
    <n v="5553.87"/>
    <n v="65254.26"/>
    <s v="No"/>
    <s v="None"/>
    <n v="0"/>
    <n v="0"/>
    <n v="0"/>
    <n v="0"/>
    <n v="0"/>
    <n v="737"/>
    <n v="0.78"/>
    <x v="4"/>
    <x v="1160"/>
    <n v="0"/>
  </r>
  <r>
    <s v="U30667"/>
    <x v="29"/>
    <x v="1"/>
    <x v="0"/>
    <x v="1"/>
    <s v="Manager"/>
    <n v="3290.98"/>
    <n v="2525.11"/>
    <n v="5152.76"/>
    <s v="Yes"/>
    <s v="Home"/>
    <n v="429999.63"/>
    <n v="300"/>
    <n v="3416.23"/>
    <n v="8.34"/>
    <n v="1.04"/>
    <n v="643"/>
    <n v="0.13"/>
    <x v="1"/>
    <x v="1161"/>
    <n v="1"/>
  </r>
  <r>
    <s v="U30680"/>
    <x v="41"/>
    <x v="1"/>
    <x v="0"/>
    <x v="1"/>
    <s v="Driver"/>
    <n v="5544.79"/>
    <n v="3213.01"/>
    <n v="53400.21"/>
    <s v="No"/>
    <s v="None"/>
    <n v="0"/>
    <n v="0"/>
    <n v="0"/>
    <n v="0"/>
    <n v="0"/>
    <n v="386"/>
    <n v="0.8"/>
    <x v="1"/>
    <x v="916"/>
    <n v="0"/>
  </r>
  <r>
    <s v="U30693"/>
    <x v="25"/>
    <x v="1"/>
    <x v="0"/>
    <x v="0"/>
    <s v="Teacher"/>
    <n v="1680.46"/>
    <n v="1509.4"/>
    <n v="18281.87"/>
    <s v="No"/>
    <s v="None"/>
    <n v="0"/>
    <n v="0"/>
    <n v="0"/>
    <n v="0"/>
    <n v="0"/>
    <n v="724"/>
    <n v="0.91"/>
    <x v="4"/>
    <x v="1162"/>
    <n v="0"/>
  </r>
  <r>
    <s v="U30701"/>
    <x v="7"/>
    <x v="0"/>
    <x v="0"/>
    <x v="1"/>
    <s v="Salesperson"/>
    <n v="3862.27"/>
    <n v="1942.11"/>
    <n v="34957.9"/>
    <s v="No"/>
    <s v="None"/>
    <n v="0"/>
    <n v="0"/>
    <n v="0"/>
    <n v="0"/>
    <n v="0"/>
    <n v="327"/>
    <n v="0.75"/>
    <x v="0"/>
    <x v="24"/>
    <n v="0"/>
  </r>
  <r>
    <s v="U30711"/>
    <x v="24"/>
    <x v="1"/>
    <x v="2"/>
    <x v="3"/>
    <s v="Accountant"/>
    <n v="4961.58"/>
    <n v="3427.42"/>
    <n v="17504.88"/>
    <s v="No"/>
    <s v="None"/>
    <n v="0"/>
    <n v="0"/>
    <n v="0"/>
    <n v="0"/>
    <n v="0"/>
    <n v="827"/>
    <n v="0.28999999999999998"/>
    <x v="0"/>
    <x v="736"/>
    <n v="0"/>
  </r>
  <r>
    <s v="U30726"/>
    <x v="1"/>
    <x v="0"/>
    <x v="2"/>
    <x v="3"/>
    <s v="Accountant"/>
    <n v="5301.56"/>
    <n v="3150.19"/>
    <n v="52548.19"/>
    <s v="No"/>
    <s v="None"/>
    <n v="0"/>
    <n v="0"/>
    <n v="0"/>
    <n v="0"/>
    <n v="0"/>
    <n v="711"/>
    <n v="0.83"/>
    <x v="1"/>
    <x v="1112"/>
    <n v="0"/>
  </r>
  <r>
    <s v="U30727"/>
    <x v="19"/>
    <x v="1"/>
    <x v="4"/>
    <x v="2"/>
    <s v="Manager"/>
    <n v="6751.67"/>
    <n v="2835.83"/>
    <n v="56448.55"/>
    <s v="No"/>
    <s v="None"/>
    <n v="0"/>
    <n v="0"/>
    <n v="0"/>
    <n v="0"/>
    <n v="0"/>
    <n v="710"/>
    <n v="0.7"/>
    <x v="1"/>
    <x v="1102"/>
    <n v="0"/>
  </r>
  <r>
    <s v="U30733"/>
    <x v="43"/>
    <x v="0"/>
    <x v="3"/>
    <x v="0"/>
    <s v="Teacher"/>
    <n v="4597.8100000000004"/>
    <n v="1786.27"/>
    <n v="17945.41"/>
    <s v="No"/>
    <s v="None"/>
    <n v="0"/>
    <n v="0"/>
    <n v="0"/>
    <n v="0"/>
    <n v="0"/>
    <n v="829"/>
    <n v="0.33"/>
    <x v="2"/>
    <x v="691"/>
    <n v="0"/>
  </r>
  <r>
    <s v="U30775"/>
    <x v="8"/>
    <x v="1"/>
    <x v="2"/>
    <x v="1"/>
    <s v="Doctor"/>
    <n v="4492.3500000000004"/>
    <n v="3208.16"/>
    <n v="8887.6"/>
    <s v="No"/>
    <s v="None"/>
    <n v="0"/>
    <n v="0"/>
    <n v="0"/>
    <n v="0"/>
    <n v="0"/>
    <n v="346"/>
    <n v="0.16"/>
    <x v="1"/>
    <x v="573"/>
    <n v="0"/>
  </r>
  <r>
    <s v="U30792"/>
    <x v="25"/>
    <x v="2"/>
    <x v="0"/>
    <x v="3"/>
    <s v="Driver"/>
    <n v="1830.32"/>
    <n v="1144.8699999999999"/>
    <n v="17449.22"/>
    <s v="No"/>
    <s v="None"/>
    <n v="0"/>
    <n v="0"/>
    <n v="0"/>
    <n v="0"/>
    <n v="0"/>
    <n v="681"/>
    <n v="0.79"/>
    <x v="3"/>
    <x v="435"/>
    <n v="0"/>
  </r>
  <r>
    <s v="U30801"/>
    <x v="17"/>
    <x v="0"/>
    <x v="2"/>
    <x v="1"/>
    <s v="Unemployed"/>
    <n v="1483.18"/>
    <n v="891.7"/>
    <n v="9457.5400000000009"/>
    <s v="No"/>
    <s v="None"/>
    <n v="0"/>
    <n v="0"/>
    <n v="0"/>
    <n v="0"/>
    <n v="0"/>
    <n v="742"/>
    <n v="0.53"/>
    <x v="3"/>
    <x v="908"/>
    <n v="0"/>
  </r>
  <r>
    <s v="U30811"/>
    <x v="5"/>
    <x v="1"/>
    <x v="0"/>
    <x v="1"/>
    <s v="Student"/>
    <n v="3696.24"/>
    <n v="3201.25"/>
    <n v="38675.83"/>
    <s v="No"/>
    <s v="None"/>
    <n v="0"/>
    <n v="0"/>
    <n v="0"/>
    <n v="0"/>
    <n v="0"/>
    <n v="516"/>
    <n v="0.87"/>
    <x v="4"/>
    <x v="810"/>
    <n v="0"/>
  </r>
  <r>
    <s v="U30832"/>
    <x v="50"/>
    <x v="1"/>
    <x v="3"/>
    <x v="1"/>
    <s v="Salesperson"/>
    <n v="1279.03"/>
    <n v="757.36"/>
    <n v="3526.02"/>
    <s v="No"/>
    <s v="None"/>
    <n v="0"/>
    <n v="0"/>
    <n v="0"/>
    <n v="0"/>
    <n v="0"/>
    <n v="805"/>
    <n v="0.23"/>
    <x v="0"/>
    <x v="237"/>
    <n v="0"/>
  </r>
  <r>
    <s v="U30858"/>
    <x v="51"/>
    <x v="1"/>
    <x v="2"/>
    <x v="1"/>
    <s v="Driver"/>
    <n v="4185.4399999999996"/>
    <n v="3086.81"/>
    <n v="47944.34"/>
    <s v="No"/>
    <s v="None"/>
    <n v="0"/>
    <n v="0"/>
    <n v="0"/>
    <n v="0"/>
    <n v="0"/>
    <n v="822"/>
    <n v="0.95"/>
    <x v="3"/>
    <x v="698"/>
    <n v="0"/>
  </r>
  <r>
    <s v="U30882"/>
    <x v="41"/>
    <x v="1"/>
    <x v="0"/>
    <x v="3"/>
    <s v="Student"/>
    <n v="4541.96"/>
    <n v="2384.31"/>
    <n v="16754.09"/>
    <s v="Yes"/>
    <s v="Home"/>
    <n v="127755.84"/>
    <n v="300"/>
    <n v="2373.19"/>
    <n v="22.2"/>
    <n v="0.52"/>
    <n v="735"/>
    <n v="0.31"/>
    <x v="0"/>
    <x v="1066"/>
    <n v="1"/>
  </r>
  <r>
    <s v="U30926"/>
    <x v="7"/>
    <x v="0"/>
    <x v="3"/>
    <x v="1"/>
    <s v="Driver"/>
    <n v="4022.04"/>
    <n v="2074.42"/>
    <n v="45649.64"/>
    <s v="No"/>
    <s v="None"/>
    <n v="0"/>
    <n v="0"/>
    <n v="0"/>
    <n v="0"/>
    <n v="0"/>
    <n v="304"/>
    <n v="0.95"/>
    <x v="0"/>
    <x v="475"/>
    <n v="0"/>
  </r>
  <r>
    <s v="U30966"/>
    <x v="40"/>
    <x v="1"/>
    <x v="3"/>
    <x v="2"/>
    <s v="Unemployed"/>
    <n v="2397.0500000000002"/>
    <n v="1956.85"/>
    <n v="11810.25"/>
    <s v="No"/>
    <s v="None"/>
    <n v="0"/>
    <n v="0"/>
    <n v="0"/>
    <n v="0"/>
    <n v="0"/>
    <n v="834"/>
    <n v="0.41"/>
    <x v="1"/>
    <x v="218"/>
    <n v="0"/>
  </r>
  <r>
    <s v="U30970"/>
    <x v="23"/>
    <x v="0"/>
    <x v="1"/>
    <x v="2"/>
    <s v="Unemployed"/>
    <n v="733.41"/>
    <n v="456.18"/>
    <n v="7597.32"/>
    <s v="No"/>
    <s v="None"/>
    <n v="0"/>
    <n v="0"/>
    <n v="0"/>
    <n v="0"/>
    <n v="0"/>
    <n v="344"/>
    <n v="0.86"/>
    <x v="2"/>
    <x v="163"/>
    <n v="0"/>
  </r>
  <r>
    <s v="U30975"/>
    <x v="33"/>
    <x v="1"/>
    <x v="2"/>
    <x v="1"/>
    <s v="Manager"/>
    <n v="5716.68"/>
    <n v="3554.83"/>
    <n v="22970.57"/>
    <s v="Yes"/>
    <s v="Education"/>
    <n v="289908.96999999997"/>
    <n v="120"/>
    <n v="5353.19"/>
    <n v="18.690000000000001"/>
    <n v="0.94"/>
    <n v="715"/>
    <n v="0.33"/>
    <x v="4"/>
    <x v="276"/>
    <n v="1"/>
  </r>
  <r>
    <s v="U30978"/>
    <x v="27"/>
    <x v="0"/>
    <x v="2"/>
    <x v="1"/>
    <s v="Student"/>
    <n v="6801.18"/>
    <n v="3563.98"/>
    <n v="22228.03"/>
    <s v="Yes"/>
    <s v="Home"/>
    <n v="112068.81"/>
    <n v="180"/>
    <n v="2679.82"/>
    <n v="28.26"/>
    <n v="0.39"/>
    <n v="764"/>
    <n v="0.27"/>
    <x v="3"/>
    <x v="950"/>
    <n v="0"/>
  </r>
  <r>
    <s v="U30981"/>
    <x v="7"/>
    <x v="1"/>
    <x v="2"/>
    <x v="1"/>
    <s v="Student"/>
    <n v="5387.48"/>
    <n v="2832.85"/>
    <n v="40988.54"/>
    <s v="No"/>
    <s v="None"/>
    <n v="0"/>
    <n v="0"/>
    <n v="0"/>
    <n v="0"/>
    <n v="0"/>
    <n v="561"/>
    <n v="0.63"/>
    <x v="3"/>
    <x v="184"/>
    <n v="0"/>
  </r>
  <r>
    <s v="U30989"/>
    <x v="9"/>
    <x v="1"/>
    <x v="3"/>
    <x v="0"/>
    <s v="Manager"/>
    <n v="3356.24"/>
    <n v="1700.34"/>
    <n v="28751.09"/>
    <s v="No"/>
    <s v="None"/>
    <n v="0"/>
    <n v="0"/>
    <n v="0"/>
    <n v="0"/>
    <n v="0"/>
    <n v="761"/>
    <n v="0.71"/>
    <x v="4"/>
    <x v="1058"/>
    <n v="0"/>
  </r>
  <r>
    <s v="U30991"/>
    <x v="16"/>
    <x v="1"/>
    <x v="3"/>
    <x v="1"/>
    <s v="Student"/>
    <n v="6837.88"/>
    <n v="3808.11"/>
    <n v="76958.44"/>
    <s v="No"/>
    <s v="None"/>
    <n v="0"/>
    <n v="0"/>
    <n v="0"/>
    <n v="0"/>
    <n v="0"/>
    <n v="468"/>
    <n v="0.94"/>
    <x v="1"/>
    <x v="1163"/>
    <n v="0"/>
  </r>
  <r>
    <s v="U31019"/>
    <x v="10"/>
    <x v="1"/>
    <x v="3"/>
    <x v="0"/>
    <s v="Accountant"/>
    <n v="3309.64"/>
    <n v="2525.27"/>
    <n v="8432.3700000000008"/>
    <s v="No"/>
    <s v="None"/>
    <n v="0"/>
    <n v="0"/>
    <n v="0"/>
    <n v="0"/>
    <n v="0"/>
    <n v="396"/>
    <n v="0.21"/>
    <x v="0"/>
    <x v="330"/>
    <n v="0"/>
  </r>
  <r>
    <s v="U31022"/>
    <x v="46"/>
    <x v="0"/>
    <x v="3"/>
    <x v="1"/>
    <s v="Manager"/>
    <n v="4583.3999999999996"/>
    <n v="2484.71"/>
    <n v="42292.2"/>
    <s v="No"/>
    <s v="None"/>
    <n v="0"/>
    <n v="0"/>
    <n v="0"/>
    <n v="0"/>
    <n v="0"/>
    <n v="507"/>
    <n v="0.77"/>
    <x v="1"/>
    <x v="83"/>
    <n v="0"/>
  </r>
  <r>
    <s v="U31044"/>
    <x v="51"/>
    <x v="0"/>
    <x v="3"/>
    <x v="3"/>
    <s v="Teacher"/>
    <n v="6289.66"/>
    <n v="3439.13"/>
    <n v="21106.73"/>
    <s v="No"/>
    <s v="None"/>
    <n v="0"/>
    <n v="0"/>
    <n v="0"/>
    <n v="0"/>
    <n v="0"/>
    <n v="751"/>
    <n v="0.28000000000000003"/>
    <x v="1"/>
    <x v="637"/>
    <n v="0"/>
  </r>
  <r>
    <s v="U31045"/>
    <x v="3"/>
    <x v="1"/>
    <x v="3"/>
    <x v="3"/>
    <s v="Manager"/>
    <n v="4713.88"/>
    <n v="3738.56"/>
    <n v="12389.2"/>
    <s v="No"/>
    <s v="None"/>
    <n v="0"/>
    <n v="0"/>
    <n v="0"/>
    <n v="0"/>
    <n v="0"/>
    <n v="724"/>
    <n v="0.22"/>
    <x v="1"/>
    <x v="158"/>
    <n v="0"/>
  </r>
  <r>
    <s v="U31055"/>
    <x v="49"/>
    <x v="2"/>
    <x v="0"/>
    <x v="1"/>
    <s v="Student"/>
    <n v="3956.88"/>
    <n v="3466.75"/>
    <n v="36717.58"/>
    <s v="Yes"/>
    <s v="Car"/>
    <n v="224264.91"/>
    <n v="120"/>
    <n v="4666.0600000000004"/>
    <n v="22.2"/>
    <n v="1.18"/>
    <n v="703"/>
    <n v="0.77"/>
    <x v="2"/>
    <x v="870"/>
    <n v="1"/>
  </r>
  <r>
    <s v="U31061"/>
    <x v="34"/>
    <x v="0"/>
    <x v="2"/>
    <x v="1"/>
    <s v="Teacher"/>
    <n v="2735.95"/>
    <n v="2327.2800000000002"/>
    <n v="30526.15"/>
    <s v="Yes"/>
    <s v="Business"/>
    <n v="148131.31"/>
    <n v="300"/>
    <n v="2723.82"/>
    <n v="21.97"/>
    <n v="1"/>
    <n v="734"/>
    <n v="0.93"/>
    <x v="0"/>
    <x v="1164"/>
    <n v="1"/>
  </r>
  <r>
    <s v="U31086"/>
    <x v="16"/>
    <x v="0"/>
    <x v="3"/>
    <x v="1"/>
    <s v="Teacher"/>
    <n v="2538.7199999999998"/>
    <n v="1501.21"/>
    <n v="6214.16"/>
    <s v="No"/>
    <s v="None"/>
    <n v="0"/>
    <n v="0"/>
    <n v="0"/>
    <n v="0"/>
    <n v="0"/>
    <n v="806"/>
    <n v="0.2"/>
    <x v="2"/>
    <x v="25"/>
    <n v="0"/>
  </r>
  <r>
    <s v="U31102"/>
    <x v="38"/>
    <x v="1"/>
    <x v="2"/>
    <x v="2"/>
    <s v="Engineer"/>
    <n v="8170.39"/>
    <n v="6682.01"/>
    <n v="29537.279999999999"/>
    <s v="No"/>
    <s v="None"/>
    <n v="0"/>
    <n v="0"/>
    <n v="0"/>
    <n v="0"/>
    <n v="0"/>
    <n v="602"/>
    <n v="0.3"/>
    <x v="3"/>
    <x v="799"/>
    <n v="0"/>
  </r>
  <r>
    <s v="U31103"/>
    <x v="19"/>
    <x v="1"/>
    <x v="3"/>
    <x v="1"/>
    <s v="Accountant"/>
    <n v="4894.41"/>
    <n v="1971.61"/>
    <n v="20377.63"/>
    <s v="Yes"/>
    <s v="Car"/>
    <n v="391263.21"/>
    <n v="240"/>
    <n v="9528.0499999999993"/>
    <n v="29.13"/>
    <n v="1.95"/>
    <n v="635"/>
    <n v="0.35"/>
    <x v="1"/>
    <x v="96"/>
    <n v="1"/>
  </r>
  <r>
    <s v="U31139"/>
    <x v="16"/>
    <x v="1"/>
    <x v="2"/>
    <x v="2"/>
    <s v="Doctor"/>
    <n v="8540.8700000000008"/>
    <n v="6395.43"/>
    <n v="36299.96"/>
    <s v="No"/>
    <s v="None"/>
    <n v="0"/>
    <n v="0"/>
    <n v="0"/>
    <n v="0"/>
    <n v="0"/>
    <n v="533"/>
    <n v="0.35"/>
    <x v="2"/>
    <x v="549"/>
    <n v="0"/>
  </r>
  <r>
    <s v="U31154"/>
    <x v="3"/>
    <x v="0"/>
    <x v="2"/>
    <x v="3"/>
    <s v="Manager"/>
    <n v="3521.02"/>
    <n v="3084.13"/>
    <n v="35430.07"/>
    <s v="Yes"/>
    <s v="Car"/>
    <n v="373929.85"/>
    <n v="240"/>
    <n v="5157.49"/>
    <n v="15.84"/>
    <n v="1.46"/>
    <n v="330"/>
    <n v="0.84"/>
    <x v="3"/>
    <x v="646"/>
    <n v="1"/>
  </r>
  <r>
    <s v="U31176"/>
    <x v="47"/>
    <x v="1"/>
    <x v="2"/>
    <x v="3"/>
    <s v="Unemployed"/>
    <n v="6767.77"/>
    <n v="5896.25"/>
    <n v="49206.98"/>
    <s v="No"/>
    <s v="None"/>
    <n v="0"/>
    <n v="0"/>
    <n v="0"/>
    <n v="0"/>
    <n v="0"/>
    <n v="804"/>
    <n v="0.61"/>
    <x v="2"/>
    <x v="307"/>
    <n v="0"/>
  </r>
  <r>
    <s v="U31184"/>
    <x v="31"/>
    <x v="0"/>
    <x v="2"/>
    <x v="1"/>
    <s v="Engineer"/>
    <n v="1242.2"/>
    <n v="422.46"/>
    <n v="7500.41"/>
    <s v="No"/>
    <s v="None"/>
    <n v="0"/>
    <n v="0"/>
    <n v="0"/>
    <n v="0"/>
    <n v="0"/>
    <n v="322"/>
    <n v="0.5"/>
    <x v="3"/>
    <x v="853"/>
    <n v="0"/>
  </r>
  <r>
    <s v="U31187"/>
    <x v="38"/>
    <x v="0"/>
    <x v="0"/>
    <x v="1"/>
    <s v="Unemployed"/>
    <n v="2674.27"/>
    <n v="1614.98"/>
    <n v="15024.92"/>
    <s v="Yes"/>
    <s v="Car"/>
    <n v="70336.960000000006"/>
    <n v="120"/>
    <n v="821.03"/>
    <n v="7.12"/>
    <n v="0.31"/>
    <n v="479"/>
    <n v="0.47"/>
    <x v="1"/>
    <x v="1054"/>
    <n v="0"/>
  </r>
  <r>
    <s v="U31204"/>
    <x v="29"/>
    <x v="1"/>
    <x v="2"/>
    <x v="2"/>
    <s v="Teacher"/>
    <n v="6005.75"/>
    <n v="5382.72"/>
    <n v="12793.52"/>
    <s v="No"/>
    <s v="None"/>
    <n v="0"/>
    <n v="0"/>
    <n v="0"/>
    <n v="0"/>
    <n v="0"/>
    <n v="582"/>
    <n v="0.18"/>
    <x v="4"/>
    <x v="1165"/>
    <n v="0"/>
  </r>
  <r>
    <s v="U31208"/>
    <x v="35"/>
    <x v="0"/>
    <x v="3"/>
    <x v="1"/>
    <s v="Engineer"/>
    <n v="9259.2900000000009"/>
    <n v="6937.6"/>
    <n v="75216.09"/>
    <s v="No"/>
    <s v="None"/>
    <n v="0"/>
    <n v="0"/>
    <n v="0"/>
    <n v="0"/>
    <n v="0"/>
    <n v="500"/>
    <n v="0.68"/>
    <x v="4"/>
    <x v="801"/>
    <n v="0"/>
  </r>
  <r>
    <s v="U31236"/>
    <x v="41"/>
    <x v="0"/>
    <x v="0"/>
    <x v="2"/>
    <s v="Unemployed"/>
    <n v="500"/>
    <n v="227.21"/>
    <n v="4817.26"/>
    <s v="No"/>
    <s v="None"/>
    <n v="0"/>
    <n v="0"/>
    <n v="0"/>
    <n v="0"/>
    <n v="0"/>
    <n v="716"/>
    <n v="0.8"/>
    <x v="1"/>
    <x v="781"/>
    <n v="0"/>
  </r>
  <r>
    <s v="U31249"/>
    <x v="27"/>
    <x v="0"/>
    <x v="3"/>
    <x v="1"/>
    <s v="Unemployed"/>
    <n v="4068.91"/>
    <n v="2100.96"/>
    <n v="13792.66"/>
    <s v="No"/>
    <s v="None"/>
    <n v="0"/>
    <n v="0"/>
    <n v="0"/>
    <n v="0"/>
    <n v="0"/>
    <n v="575"/>
    <n v="0.28000000000000003"/>
    <x v="0"/>
    <x v="318"/>
    <n v="0"/>
  </r>
  <r>
    <s v="U31256"/>
    <x v="8"/>
    <x v="0"/>
    <x v="3"/>
    <x v="1"/>
    <s v="Doctor"/>
    <n v="5684.3"/>
    <n v="2424.11"/>
    <n v="61969.99"/>
    <s v="No"/>
    <s v="None"/>
    <n v="0"/>
    <n v="0"/>
    <n v="0"/>
    <n v="0"/>
    <n v="0"/>
    <n v="582"/>
    <n v="0.91"/>
    <x v="0"/>
    <x v="569"/>
    <n v="0"/>
  </r>
  <r>
    <s v="U31262"/>
    <x v="10"/>
    <x v="1"/>
    <x v="0"/>
    <x v="1"/>
    <s v="Manager"/>
    <n v="2627.81"/>
    <n v="1828.17"/>
    <n v="20952.05"/>
    <s v="Yes"/>
    <s v="Education"/>
    <n v="6561.47"/>
    <n v="12"/>
    <n v="612.57000000000005"/>
    <n v="21.51"/>
    <n v="0.23"/>
    <n v="649"/>
    <n v="0.66"/>
    <x v="0"/>
    <x v="169"/>
    <n v="0"/>
  </r>
  <r>
    <s v="U31263"/>
    <x v="26"/>
    <x v="0"/>
    <x v="0"/>
    <x v="1"/>
    <s v="Salesperson"/>
    <n v="7788.45"/>
    <n v="6900.68"/>
    <n v="45040.67"/>
    <s v="Yes"/>
    <s v="Home"/>
    <n v="274422.59999999998"/>
    <n v="24"/>
    <n v="14561.12"/>
    <n v="24.38"/>
    <n v="1.87"/>
    <n v="705"/>
    <n v="0.48"/>
    <x v="0"/>
    <x v="1031"/>
    <n v="1"/>
  </r>
  <r>
    <s v="U31271"/>
    <x v="48"/>
    <x v="1"/>
    <x v="1"/>
    <x v="2"/>
    <s v="Accountant"/>
    <n v="2789.49"/>
    <n v="2448.27"/>
    <n v="29979.98"/>
    <s v="Yes"/>
    <s v="Car"/>
    <n v="211100.94"/>
    <n v="240"/>
    <n v="3513.47"/>
    <n v="19.559999999999999"/>
    <n v="1.26"/>
    <n v="305"/>
    <n v="0.9"/>
    <x v="0"/>
    <x v="870"/>
    <n v="1"/>
  </r>
  <r>
    <s v="U31288"/>
    <x v="24"/>
    <x v="0"/>
    <x v="3"/>
    <x v="3"/>
    <s v="Unemployed"/>
    <n v="3459.1"/>
    <n v="1994.8"/>
    <n v="18803.599999999999"/>
    <s v="No"/>
    <s v="None"/>
    <n v="0"/>
    <n v="0"/>
    <n v="0"/>
    <n v="0"/>
    <n v="0"/>
    <n v="690"/>
    <n v="0.45"/>
    <x v="2"/>
    <x v="896"/>
    <n v="0"/>
  </r>
  <r>
    <s v="U31289"/>
    <x v="28"/>
    <x v="0"/>
    <x v="3"/>
    <x v="1"/>
    <s v="Doctor"/>
    <n v="4415.0600000000004"/>
    <n v="2534.9699999999998"/>
    <n v="31157"/>
    <s v="No"/>
    <s v="None"/>
    <n v="0"/>
    <n v="0"/>
    <n v="0"/>
    <n v="0"/>
    <n v="0"/>
    <n v="582"/>
    <n v="0.59"/>
    <x v="3"/>
    <x v="1166"/>
    <n v="0"/>
  </r>
  <r>
    <s v="U31304"/>
    <x v="9"/>
    <x v="1"/>
    <x v="2"/>
    <x v="1"/>
    <s v="Manager"/>
    <n v="7823.52"/>
    <n v="6040.64"/>
    <n v="15561.5"/>
    <s v="Yes"/>
    <s v="Business"/>
    <n v="153417.44"/>
    <n v="12"/>
    <n v="13116.81"/>
    <n v="4.76"/>
    <n v="1.68"/>
    <n v="410"/>
    <n v="0.17"/>
    <x v="1"/>
    <x v="501"/>
    <n v="1"/>
  </r>
  <r>
    <s v="U31310"/>
    <x v="18"/>
    <x v="0"/>
    <x v="2"/>
    <x v="1"/>
    <s v="Manager"/>
    <n v="7763.31"/>
    <n v="4245.38"/>
    <n v="10922.89"/>
    <s v="No"/>
    <s v="None"/>
    <n v="0"/>
    <n v="0"/>
    <n v="0"/>
    <n v="0"/>
    <n v="0"/>
    <n v="746"/>
    <n v="0.12"/>
    <x v="4"/>
    <x v="704"/>
    <n v="0"/>
  </r>
  <r>
    <s v="U31323"/>
    <x v="38"/>
    <x v="0"/>
    <x v="3"/>
    <x v="1"/>
    <s v="Accountant"/>
    <n v="500"/>
    <n v="352.34"/>
    <n v="5717.82"/>
    <s v="No"/>
    <s v="None"/>
    <n v="0"/>
    <n v="0"/>
    <n v="0"/>
    <n v="0"/>
    <n v="0"/>
    <n v="717"/>
    <n v="0.95"/>
    <x v="3"/>
    <x v="795"/>
    <n v="0"/>
  </r>
  <r>
    <s v="U31340"/>
    <x v="17"/>
    <x v="0"/>
    <x v="2"/>
    <x v="1"/>
    <s v="Driver"/>
    <n v="1819.11"/>
    <n v="1527.11"/>
    <n v="18842.43"/>
    <s v="No"/>
    <s v="None"/>
    <n v="0"/>
    <n v="0"/>
    <n v="0"/>
    <n v="0"/>
    <n v="0"/>
    <n v="671"/>
    <n v="0.86"/>
    <x v="3"/>
    <x v="1167"/>
    <n v="0"/>
  </r>
  <r>
    <s v="U31343"/>
    <x v="5"/>
    <x v="0"/>
    <x v="3"/>
    <x v="2"/>
    <s v="Engineer"/>
    <n v="1361.37"/>
    <n v="503.94"/>
    <n v="15657.68"/>
    <s v="No"/>
    <s v="None"/>
    <n v="0"/>
    <n v="0"/>
    <n v="0"/>
    <n v="0"/>
    <n v="0"/>
    <n v="825"/>
    <n v="0.96"/>
    <x v="1"/>
    <x v="890"/>
    <n v="0"/>
  </r>
  <r>
    <s v="U31363"/>
    <x v="23"/>
    <x v="1"/>
    <x v="3"/>
    <x v="2"/>
    <s v="Engineer"/>
    <n v="2720.46"/>
    <n v="1652"/>
    <n v="6132.19"/>
    <s v="No"/>
    <s v="None"/>
    <n v="0"/>
    <n v="0"/>
    <n v="0"/>
    <n v="0"/>
    <n v="0"/>
    <n v="553"/>
    <n v="0.19"/>
    <x v="3"/>
    <x v="995"/>
    <n v="0"/>
  </r>
  <r>
    <s v="U31370"/>
    <x v="47"/>
    <x v="1"/>
    <x v="2"/>
    <x v="1"/>
    <s v="Accountant"/>
    <n v="4783.75"/>
    <n v="1486.27"/>
    <n v="29361.81"/>
    <s v="No"/>
    <s v="None"/>
    <n v="0"/>
    <n v="0"/>
    <n v="0"/>
    <n v="0"/>
    <n v="0"/>
    <n v="384"/>
    <n v="0.51"/>
    <x v="4"/>
    <x v="1168"/>
    <n v="0"/>
  </r>
  <r>
    <s v="U31375"/>
    <x v="22"/>
    <x v="1"/>
    <x v="3"/>
    <x v="1"/>
    <s v="Unemployed"/>
    <n v="4942.83"/>
    <n v="2118.2600000000002"/>
    <n v="18657.009999999998"/>
    <s v="No"/>
    <s v="None"/>
    <n v="0"/>
    <n v="0"/>
    <n v="0"/>
    <n v="0"/>
    <n v="0"/>
    <n v="812"/>
    <n v="0.31"/>
    <x v="3"/>
    <x v="1169"/>
    <n v="0"/>
  </r>
  <r>
    <s v="U31388"/>
    <x v="44"/>
    <x v="0"/>
    <x v="3"/>
    <x v="1"/>
    <s v="Driver"/>
    <n v="3179.01"/>
    <n v="2247.89"/>
    <n v="18098.53"/>
    <s v="Yes"/>
    <s v="Car"/>
    <n v="189083.11"/>
    <n v="60"/>
    <n v="5150.5"/>
    <n v="21.33"/>
    <n v="1.62"/>
    <n v="381"/>
    <n v="0.47"/>
    <x v="0"/>
    <x v="351"/>
    <n v="1"/>
  </r>
  <r>
    <s v="U31397"/>
    <x v="22"/>
    <x v="1"/>
    <x v="3"/>
    <x v="1"/>
    <s v="Driver"/>
    <n v="2018.99"/>
    <n v="1269.58"/>
    <n v="5708.79"/>
    <s v="No"/>
    <s v="None"/>
    <n v="0"/>
    <n v="0"/>
    <n v="0"/>
    <n v="0"/>
    <n v="0"/>
    <n v="714"/>
    <n v="0.24"/>
    <x v="2"/>
    <x v="843"/>
    <n v="0"/>
  </r>
  <r>
    <s v="U31399"/>
    <x v="41"/>
    <x v="1"/>
    <x v="2"/>
    <x v="1"/>
    <s v="Driver"/>
    <n v="2319.42"/>
    <n v="756.41"/>
    <n v="22243.47"/>
    <s v="No"/>
    <s v="None"/>
    <n v="0"/>
    <n v="0"/>
    <n v="0"/>
    <n v="0"/>
    <n v="0"/>
    <n v="310"/>
    <n v="0.8"/>
    <x v="2"/>
    <x v="680"/>
    <n v="0"/>
  </r>
  <r>
    <s v="U31403"/>
    <x v="14"/>
    <x v="1"/>
    <x v="0"/>
    <x v="0"/>
    <s v="Student"/>
    <n v="3907.81"/>
    <n v="2780.98"/>
    <n v="28849.040000000001"/>
    <s v="No"/>
    <s v="None"/>
    <n v="0"/>
    <n v="0"/>
    <n v="0"/>
    <n v="0"/>
    <n v="0"/>
    <n v="656"/>
    <n v="0.62"/>
    <x v="1"/>
    <x v="95"/>
    <n v="0"/>
  </r>
  <r>
    <s v="U31419"/>
    <x v="13"/>
    <x v="1"/>
    <x v="3"/>
    <x v="1"/>
    <s v="Driver"/>
    <n v="4804.33"/>
    <n v="2229.2600000000002"/>
    <n v="52166.65"/>
    <s v="No"/>
    <s v="None"/>
    <n v="0"/>
    <n v="0"/>
    <n v="0"/>
    <n v="0"/>
    <n v="0"/>
    <n v="642"/>
    <n v="0.9"/>
    <x v="0"/>
    <x v="1076"/>
    <n v="0"/>
  </r>
  <r>
    <s v="U31426"/>
    <x v="44"/>
    <x v="1"/>
    <x v="3"/>
    <x v="2"/>
    <s v="Student"/>
    <n v="3525.48"/>
    <n v="3117.46"/>
    <n v="9897.94"/>
    <s v="No"/>
    <s v="None"/>
    <n v="0"/>
    <n v="0"/>
    <n v="0"/>
    <n v="0"/>
    <n v="0"/>
    <n v="427"/>
    <n v="0.23"/>
    <x v="4"/>
    <x v="566"/>
    <n v="0"/>
  </r>
  <r>
    <s v="U31433"/>
    <x v="21"/>
    <x v="1"/>
    <x v="0"/>
    <x v="0"/>
    <s v="Manager"/>
    <n v="4726.92"/>
    <n v="3313.69"/>
    <n v="27775.05"/>
    <s v="No"/>
    <s v="None"/>
    <n v="0"/>
    <n v="0"/>
    <n v="0"/>
    <n v="0"/>
    <n v="0"/>
    <n v="474"/>
    <n v="0.49"/>
    <x v="2"/>
    <x v="143"/>
    <n v="0"/>
  </r>
  <r>
    <s v="U31455"/>
    <x v="37"/>
    <x v="1"/>
    <x v="0"/>
    <x v="1"/>
    <s v="Driver"/>
    <n v="6785.18"/>
    <n v="4172.3599999999997"/>
    <n v="42651.65"/>
    <s v="Yes"/>
    <s v="Education"/>
    <n v="42889.99"/>
    <n v="36"/>
    <n v="1325.5"/>
    <n v="7.06"/>
    <n v="0.2"/>
    <n v="703"/>
    <n v="0.52"/>
    <x v="2"/>
    <x v="135"/>
    <n v="0"/>
  </r>
  <r>
    <s v="U31456"/>
    <x v="44"/>
    <x v="0"/>
    <x v="3"/>
    <x v="1"/>
    <s v="Teacher"/>
    <n v="5088.6400000000003"/>
    <n v="3896.43"/>
    <n v="9623.33"/>
    <s v="Yes"/>
    <s v="Car"/>
    <n v="128446.41"/>
    <n v="24"/>
    <n v="7079.06"/>
    <n v="28.44"/>
    <n v="1.39"/>
    <n v="344"/>
    <n v="0.16"/>
    <x v="0"/>
    <x v="250"/>
    <n v="1"/>
  </r>
  <r>
    <s v="U31485"/>
    <x v="19"/>
    <x v="1"/>
    <x v="3"/>
    <x v="1"/>
    <s v="Salesperson"/>
    <n v="5568.14"/>
    <n v="2464.62"/>
    <n v="28999.09"/>
    <s v="Yes"/>
    <s v="Education"/>
    <n v="347328.41"/>
    <n v="300"/>
    <n v="6976.31"/>
    <n v="24.04"/>
    <n v="1.25"/>
    <n v="585"/>
    <n v="0.43"/>
    <x v="3"/>
    <x v="146"/>
    <n v="1"/>
  </r>
  <r>
    <s v="U31497"/>
    <x v="7"/>
    <x v="1"/>
    <x v="3"/>
    <x v="1"/>
    <s v="Student"/>
    <n v="2399.42"/>
    <n v="2073.06"/>
    <n v="12289.18"/>
    <s v="No"/>
    <s v="None"/>
    <n v="0"/>
    <n v="0"/>
    <n v="0"/>
    <n v="0"/>
    <n v="0"/>
    <n v="408"/>
    <n v="0.43"/>
    <x v="4"/>
    <x v="1170"/>
    <n v="0"/>
  </r>
  <r>
    <s v="U31514"/>
    <x v="20"/>
    <x v="0"/>
    <x v="2"/>
    <x v="1"/>
    <s v="Salesperson"/>
    <n v="7154.97"/>
    <n v="2983.42"/>
    <n v="58947.58"/>
    <s v="No"/>
    <s v="None"/>
    <n v="0"/>
    <n v="0"/>
    <n v="0"/>
    <n v="0"/>
    <n v="0"/>
    <n v="446"/>
    <n v="0.69"/>
    <x v="2"/>
    <x v="1171"/>
    <n v="0"/>
  </r>
  <r>
    <s v="U31522"/>
    <x v="39"/>
    <x v="1"/>
    <x v="3"/>
    <x v="1"/>
    <s v="Unemployed"/>
    <n v="1283.57"/>
    <n v="798.92"/>
    <n v="5077.55"/>
    <s v="No"/>
    <s v="None"/>
    <n v="0"/>
    <n v="0"/>
    <n v="0"/>
    <n v="0"/>
    <n v="0"/>
    <n v="787"/>
    <n v="0.33"/>
    <x v="1"/>
    <x v="57"/>
    <n v="0"/>
  </r>
  <r>
    <s v="U31554"/>
    <x v="39"/>
    <x v="1"/>
    <x v="3"/>
    <x v="0"/>
    <s v="Unemployed"/>
    <n v="500"/>
    <n v="262.02"/>
    <n v="4091.53"/>
    <s v="No"/>
    <s v="None"/>
    <n v="0"/>
    <n v="0"/>
    <n v="0"/>
    <n v="0"/>
    <n v="0"/>
    <n v="590"/>
    <n v="0.68"/>
    <x v="1"/>
    <x v="1075"/>
    <n v="0"/>
  </r>
  <r>
    <s v="U31555"/>
    <x v="5"/>
    <x v="0"/>
    <x v="0"/>
    <x v="1"/>
    <s v="Salesperson"/>
    <n v="5048.8999999999996"/>
    <n v="4121.2299999999996"/>
    <n v="30055.13"/>
    <s v="No"/>
    <s v="None"/>
    <n v="0"/>
    <n v="0"/>
    <n v="0"/>
    <n v="0"/>
    <n v="0"/>
    <n v="503"/>
    <n v="0.5"/>
    <x v="1"/>
    <x v="550"/>
    <n v="0"/>
  </r>
  <r>
    <s v="U31560"/>
    <x v="30"/>
    <x v="0"/>
    <x v="2"/>
    <x v="1"/>
    <s v="Teacher"/>
    <n v="6455.28"/>
    <n v="4765.93"/>
    <n v="12934.47"/>
    <s v="Yes"/>
    <s v="Car"/>
    <n v="117681.39"/>
    <n v="120"/>
    <n v="3013.14"/>
    <n v="28.97"/>
    <n v="0.47"/>
    <n v="744"/>
    <n v="0.17"/>
    <x v="3"/>
    <x v="1172"/>
    <n v="1"/>
  </r>
  <r>
    <s v="U31575"/>
    <x v="48"/>
    <x v="1"/>
    <x v="2"/>
    <x v="1"/>
    <s v="Manager"/>
    <n v="2740.65"/>
    <n v="1007.09"/>
    <n v="17595.61"/>
    <s v="No"/>
    <s v="None"/>
    <n v="0"/>
    <n v="0"/>
    <n v="0"/>
    <n v="0"/>
    <n v="0"/>
    <n v="724"/>
    <n v="0.54"/>
    <x v="1"/>
    <x v="908"/>
    <n v="0"/>
  </r>
  <r>
    <s v="U31577"/>
    <x v="35"/>
    <x v="1"/>
    <x v="4"/>
    <x v="1"/>
    <s v="Doctor"/>
    <n v="1026.76"/>
    <n v="641.96"/>
    <n v="3166.64"/>
    <s v="No"/>
    <s v="None"/>
    <n v="0"/>
    <n v="0"/>
    <n v="0"/>
    <n v="0"/>
    <n v="0"/>
    <n v="586"/>
    <n v="0.26"/>
    <x v="4"/>
    <x v="1173"/>
    <n v="0"/>
  </r>
  <r>
    <s v="U31602"/>
    <x v="5"/>
    <x v="1"/>
    <x v="0"/>
    <x v="1"/>
    <s v="Accountant"/>
    <n v="2970.71"/>
    <n v="2548.06"/>
    <n v="16972.599999999999"/>
    <s v="No"/>
    <s v="None"/>
    <n v="0"/>
    <n v="0"/>
    <n v="0"/>
    <n v="0"/>
    <n v="0"/>
    <n v="612"/>
    <n v="0.48"/>
    <x v="1"/>
    <x v="1174"/>
    <n v="0"/>
  </r>
  <r>
    <s v="U31609"/>
    <x v="41"/>
    <x v="0"/>
    <x v="3"/>
    <x v="1"/>
    <s v="Manager"/>
    <n v="6042.24"/>
    <n v="5011.12"/>
    <n v="10255.52"/>
    <s v="No"/>
    <s v="None"/>
    <n v="0"/>
    <n v="0"/>
    <n v="0"/>
    <n v="0"/>
    <n v="0"/>
    <n v="737"/>
    <n v="0.14000000000000001"/>
    <x v="0"/>
    <x v="1175"/>
    <n v="0"/>
  </r>
  <r>
    <s v="U31614"/>
    <x v="10"/>
    <x v="0"/>
    <x v="3"/>
    <x v="2"/>
    <s v="Doctor"/>
    <n v="5841.28"/>
    <n v="4031.91"/>
    <n v="60104.47"/>
    <s v="No"/>
    <s v="None"/>
    <n v="0"/>
    <n v="0"/>
    <n v="0"/>
    <n v="0"/>
    <n v="0"/>
    <n v="668"/>
    <n v="0.86"/>
    <x v="4"/>
    <x v="40"/>
    <n v="0"/>
  </r>
  <r>
    <s v="U31653"/>
    <x v="46"/>
    <x v="1"/>
    <x v="3"/>
    <x v="2"/>
    <s v="Manager"/>
    <n v="3132.56"/>
    <n v="1862.17"/>
    <n v="35332.089999999997"/>
    <s v="No"/>
    <s v="None"/>
    <n v="0"/>
    <n v="0"/>
    <n v="0"/>
    <n v="0"/>
    <n v="0"/>
    <n v="515"/>
    <n v="0.94"/>
    <x v="4"/>
    <x v="1147"/>
    <n v="0"/>
  </r>
  <r>
    <s v="U31685"/>
    <x v="7"/>
    <x v="0"/>
    <x v="1"/>
    <x v="1"/>
    <s v="Engineer"/>
    <n v="2935.29"/>
    <n v="2087.5100000000002"/>
    <n v="34440.639999999999"/>
    <s v="No"/>
    <s v="None"/>
    <n v="0"/>
    <n v="0"/>
    <n v="0"/>
    <n v="0"/>
    <n v="0"/>
    <n v="478"/>
    <n v="0.98"/>
    <x v="0"/>
    <x v="1176"/>
    <n v="0"/>
  </r>
  <r>
    <s v="U31687"/>
    <x v="27"/>
    <x v="1"/>
    <x v="0"/>
    <x v="1"/>
    <s v="Manager"/>
    <n v="4255.6899999999996"/>
    <n v="2819.19"/>
    <n v="35984.370000000003"/>
    <s v="No"/>
    <s v="None"/>
    <n v="0"/>
    <n v="0"/>
    <n v="0"/>
    <n v="0"/>
    <n v="0"/>
    <n v="441"/>
    <n v="0.7"/>
    <x v="3"/>
    <x v="174"/>
    <n v="0"/>
  </r>
  <r>
    <s v="U31695"/>
    <x v="2"/>
    <x v="0"/>
    <x v="4"/>
    <x v="1"/>
    <s v="Driver"/>
    <n v="2380.37"/>
    <n v="1925.79"/>
    <n v="20196.52"/>
    <s v="No"/>
    <s v="None"/>
    <n v="0"/>
    <n v="0"/>
    <n v="0"/>
    <n v="0"/>
    <n v="0"/>
    <n v="763"/>
    <n v="0.71"/>
    <x v="1"/>
    <x v="945"/>
    <n v="0"/>
  </r>
  <r>
    <s v="U31713"/>
    <x v="21"/>
    <x v="1"/>
    <x v="2"/>
    <x v="3"/>
    <s v="Student"/>
    <n v="8261.48"/>
    <n v="5761.49"/>
    <n v="46596.04"/>
    <s v="No"/>
    <s v="None"/>
    <n v="0"/>
    <n v="0"/>
    <n v="0"/>
    <n v="0"/>
    <n v="0"/>
    <n v="467"/>
    <n v="0.47"/>
    <x v="2"/>
    <x v="589"/>
    <n v="0"/>
  </r>
  <r>
    <s v="U31714"/>
    <x v="38"/>
    <x v="0"/>
    <x v="3"/>
    <x v="0"/>
    <s v="Teacher"/>
    <n v="7548.88"/>
    <n v="5882.82"/>
    <n v="55884.3"/>
    <s v="No"/>
    <s v="None"/>
    <n v="0"/>
    <n v="0"/>
    <n v="0"/>
    <n v="0"/>
    <n v="0"/>
    <n v="630"/>
    <n v="0.62"/>
    <x v="0"/>
    <x v="1019"/>
    <n v="0"/>
  </r>
  <r>
    <s v="U31715"/>
    <x v="47"/>
    <x v="0"/>
    <x v="2"/>
    <x v="1"/>
    <s v="Driver"/>
    <n v="4683.24"/>
    <n v="2891.13"/>
    <n v="24992.18"/>
    <s v="No"/>
    <s v="None"/>
    <n v="0"/>
    <n v="0"/>
    <n v="0"/>
    <n v="0"/>
    <n v="0"/>
    <n v="353"/>
    <n v="0.44"/>
    <x v="0"/>
    <x v="410"/>
    <n v="0"/>
  </r>
  <r>
    <s v="U31750"/>
    <x v="26"/>
    <x v="0"/>
    <x v="1"/>
    <x v="1"/>
    <s v="Doctor"/>
    <n v="3617.57"/>
    <n v="1372.57"/>
    <n v="11993.53"/>
    <s v="Yes"/>
    <s v="Business"/>
    <n v="48541.1"/>
    <n v="36"/>
    <n v="1583.66"/>
    <n v="10.76"/>
    <n v="0.44"/>
    <n v="303"/>
    <n v="0.28000000000000003"/>
    <x v="3"/>
    <x v="1177"/>
    <n v="1"/>
  </r>
  <r>
    <s v="U31781"/>
    <x v="2"/>
    <x v="0"/>
    <x v="3"/>
    <x v="1"/>
    <s v="Manager"/>
    <n v="3160.63"/>
    <n v="1053.69"/>
    <n v="21498.25"/>
    <s v="Yes"/>
    <s v="Car"/>
    <n v="301526.51"/>
    <n v="180"/>
    <n v="3696.78"/>
    <n v="12.4"/>
    <n v="1.17"/>
    <n v="497"/>
    <n v="0.56999999999999995"/>
    <x v="2"/>
    <x v="1178"/>
    <n v="1"/>
  </r>
  <r>
    <s v="U31811"/>
    <x v="18"/>
    <x v="0"/>
    <x v="2"/>
    <x v="1"/>
    <s v="Accountant"/>
    <n v="4269.3599999999997"/>
    <n v="2594.89"/>
    <n v="40451.33"/>
    <s v="Yes"/>
    <s v="Car"/>
    <n v="466574.55"/>
    <n v="360"/>
    <n v="6909.91"/>
    <n v="17.68"/>
    <n v="1.62"/>
    <n v="562"/>
    <n v="0.79"/>
    <x v="0"/>
    <x v="59"/>
    <n v="1"/>
  </r>
  <r>
    <s v="U31824"/>
    <x v="24"/>
    <x v="2"/>
    <x v="4"/>
    <x v="2"/>
    <s v="Student"/>
    <n v="4379.24"/>
    <n v="3365.31"/>
    <n v="10387.69"/>
    <s v="No"/>
    <s v="None"/>
    <n v="0"/>
    <n v="0"/>
    <n v="0"/>
    <n v="0"/>
    <n v="0"/>
    <n v="408"/>
    <n v="0.2"/>
    <x v="0"/>
    <x v="863"/>
    <n v="0"/>
  </r>
  <r>
    <s v="U31833"/>
    <x v="12"/>
    <x v="0"/>
    <x v="2"/>
    <x v="1"/>
    <s v="Accountant"/>
    <n v="3844.38"/>
    <n v="1213.1300000000001"/>
    <n v="5749.37"/>
    <s v="No"/>
    <s v="None"/>
    <n v="0"/>
    <n v="0"/>
    <n v="0"/>
    <n v="0"/>
    <n v="0"/>
    <n v="432"/>
    <n v="0.12"/>
    <x v="3"/>
    <x v="329"/>
    <n v="0"/>
  </r>
  <r>
    <s v="U31858"/>
    <x v="0"/>
    <x v="0"/>
    <x v="2"/>
    <x v="2"/>
    <s v="Manager"/>
    <n v="6288.56"/>
    <n v="1981.97"/>
    <n v="18673.98"/>
    <s v="No"/>
    <s v="None"/>
    <n v="0"/>
    <n v="0"/>
    <n v="0"/>
    <n v="0"/>
    <n v="0"/>
    <n v="722"/>
    <n v="0.25"/>
    <x v="0"/>
    <x v="271"/>
    <n v="0"/>
  </r>
  <r>
    <s v="U31875"/>
    <x v="5"/>
    <x v="0"/>
    <x v="4"/>
    <x v="1"/>
    <s v="Salesperson"/>
    <n v="1121.19"/>
    <n v="675.56"/>
    <n v="11484.75"/>
    <s v="Yes"/>
    <s v="Home"/>
    <n v="107426.73"/>
    <n v="360"/>
    <n v="2181.44"/>
    <n v="24.35"/>
    <n v="1.95"/>
    <n v="470"/>
    <n v="0.85"/>
    <x v="4"/>
    <x v="502"/>
    <n v="1"/>
  </r>
  <r>
    <s v="U31884"/>
    <x v="19"/>
    <x v="0"/>
    <x v="2"/>
    <x v="1"/>
    <s v="Doctor"/>
    <n v="3347.45"/>
    <n v="2897.36"/>
    <n v="9035.52"/>
    <s v="No"/>
    <s v="None"/>
    <n v="0"/>
    <n v="0"/>
    <n v="0"/>
    <n v="0"/>
    <n v="0"/>
    <n v="809"/>
    <n v="0.22"/>
    <x v="4"/>
    <x v="931"/>
    <n v="0"/>
  </r>
  <r>
    <s v="U31887"/>
    <x v="29"/>
    <x v="1"/>
    <x v="2"/>
    <x v="1"/>
    <s v="Driver"/>
    <n v="5211.25"/>
    <n v="4379.8599999999997"/>
    <n v="8743.3799999999992"/>
    <s v="No"/>
    <s v="None"/>
    <n v="0"/>
    <n v="0"/>
    <n v="0"/>
    <n v="0"/>
    <n v="0"/>
    <n v="418"/>
    <n v="0.14000000000000001"/>
    <x v="2"/>
    <x v="1179"/>
    <n v="0"/>
  </r>
  <r>
    <s v="U31902"/>
    <x v="12"/>
    <x v="1"/>
    <x v="2"/>
    <x v="0"/>
    <s v="Student"/>
    <n v="2453.2600000000002"/>
    <n v="1889.8"/>
    <n v="14989.81"/>
    <s v="No"/>
    <s v="None"/>
    <n v="0"/>
    <n v="0"/>
    <n v="0"/>
    <n v="0"/>
    <n v="0"/>
    <n v="803"/>
    <n v="0.51"/>
    <x v="4"/>
    <x v="1180"/>
    <n v="0"/>
  </r>
  <r>
    <s v="U31945"/>
    <x v="23"/>
    <x v="0"/>
    <x v="2"/>
    <x v="2"/>
    <s v="Manager"/>
    <n v="3984.73"/>
    <n v="1888.68"/>
    <n v="35611.56"/>
    <s v="Yes"/>
    <s v="Business"/>
    <n v="170096.74"/>
    <n v="180"/>
    <n v="1426.2"/>
    <n v="5.9"/>
    <n v="0.36"/>
    <n v="566"/>
    <n v="0.74"/>
    <x v="3"/>
    <x v="512"/>
    <n v="0"/>
  </r>
  <r>
    <s v="U31964"/>
    <x v="39"/>
    <x v="1"/>
    <x v="4"/>
    <x v="1"/>
    <s v="Student"/>
    <n v="3388.29"/>
    <n v="2656.28"/>
    <n v="5023.26"/>
    <s v="No"/>
    <s v="None"/>
    <n v="0"/>
    <n v="0"/>
    <n v="0"/>
    <n v="0"/>
    <n v="0"/>
    <n v="461"/>
    <n v="0.12"/>
    <x v="1"/>
    <x v="1181"/>
    <n v="0"/>
  </r>
  <r>
    <s v="U31986"/>
    <x v="43"/>
    <x v="0"/>
    <x v="0"/>
    <x v="1"/>
    <s v="Unemployed"/>
    <n v="4028.7"/>
    <n v="1928.48"/>
    <n v="40134.47"/>
    <s v="No"/>
    <s v="None"/>
    <n v="0"/>
    <n v="0"/>
    <n v="0"/>
    <n v="0"/>
    <n v="0"/>
    <n v="382"/>
    <n v="0.83"/>
    <x v="4"/>
    <x v="1037"/>
    <n v="0"/>
  </r>
  <r>
    <s v="U32008"/>
    <x v="35"/>
    <x v="0"/>
    <x v="2"/>
    <x v="1"/>
    <s v="Doctor"/>
    <n v="7214.68"/>
    <n v="5352.04"/>
    <n v="17197.32"/>
    <s v="No"/>
    <s v="None"/>
    <n v="0"/>
    <n v="0"/>
    <n v="0"/>
    <n v="0"/>
    <n v="0"/>
    <n v="619"/>
    <n v="0.2"/>
    <x v="0"/>
    <x v="401"/>
    <n v="0"/>
  </r>
  <r>
    <s v="U32011"/>
    <x v="44"/>
    <x v="1"/>
    <x v="2"/>
    <x v="1"/>
    <s v="Student"/>
    <n v="5750.01"/>
    <n v="2374.67"/>
    <n v="48616.49"/>
    <s v="No"/>
    <s v="None"/>
    <n v="0"/>
    <n v="0"/>
    <n v="0"/>
    <n v="0"/>
    <n v="0"/>
    <n v="827"/>
    <n v="0.7"/>
    <x v="0"/>
    <x v="297"/>
    <n v="0"/>
  </r>
  <r>
    <s v="U32026"/>
    <x v="4"/>
    <x v="1"/>
    <x v="3"/>
    <x v="1"/>
    <s v="Manager"/>
    <n v="6309.83"/>
    <n v="2324.37"/>
    <n v="27311.19"/>
    <s v="No"/>
    <s v="None"/>
    <n v="0"/>
    <n v="0"/>
    <n v="0"/>
    <n v="0"/>
    <n v="0"/>
    <n v="425"/>
    <n v="0.36"/>
    <x v="4"/>
    <x v="270"/>
    <n v="0"/>
  </r>
  <r>
    <s v="U32062"/>
    <x v="44"/>
    <x v="1"/>
    <x v="0"/>
    <x v="1"/>
    <s v="Manager"/>
    <n v="3620.59"/>
    <n v="1177.75"/>
    <n v="32655.66"/>
    <s v="No"/>
    <s v="None"/>
    <n v="0"/>
    <n v="0"/>
    <n v="0"/>
    <n v="0"/>
    <n v="0"/>
    <n v="415"/>
    <n v="0.75"/>
    <x v="1"/>
    <x v="711"/>
    <n v="0"/>
  </r>
  <r>
    <s v="U32072"/>
    <x v="51"/>
    <x v="0"/>
    <x v="3"/>
    <x v="1"/>
    <s v="Manager"/>
    <n v="3753.21"/>
    <n v="1463.47"/>
    <n v="16424.86"/>
    <s v="No"/>
    <s v="None"/>
    <n v="0"/>
    <n v="0"/>
    <n v="0"/>
    <n v="0"/>
    <n v="0"/>
    <n v="815"/>
    <n v="0.36"/>
    <x v="4"/>
    <x v="496"/>
    <n v="0"/>
  </r>
  <r>
    <s v="U32110"/>
    <x v="25"/>
    <x v="1"/>
    <x v="2"/>
    <x v="1"/>
    <s v="Engineer"/>
    <n v="5510.97"/>
    <n v="4100.57"/>
    <n v="24500.83"/>
    <s v="No"/>
    <s v="None"/>
    <n v="0"/>
    <n v="0"/>
    <n v="0"/>
    <n v="0"/>
    <n v="0"/>
    <n v="316"/>
    <n v="0.37"/>
    <x v="2"/>
    <x v="959"/>
    <n v="0"/>
  </r>
  <r>
    <s v="U32125"/>
    <x v="25"/>
    <x v="1"/>
    <x v="3"/>
    <x v="1"/>
    <s v="Doctor"/>
    <n v="3728.99"/>
    <n v="1993.05"/>
    <n v="37713"/>
    <s v="No"/>
    <s v="None"/>
    <n v="0"/>
    <n v="0"/>
    <n v="0"/>
    <n v="0"/>
    <n v="0"/>
    <n v="766"/>
    <n v="0.84"/>
    <x v="0"/>
    <x v="1149"/>
    <n v="0"/>
  </r>
  <r>
    <s v="U32143"/>
    <x v="46"/>
    <x v="0"/>
    <x v="0"/>
    <x v="2"/>
    <s v="Salesperson"/>
    <n v="2918.78"/>
    <n v="1157.54"/>
    <n v="24519.72"/>
    <s v="No"/>
    <s v="None"/>
    <n v="0"/>
    <n v="0"/>
    <n v="0"/>
    <n v="0"/>
    <n v="0"/>
    <n v="462"/>
    <n v="0.7"/>
    <x v="3"/>
    <x v="1182"/>
    <n v="0"/>
  </r>
  <r>
    <s v="U32147"/>
    <x v="15"/>
    <x v="1"/>
    <x v="1"/>
    <x v="1"/>
    <s v="Salesperson"/>
    <n v="3663.73"/>
    <n v="1610.15"/>
    <n v="41574.25"/>
    <s v="No"/>
    <s v="None"/>
    <n v="0"/>
    <n v="0"/>
    <n v="0"/>
    <n v="0"/>
    <n v="0"/>
    <n v="777"/>
    <n v="0.95"/>
    <x v="4"/>
    <x v="1152"/>
    <n v="0"/>
  </r>
  <r>
    <s v="U32173"/>
    <x v="40"/>
    <x v="1"/>
    <x v="3"/>
    <x v="0"/>
    <s v="Student"/>
    <n v="6744.75"/>
    <n v="4678.12"/>
    <n v="33360.26"/>
    <s v="Yes"/>
    <s v="Home"/>
    <n v="450631.02"/>
    <n v="240"/>
    <n v="4968.12"/>
    <n v="12.02"/>
    <n v="0.74"/>
    <n v="713"/>
    <n v="0.41"/>
    <x v="1"/>
    <x v="493"/>
    <n v="1"/>
  </r>
  <r>
    <s v="U32174"/>
    <x v="3"/>
    <x v="1"/>
    <x v="2"/>
    <x v="3"/>
    <s v="Driver"/>
    <n v="2254.65"/>
    <n v="1387"/>
    <n v="15603.16"/>
    <s v="No"/>
    <s v="None"/>
    <n v="0"/>
    <n v="0"/>
    <n v="0"/>
    <n v="0"/>
    <n v="0"/>
    <n v="686"/>
    <n v="0.57999999999999996"/>
    <x v="0"/>
    <x v="1183"/>
    <n v="0"/>
  </r>
  <r>
    <s v="U32183"/>
    <x v="43"/>
    <x v="1"/>
    <x v="3"/>
    <x v="2"/>
    <s v="Unemployed"/>
    <n v="5981.94"/>
    <n v="3011.42"/>
    <n v="46154.11"/>
    <s v="No"/>
    <s v="None"/>
    <n v="0"/>
    <n v="0"/>
    <n v="0"/>
    <n v="0"/>
    <n v="0"/>
    <n v="737"/>
    <n v="0.64"/>
    <x v="0"/>
    <x v="1177"/>
    <n v="0"/>
  </r>
  <r>
    <s v="U32184"/>
    <x v="1"/>
    <x v="0"/>
    <x v="2"/>
    <x v="1"/>
    <s v="Manager"/>
    <n v="3032.97"/>
    <n v="1311.6"/>
    <n v="15365.96"/>
    <s v="No"/>
    <s v="None"/>
    <n v="0"/>
    <n v="0"/>
    <n v="0"/>
    <n v="0"/>
    <n v="0"/>
    <n v="780"/>
    <n v="0.42"/>
    <x v="1"/>
    <x v="331"/>
    <n v="0"/>
  </r>
  <r>
    <s v="U32201"/>
    <x v="3"/>
    <x v="0"/>
    <x v="1"/>
    <x v="2"/>
    <s v="Salesperson"/>
    <n v="2799.93"/>
    <n v="2421.48"/>
    <n v="18307.2"/>
    <s v="Yes"/>
    <s v="Education"/>
    <n v="12291.91"/>
    <n v="24"/>
    <n v="610.58000000000004"/>
    <n v="17.48"/>
    <n v="0.22"/>
    <n v="495"/>
    <n v="0.54"/>
    <x v="4"/>
    <x v="473"/>
    <n v="0"/>
  </r>
  <r>
    <s v="U32210"/>
    <x v="13"/>
    <x v="0"/>
    <x v="3"/>
    <x v="1"/>
    <s v="Salesperson"/>
    <n v="8473.73"/>
    <n v="6343.72"/>
    <n v="60405.27"/>
    <s v="Yes"/>
    <s v="Education"/>
    <n v="85315.71"/>
    <n v="36"/>
    <n v="2989.35"/>
    <n v="15.76"/>
    <n v="0.35"/>
    <n v="734"/>
    <n v="0.59"/>
    <x v="2"/>
    <x v="871"/>
    <n v="0"/>
  </r>
  <r>
    <s v="U32226"/>
    <x v="37"/>
    <x v="0"/>
    <x v="2"/>
    <x v="1"/>
    <s v="Driver"/>
    <n v="6417.95"/>
    <n v="4297.58"/>
    <n v="15909.59"/>
    <s v="No"/>
    <s v="None"/>
    <n v="0"/>
    <n v="0"/>
    <n v="0"/>
    <n v="0"/>
    <n v="0"/>
    <n v="742"/>
    <n v="0.21"/>
    <x v="2"/>
    <x v="445"/>
    <n v="0"/>
  </r>
  <r>
    <s v="U32235"/>
    <x v="1"/>
    <x v="1"/>
    <x v="2"/>
    <x v="2"/>
    <s v="Engineer"/>
    <n v="4577.3500000000004"/>
    <n v="1629.88"/>
    <n v="36061.199999999997"/>
    <s v="Yes"/>
    <s v="Education"/>
    <n v="423085.15"/>
    <n v="360"/>
    <n v="6007.78"/>
    <n v="16.93"/>
    <n v="1.31"/>
    <n v="599"/>
    <n v="0.66"/>
    <x v="0"/>
    <x v="1121"/>
    <n v="1"/>
  </r>
  <r>
    <s v="U32238"/>
    <x v="20"/>
    <x v="1"/>
    <x v="0"/>
    <x v="2"/>
    <s v="Student"/>
    <n v="5857.69"/>
    <n v="4392.21"/>
    <n v="41720.26"/>
    <s v="No"/>
    <s v="None"/>
    <n v="0"/>
    <n v="0"/>
    <n v="0"/>
    <n v="0"/>
    <n v="0"/>
    <n v="487"/>
    <n v="0.59"/>
    <x v="4"/>
    <x v="859"/>
    <n v="0"/>
  </r>
  <r>
    <s v="U32282"/>
    <x v="13"/>
    <x v="1"/>
    <x v="0"/>
    <x v="1"/>
    <s v="Student"/>
    <n v="4498.72"/>
    <n v="3146.09"/>
    <n v="26141.45"/>
    <s v="Yes"/>
    <s v="Car"/>
    <n v="475554.23"/>
    <n v="180"/>
    <n v="3723.6"/>
    <n v="4.8499999999999996"/>
    <n v="0.83"/>
    <n v="668"/>
    <n v="0.48"/>
    <x v="1"/>
    <x v="283"/>
    <n v="1"/>
  </r>
  <r>
    <s v="U32309"/>
    <x v="26"/>
    <x v="1"/>
    <x v="2"/>
    <x v="1"/>
    <s v="Salesperson"/>
    <n v="7113.4"/>
    <n v="2911.61"/>
    <n v="80512.42"/>
    <s v="No"/>
    <s v="None"/>
    <n v="0"/>
    <n v="0"/>
    <n v="0"/>
    <n v="0"/>
    <n v="0"/>
    <n v="476"/>
    <n v="0.94"/>
    <x v="2"/>
    <x v="658"/>
    <n v="0"/>
  </r>
  <r>
    <s v="U32352"/>
    <x v="32"/>
    <x v="1"/>
    <x v="3"/>
    <x v="1"/>
    <s v="Salesperson"/>
    <n v="500"/>
    <n v="303.23"/>
    <n v="992.52"/>
    <s v="No"/>
    <s v="None"/>
    <n v="0"/>
    <n v="0"/>
    <n v="0"/>
    <n v="0"/>
    <n v="0"/>
    <n v="554"/>
    <n v="0.17"/>
    <x v="4"/>
    <x v="834"/>
    <n v="0"/>
  </r>
  <r>
    <s v="U32358"/>
    <x v="14"/>
    <x v="1"/>
    <x v="2"/>
    <x v="2"/>
    <s v="Manager"/>
    <n v="3994.23"/>
    <n v="2163.13"/>
    <n v="26067.06"/>
    <s v="No"/>
    <s v="None"/>
    <n v="0"/>
    <n v="0"/>
    <n v="0"/>
    <n v="0"/>
    <n v="0"/>
    <n v="559"/>
    <n v="0.54"/>
    <x v="3"/>
    <x v="1184"/>
    <n v="0"/>
  </r>
  <r>
    <s v="U32391"/>
    <x v="44"/>
    <x v="0"/>
    <x v="3"/>
    <x v="3"/>
    <s v="Student"/>
    <n v="5556.19"/>
    <n v="2822.65"/>
    <n v="61073.93"/>
    <s v="No"/>
    <s v="None"/>
    <n v="0"/>
    <n v="0"/>
    <n v="0"/>
    <n v="0"/>
    <n v="0"/>
    <n v="780"/>
    <n v="0.92"/>
    <x v="2"/>
    <x v="1055"/>
    <n v="0"/>
  </r>
  <r>
    <s v="U32396"/>
    <x v="45"/>
    <x v="0"/>
    <x v="3"/>
    <x v="2"/>
    <s v="Doctor"/>
    <n v="1268.2"/>
    <n v="1132.33"/>
    <n v="4505.24"/>
    <s v="No"/>
    <s v="None"/>
    <n v="0"/>
    <n v="0"/>
    <n v="0"/>
    <n v="0"/>
    <n v="0"/>
    <n v="580"/>
    <n v="0.3"/>
    <x v="0"/>
    <x v="609"/>
    <n v="0"/>
  </r>
  <r>
    <s v="U32406"/>
    <x v="40"/>
    <x v="1"/>
    <x v="0"/>
    <x v="3"/>
    <s v="Manager"/>
    <n v="4373.7299999999996"/>
    <n v="3222.96"/>
    <n v="51547.14"/>
    <s v="No"/>
    <s v="None"/>
    <n v="0"/>
    <n v="0"/>
    <n v="0"/>
    <n v="0"/>
    <n v="0"/>
    <n v="641"/>
    <n v="0.98"/>
    <x v="3"/>
    <x v="1185"/>
    <n v="0"/>
  </r>
  <r>
    <s v="U32409"/>
    <x v="31"/>
    <x v="2"/>
    <x v="0"/>
    <x v="1"/>
    <s v="Student"/>
    <n v="4448.2"/>
    <n v="3537.67"/>
    <n v="28919.1"/>
    <s v="Yes"/>
    <s v="Education"/>
    <n v="408132.22"/>
    <n v="300"/>
    <n v="7581.45"/>
    <n v="22.2"/>
    <n v="1.7"/>
    <n v="627"/>
    <n v="0.54"/>
    <x v="1"/>
    <x v="1186"/>
    <n v="1"/>
  </r>
  <r>
    <s v="U32411"/>
    <x v="50"/>
    <x v="0"/>
    <x v="2"/>
    <x v="1"/>
    <s v="Student"/>
    <n v="6850.01"/>
    <n v="2689.75"/>
    <n v="65995.009999999995"/>
    <s v="No"/>
    <s v="None"/>
    <n v="0"/>
    <n v="0"/>
    <n v="0"/>
    <n v="0"/>
    <n v="0"/>
    <n v="676"/>
    <n v="0.8"/>
    <x v="2"/>
    <x v="174"/>
    <n v="0"/>
  </r>
  <r>
    <s v="U32413"/>
    <x v="9"/>
    <x v="0"/>
    <x v="3"/>
    <x v="3"/>
    <s v="Unemployed"/>
    <n v="4922.3999999999996"/>
    <n v="2861.97"/>
    <n v="33211.620000000003"/>
    <s v="No"/>
    <s v="None"/>
    <n v="0"/>
    <n v="0"/>
    <n v="0"/>
    <n v="0"/>
    <n v="0"/>
    <n v="531"/>
    <n v="0.56000000000000005"/>
    <x v="0"/>
    <x v="497"/>
    <n v="0"/>
  </r>
  <r>
    <s v="U32416"/>
    <x v="1"/>
    <x v="1"/>
    <x v="4"/>
    <x v="1"/>
    <s v="Engineer"/>
    <n v="3579.84"/>
    <n v="2861.06"/>
    <n v="5003.49"/>
    <s v="Yes"/>
    <s v="Car"/>
    <n v="489624.86"/>
    <n v="300"/>
    <n v="3463.69"/>
    <n v="7.01"/>
    <n v="0.97"/>
    <n v="775"/>
    <n v="0.12"/>
    <x v="3"/>
    <x v="631"/>
    <n v="1"/>
  </r>
  <r>
    <s v="U32421"/>
    <x v="24"/>
    <x v="1"/>
    <x v="2"/>
    <x v="1"/>
    <s v="Student"/>
    <n v="5725.78"/>
    <n v="4965.0200000000004"/>
    <n v="17247.57"/>
    <s v="Yes"/>
    <s v="Home"/>
    <n v="83602.570000000007"/>
    <n v="12"/>
    <n v="7605.13"/>
    <n v="16.5"/>
    <n v="1.33"/>
    <n v="453"/>
    <n v="0.25"/>
    <x v="1"/>
    <x v="1128"/>
    <n v="1"/>
  </r>
  <r>
    <s v="U32422"/>
    <x v="36"/>
    <x v="1"/>
    <x v="3"/>
    <x v="2"/>
    <s v="Doctor"/>
    <n v="3282.38"/>
    <n v="2243.77"/>
    <n v="22081.21"/>
    <s v="No"/>
    <s v="None"/>
    <n v="0"/>
    <n v="0"/>
    <n v="0"/>
    <n v="0"/>
    <n v="0"/>
    <n v="391"/>
    <n v="0.56000000000000005"/>
    <x v="2"/>
    <x v="5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589777-BA7E-4430-AA8E-18E38593BA5F}" name="average_expenses" cacheId="0" applyNumberFormats="0" applyBorderFormats="0" applyFontFormats="0" applyPatternFormats="0" applyAlignmentFormats="0" applyWidthHeightFormats="1" dataCaption="Values" grandTotalCaption="Average Expenses" updatedVersion="8" minRefreshableVersion="5" useAutoFormatting="1" itemPrintTitles="1" createdVersion="8" indent="0" outline="1" outlineData="1" multipleFieldFilters="0" chartFormat="34" rowHeaderCaption="Region">
  <location ref="E12:F18" firstHeaderRow="1" firstDataRow="1" firstDataCol="1"/>
  <pivotFields count="22">
    <pivotField showAll="0"/>
    <pivotField showAll="0">
      <items count="53">
        <item x="36"/>
        <item x="16"/>
        <item x="15"/>
        <item x="13"/>
        <item x="12"/>
        <item x="0"/>
        <item x="22"/>
        <item x="9"/>
        <item x="43"/>
        <item x="7"/>
        <item x="50"/>
        <item x="17"/>
        <item x="32"/>
        <item x="42"/>
        <item x="41"/>
        <item x="46"/>
        <item x="31"/>
        <item x="6"/>
        <item x="34"/>
        <item x="39"/>
        <item x="5"/>
        <item x="40"/>
        <item x="2"/>
        <item x="33"/>
        <item x="11"/>
        <item x="14"/>
        <item x="3"/>
        <item x="23"/>
        <item x="28"/>
        <item x="51"/>
        <item x="10"/>
        <item x="8"/>
        <item x="27"/>
        <item x="24"/>
        <item x="45"/>
        <item x="30"/>
        <item x="4"/>
        <item x="49"/>
        <item x="25"/>
        <item x="1"/>
        <item x="18"/>
        <item x="26"/>
        <item x="48"/>
        <item x="21"/>
        <item x="20"/>
        <item x="38"/>
        <item x="35"/>
        <item x="29"/>
        <item x="44"/>
        <item x="37"/>
        <item x="47"/>
        <item x="19"/>
        <item t="default"/>
      </items>
    </pivotField>
    <pivotField showAll="0">
      <items count="4">
        <item x="1"/>
        <item x="0"/>
        <item x="2"/>
        <item t="default"/>
      </items>
    </pivotField>
    <pivotField showAll="0">
      <items count="6">
        <item x="3"/>
        <item x="0"/>
        <item x="2"/>
        <item x="1"/>
        <item x="4"/>
        <item t="default"/>
      </items>
    </pivotField>
    <pivotField showAll="0">
      <items count="5">
        <item x="1"/>
        <item x="2"/>
        <item x="0"/>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numFmtId="14" showAll="0">
      <items count="1188">
        <item x="1017"/>
        <item x="641"/>
        <item x="635"/>
        <item x="422"/>
        <item x="319"/>
        <item x="1100"/>
        <item x="39"/>
        <item x="1078"/>
        <item x="136"/>
        <item x="325"/>
        <item x="756"/>
        <item x="719"/>
        <item x="239"/>
        <item x="824"/>
        <item x="214"/>
        <item x="1183"/>
        <item x="569"/>
        <item x="758"/>
        <item x="380"/>
        <item x="879"/>
        <item x="1146"/>
        <item x="91"/>
        <item x="836"/>
        <item x="260"/>
        <item x="944"/>
        <item x="849"/>
        <item x="450"/>
        <item x="700"/>
        <item x="924"/>
        <item x="753"/>
        <item x="626"/>
        <item x="834"/>
        <item x="433"/>
        <item x="874"/>
        <item x="462"/>
        <item x="533"/>
        <item x="1045"/>
        <item x="895"/>
        <item x="429"/>
        <item x="74"/>
        <item x="936"/>
        <item x="556"/>
        <item x="50"/>
        <item x="593"/>
        <item x="688"/>
        <item x="706"/>
        <item x="207"/>
        <item x="299"/>
        <item x="919"/>
        <item x="314"/>
        <item x="788"/>
        <item x="779"/>
        <item x="205"/>
        <item x="441"/>
        <item x="73"/>
        <item x="732"/>
        <item x="227"/>
        <item x="356"/>
        <item x="906"/>
        <item x="283"/>
        <item x="896"/>
        <item x="235"/>
        <item x="699"/>
        <item x="655"/>
        <item x="1158"/>
        <item x="478"/>
        <item x="43"/>
        <item x="1142"/>
        <item x="794"/>
        <item x="1069"/>
        <item x="754"/>
        <item x="149"/>
        <item x="1161"/>
        <item x="1085"/>
        <item x="1007"/>
        <item x="475"/>
        <item x="696"/>
        <item x="348"/>
        <item x="1023"/>
        <item x="461"/>
        <item x="624"/>
        <item x="770"/>
        <item x="615"/>
        <item x="212"/>
        <item x="1101"/>
        <item x="5"/>
        <item x="418"/>
        <item x="943"/>
        <item x="987"/>
        <item x="320"/>
        <item x="872"/>
        <item x="1106"/>
        <item x="854"/>
        <item x="528"/>
        <item x="727"/>
        <item x="517"/>
        <item x="497"/>
        <item x="1082"/>
        <item x="563"/>
        <item x="35"/>
        <item x="151"/>
        <item x="173"/>
        <item x="276"/>
        <item x="297"/>
        <item x="839"/>
        <item x="376"/>
        <item x="81"/>
        <item x="454"/>
        <item x="195"/>
        <item x="232"/>
        <item x="1062"/>
        <item x="1"/>
        <item x="580"/>
        <item x="398"/>
        <item x="792"/>
        <item x="105"/>
        <item x="786"/>
        <item x="1059"/>
        <item x="336"/>
        <item x="119"/>
        <item x="713"/>
        <item x="21"/>
        <item x="691"/>
        <item x="146"/>
        <item x="527"/>
        <item x="490"/>
        <item x="1174"/>
        <item x="1093"/>
        <item x="1024"/>
        <item x="974"/>
        <item x="407"/>
        <item x="900"/>
        <item x="768"/>
        <item x="406"/>
        <item x="962"/>
        <item x="434"/>
        <item x="443"/>
        <item x="1019"/>
        <item x="388"/>
        <item x="923"/>
        <item x="263"/>
        <item x="1129"/>
        <item x="1136"/>
        <item x="1154"/>
        <item x="1163"/>
        <item x="693"/>
        <item x="587"/>
        <item x="486"/>
        <item x="1066"/>
        <item x="498"/>
        <item x="822"/>
        <item x="344"/>
        <item x="244"/>
        <item x="509"/>
        <item x="1058"/>
        <item x="566"/>
        <item x="178"/>
        <item x="749"/>
        <item x="249"/>
        <item x="9"/>
        <item x="1175"/>
        <item x="25"/>
        <item x="334"/>
        <item x="687"/>
        <item x="1049"/>
        <item x="614"/>
        <item x="1140"/>
        <item x="123"/>
        <item x="562"/>
        <item x="467"/>
        <item x="867"/>
        <item x="927"/>
        <item x="501"/>
        <item x="616"/>
        <item x="963"/>
        <item x="807"/>
        <item x="921"/>
        <item x="191"/>
        <item x="101"/>
        <item x="97"/>
        <item x="714"/>
        <item x="254"/>
        <item x="902"/>
        <item x="500"/>
        <item x="775"/>
        <item x="349"/>
        <item x="938"/>
        <item x="609"/>
        <item x="1010"/>
        <item x="255"/>
        <item x="804"/>
        <item x="842"/>
        <item x="1089"/>
        <item x="1086"/>
        <item x="625"/>
        <item x="1029"/>
        <item x="309"/>
        <item x="711"/>
        <item x="1149"/>
        <item x="100"/>
        <item x="437"/>
        <item x="583"/>
        <item x="111"/>
        <item x="1013"/>
        <item x="519"/>
        <item x="680"/>
        <item x="480"/>
        <item x="503"/>
        <item x="484"/>
        <item x="728"/>
        <item x="220"/>
        <item x="1012"/>
        <item x="513"/>
        <item x="1096"/>
        <item x="148"/>
        <item x="982"/>
        <item x="1177"/>
        <item x="383"/>
        <item x="638"/>
        <item x="196"/>
        <item x="717"/>
        <item x="945"/>
        <item x="491"/>
        <item x="23"/>
        <item x="156"/>
        <item x="603"/>
        <item x="1118"/>
        <item x="705"/>
        <item x="1056"/>
        <item x="968"/>
        <item x="733"/>
        <item x="631"/>
        <item x="68"/>
        <item x="117"/>
        <item x="358"/>
        <item x="715"/>
        <item x="1039"/>
        <item x="218"/>
        <item x="1168"/>
        <item x="442"/>
        <item x="723"/>
        <item x="357"/>
        <item x="203"/>
        <item x="1072"/>
        <item x="375"/>
        <item x="558"/>
        <item x="934"/>
        <item x="115"/>
        <item x="1031"/>
        <item x="584"/>
        <item x="342"/>
        <item x="192"/>
        <item x="425"/>
        <item x="246"/>
        <item x="681"/>
        <item x="1090"/>
        <item x="473"/>
        <item x="986"/>
        <item x="710"/>
        <item x="362"/>
        <item x="740"/>
        <item x="1115"/>
        <item x="1126"/>
        <item x="1036"/>
        <item x="150"/>
        <item x="785"/>
        <item x="939"/>
        <item x="648"/>
        <item x="494"/>
        <item x="405"/>
        <item x="310"/>
        <item x="106"/>
        <item x="1184"/>
        <item x="177"/>
        <item x="582"/>
        <item x="1103"/>
        <item x="526"/>
        <item x="96"/>
        <item x="237"/>
        <item x="95"/>
        <item x="573"/>
        <item x="504"/>
        <item x="272"/>
        <item x="144"/>
        <item x="941"/>
        <item x="14"/>
        <item x="589"/>
        <item x="79"/>
        <item x="1180"/>
        <item x="118"/>
        <item x="468"/>
        <item x="174"/>
        <item x="22"/>
        <item x="805"/>
        <item x="427"/>
        <item x="170"/>
        <item x="567"/>
        <item x="367"/>
        <item x="565"/>
        <item x="660"/>
        <item x="159"/>
        <item x="995"/>
        <item x="1165"/>
        <item x="991"/>
        <item x="46"/>
        <item x="483"/>
        <item x="1171"/>
        <item x="760"/>
        <item x="456"/>
        <item x="636"/>
        <item x="812"/>
        <item x="997"/>
        <item x="1108"/>
        <item x="910"/>
        <item x="571"/>
        <item x="545"/>
        <item x="787"/>
        <item x="540"/>
        <item x="814"/>
        <item x="990"/>
        <item x="215"/>
        <item x="1169"/>
        <item x="806"/>
        <item x="908"/>
        <item x="241"/>
        <item x="724"/>
        <item x="466"/>
        <item x="290"/>
        <item x="381"/>
        <item x="525"/>
        <item x="131"/>
        <item x="457"/>
        <item x="743"/>
        <item x="261"/>
        <item x="838"/>
        <item x="368"/>
        <item x="489"/>
        <item x="414"/>
        <item x="1131"/>
        <item x="339"/>
        <item x="610"/>
        <item x="859"/>
        <item x="813"/>
        <item x="1132"/>
        <item x="459"/>
        <item x="366"/>
        <item x="416"/>
        <item x="327"/>
        <item x="10"/>
        <item x="600"/>
        <item x="809"/>
        <item x="463"/>
        <item x="980"/>
        <item x="530"/>
        <item x="382"/>
        <item x="236"/>
        <item x="1182"/>
        <item x="979"/>
        <item x="1147"/>
        <item x="216"/>
        <item x="935"/>
        <item x="199"/>
        <item x="242"/>
        <item x="240"/>
        <item x="622"/>
        <item x="288"/>
        <item x="471"/>
        <item x="201"/>
        <item x="1135"/>
        <item x="989"/>
        <item x="322"/>
        <item x="7"/>
        <item x="672"/>
        <item x="557"/>
        <item x="633"/>
        <item x="772"/>
        <item x="1134"/>
        <item x="67"/>
        <item x="725"/>
        <item x="372"/>
        <item x="572"/>
        <item x="843"/>
        <item x="650"/>
        <item x="307"/>
        <item x="446"/>
        <item x="819"/>
        <item x="78"/>
        <item x="206"/>
        <item x="737"/>
        <item x="823"/>
        <item x="959"/>
        <item x="808"/>
        <item x="909"/>
        <item x="522"/>
        <item x="76"/>
        <item x="875"/>
        <item x="333"/>
        <item x="82"/>
        <item x="953"/>
        <item x="1009"/>
        <item x="541"/>
        <item x="465"/>
        <item x="661"/>
        <item x="313"/>
        <item x="324"/>
        <item x="639"/>
        <item x="988"/>
        <item x="413"/>
        <item x="1037"/>
        <item x="957"/>
        <item x="790"/>
        <item x="1035"/>
        <item x="1150"/>
        <item x="946"/>
        <item x="208"/>
        <item x="496"/>
        <item x="511"/>
        <item x="161"/>
        <item x="643"/>
        <item x="209"/>
        <item x="591"/>
        <item x="659"/>
        <item x="776"/>
        <item x="798"/>
        <item x="744"/>
        <item x="608"/>
        <item x="1105"/>
        <item x="893"/>
        <item x="251"/>
        <item x="238"/>
        <item x="83"/>
        <item x="539"/>
        <item x="432"/>
        <item x="1022"/>
        <item x="905"/>
        <item x="264"/>
        <item x="642"/>
        <item x="371"/>
        <item x="1065"/>
        <item x="228"/>
        <item x="791"/>
        <item x="337"/>
        <item x="338"/>
        <item x="329"/>
        <item x="389"/>
        <item x="833"/>
        <item x="306"/>
        <item x="543"/>
        <item x="915"/>
        <item x="1145"/>
        <item x="972"/>
        <item x="695"/>
        <item x="502"/>
        <item x="858"/>
        <item x="296"/>
        <item x="883"/>
        <item x="653"/>
        <item x="61"/>
        <item x="891"/>
        <item x="942"/>
        <item x="752"/>
        <item x="289"/>
        <item x="99"/>
        <item x="645"/>
        <item x="1144"/>
        <item x="455"/>
        <item x="1042"/>
        <item x="415"/>
        <item x="821"/>
        <item x="903"/>
        <item x="1107"/>
        <item x="86"/>
        <item x="355"/>
        <item x="404"/>
        <item x="343"/>
        <item x="447"/>
        <item x="739"/>
        <item x="976"/>
        <item x="697"/>
        <item x="981"/>
        <item x="684"/>
        <item x="184"/>
        <item x="544"/>
        <item x="873"/>
        <item x="947"/>
        <item x="293"/>
        <item x="516"/>
        <item x="683"/>
        <item x="757"/>
        <item x="479"/>
        <item x="690"/>
        <item x="139"/>
        <item x="124"/>
        <item x="716"/>
        <item x="1040"/>
        <item x="799"/>
        <item x="0"/>
        <item x="12"/>
        <item x="303"/>
        <item x="911"/>
        <item x="830"/>
        <item x="904"/>
        <item x="689"/>
        <item x="570"/>
        <item x="914"/>
        <item x="538"/>
        <item x="668"/>
        <item x="72"/>
        <item x="265"/>
        <item x="472"/>
        <item x="311"/>
        <item x="726"/>
        <item x="140"/>
        <item x="1044"/>
        <item x="1114"/>
        <item x="780"/>
        <item x="387"/>
        <item x="60"/>
        <item x="354"/>
        <item x="552"/>
        <item x="602"/>
        <item x="470"/>
        <item x="1102"/>
        <item x="803"/>
        <item x="1048"/>
        <item x="1153"/>
        <item x="193"/>
        <item x="604"/>
        <item x="1110"/>
        <item x="245"/>
        <item x="765"/>
        <item x="901"/>
        <item x="656"/>
        <item x="257"/>
        <item x="605"/>
        <item x="575"/>
        <item x="536"/>
        <item x="777"/>
        <item x="1120"/>
        <item x="1001"/>
        <item x="130"/>
        <item x="116"/>
        <item x="574"/>
        <item x="993"/>
        <item x="424"/>
        <item x="1083"/>
        <item x="298"/>
        <item x="559"/>
        <item x="886"/>
        <item x="481"/>
        <item x="152"/>
        <item x="1130"/>
        <item x="647"/>
        <item x="162"/>
        <item x="912"/>
        <item x="965"/>
        <item x="1176"/>
        <item x="187"/>
        <item x="1087"/>
        <item x="304"/>
        <item x="1026"/>
        <item x="1141"/>
        <item x="1097"/>
        <item x="1064"/>
        <item x="505"/>
        <item x="731"/>
        <item x="658"/>
        <item x="1016"/>
        <item x="964"/>
        <item x="707"/>
        <item x="1008"/>
        <item x="735"/>
        <item x="940"/>
        <item x="210"/>
        <item x="971"/>
        <item x="19"/>
        <item x="451"/>
        <item x="243"/>
        <item x="889"/>
        <item x="1015"/>
        <item x="284"/>
        <item x="892"/>
        <item x="598"/>
        <item x="6"/>
        <item x="1018"/>
        <item x="189"/>
        <item x="2"/>
        <item x="15"/>
        <item x="698"/>
        <item x="1088"/>
        <item x="518"/>
        <item x="937"/>
        <item x="1095"/>
        <item x="141"/>
        <item x="599"/>
        <item x="835"/>
        <item x="360"/>
        <item x="840"/>
        <item x="440"/>
        <item x="399"/>
        <item x="138"/>
        <item x="925"/>
        <item x="1033"/>
        <item x="1133"/>
        <item x="179"/>
        <item x="45"/>
        <item x="686"/>
        <item x="474"/>
        <item x="933"/>
        <item x="994"/>
        <item x="332"/>
        <item x="409"/>
        <item x="430"/>
        <item x="153"/>
        <item x="112"/>
        <item x="666"/>
        <item x="204"/>
        <item x="364"/>
        <item x="594"/>
        <item x="190"/>
        <item x="736"/>
        <item x="1014"/>
        <item x="188"/>
        <item x="1075"/>
        <item x="669"/>
        <item x="445"/>
        <item x="1074"/>
        <item x="958"/>
        <item x="769"/>
        <item x="1011"/>
        <item x="774"/>
        <item x="1099"/>
        <item x="677"/>
        <item x="36"/>
        <item x="281"/>
        <item x="1178"/>
        <item x="65"/>
        <item x="549"/>
        <item x="24"/>
        <item x="802"/>
        <item x="673"/>
        <item x="230"/>
        <item x="316"/>
        <item x="28"/>
        <item x="966"/>
        <item x="800"/>
        <item x="449"/>
        <item x="250"/>
        <item x="335"/>
        <item x="546"/>
        <item x="213"/>
        <item x="482"/>
        <item x="969"/>
        <item x="554"/>
        <item x="1094"/>
        <item x="797"/>
        <item x="1166"/>
        <item x="294"/>
        <item x="347"/>
        <item x="386"/>
        <item x="300"/>
        <item x="353"/>
        <item x="38"/>
        <item x="778"/>
        <item x="301"/>
        <item x="652"/>
        <item x="585"/>
        <item x="359"/>
        <item x="537"/>
        <item x="393"/>
        <item x="41"/>
        <item x="701"/>
        <item x="200"/>
        <item x="1181"/>
        <item x="619"/>
        <item x="278"/>
        <item x="92"/>
        <item x="998"/>
        <item x="287"/>
        <item x="685"/>
        <item x="108"/>
        <item x="378"/>
        <item x="930"/>
        <item x="1172"/>
        <item x="374"/>
        <item x="820"/>
        <item x="810"/>
        <item x="606"/>
        <item x="384"/>
        <item x="318"/>
        <item x="607"/>
        <item x="1123"/>
        <item x="277"/>
        <item x="951"/>
        <item x="1060"/>
        <item x="1111"/>
        <item x="629"/>
        <item x="312"/>
        <item x="795"/>
        <item x="1159"/>
        <item x="1025"/>
        <item x="448"/>
        <item x="878"/>
        <item x="70"/>
        <item x="1063"/>
        <item x="555"/>
        <item x="274"/>
        <item x="869"/>
        <item x="967"/>
        <item x="59"/>
        <item x="1003"/>
        <item x="231"/>
        <item x="618"/>
        <item x="674"/>
        <item x="271"/>
        <item x="551"/>
        <item x="1070"/>
        <item x="488"/>
        <item x="408"/>
        <item x="796"/>
        <item x="675"/>
        <item x="13"/>
        <item x="564"/>
        <item x="620"/>
        <item x="1151"/>
        <item x="750"/>
        <item x="1041"/>
        <item x="62"/>
        <item x="285"/>
        <item x="729"/>
        <item x="634"/>
        <item x="302"/>
        <item x="128"/>
        <item x="1179"/>
        <item x="147"/>
        <item x="85"/>
        <item x="524"/>
        <item x="1071"/>
        <item x="223"/>
        <item x="18"/>
        <item x="763"/>
        <item x="876"/>
        <item x="331"/>
        <item x="20"/>
        <item x="52"/>
        <item x="1125"/>
        <item x="992"/>
        <item x="720"/>
        <item x="17"/>
        <item x="396"/>
        <item x="961"/>
        <item x="165"/>
        <item x="1057"/>
        <item x="663"/>
        <item x="1152"/>
        <item x="931"/>
        <item x="54"/>
        <item x="613"/>
        <item x="326"/>
        <item x="866"/>
        <item x="887"/>
        <item x="929"/>
        <item x="51"/>
        <item x="229"/>
        <item x="419"/>
        <item x="164"/>
        <item x="485"/>
        <item x="122"/>
        <item x="547"/>
        <item x="321"/>
        <item x="420"/>
        <item x="176"/>
        <item x="1167"/>
        <item x="764"/>
        <item x="692"/>
        <item x="703"/>
        <item x="853"/>
        <item x="521"/>
        <item x="1185"/>
        <item x="1160"/>
        <item x="252"/>
        <item x="27"/>
        <item x="397"/>
        <item x="679"/>
        <item x="351"/>
        <item x="850"/>
        <item x="269"/>
        <item x="576"/>
        <item x="154"/>
        <item x="439"/>
        <item x="862"/>
        <item x="948"/>
        <item x="592"/>
        <item x="423"/>
        <item x="1124"/>
        <item x="1092"/>
        <item x="702"/>
        <item x="954"/>
        <item x="412"/>
        <item x="493"/>
        <item x="1143"/>
        <item x="132"/>
        <item x="44"/>
        <item x="718"/>
        <item x="506"/>
        <item x="670"/>
        <item x="1051"/>
        <item x="186"/>
        <item x="169"/>
        <item x="579"/>
        <item x="137"/>
        <item x="898"/>
        <item x="597"/>
        <item x="507"/>
        <item x="510"/>
        <item x="601"/>
        <item x="694"/>
        <item x="1139"/>
        <item x="127"/>
        <item x="385"/>
        <item x="291"/>
        <item x="77"/>
        <item x="107"/>
        <item x="657"/>
        <item x="897"/>
        <item x="816"/>
        <item x="469"/>
        <item x="340"/>
        <item x="590"/>
        <item x="114"/>
        <item x="617"/>
        <item x="826"/>
        <item x="825"/>
        <item x="577"/>
        <item x="109"/>
        <item x="1116"/>
        <item x="370"/>
        <item x="1122"/>
        <item x="234"/>
        <item x="734"/>
        <item x="1173"/>
        <item x="1047"/>
        <item x="1186"/>
        <item x="917"/>
        <item x="29"/>
        <item x="514"/>
        <item x="47"/>
        <item x="80"/>
        <item x="308"/>
        <item x="403"/>
        <item x="847"/>
        <item x="956"/>
        <item x="167"/>
        <item x="548"/>
        <item x="864"/>
        <item x="920"/>
        <item x="837"/>
        <item x="1032"/>
        <item x="182"/>
        <item x="275"/>
        <item x="630"/>
        <item x="66"/>
        <item x="671"/>
        <item x="531"/>
        <item x="784"/>
        <item x="855"/>
        <item x="1073"/>
        <item x="102"/>
        <item x="747"/>
        <item x="37"/>
        <item x="665"/>
        <item x="121"/>
        <item x="224"/>
        <item x="157"/>
        <item x="644"/>
        <item x="535"/>
        <item x="247"/>
        <item x="960"/>
        <item x="219"/>
        <item x="42"/>
        <item x="730"/>
        <item x="292"/>
        <item x="394"/>
        <item x="1061"/>
        <item x="1034"/>
        <item x="56"/>
        <item x="390"/>
        <item x="172"/>
        <item x="458"/>
        <item x="452"/>
        <item x="870"/>
        <item x="748"/>
        <item x="328"/>
        <item x="863"/>
        <item x="882"/>
        <item x="3"/>
        <item x="428"/>
        <item x="1157"/>
        <item x="832"/>
        <item x="852"/>
        <item x="350"/>
        <item x="553"/>
        <item x="256"/>
        <item x="829"/>
        <item x="417"/>
        <item x="104"/>
        <item x="411"/>
        <item x="211"/>
        <item x="596"/>
        <item x="135"/>
        <item x="588"/>
        <item x="1046"/>
        <item x="26"/>
        <item x="395"/>
        <item x="113"/>
        <item x="508"/>
        <item x="1068"/>
        <item x="709"/>
        <item x="899"/>
        <item x="90"/>
        <item x="1138"/>
        <item x="175"/>
        <item x="759"/>
        <item x="345"/>
        <item x="133"/>
        <item x="1038"/>
        <item x="586"/>
        <item x="1098"/>
        <item x="270"/>
        <item x="865"/>
        <item x="185"/>
        <item x="1043"/>
        <item x="856"/>
        <item x="110"/>
        <item x="801"/>
        <item x="977"/>
        <item x="1020"/>
        <item x="202"/>
        <item x="1067"/>
        <item x="1121"/>
        <item x="365"/>
        <item x="950"/>
        <item x="160"/>
        <item x="1137"/>
        <item x="369"/>
        <item x="973"/>
        <item x="16"/>
        <item x="248"/>
        <item x="1021"/>
        <item x="999"/>
        <item x="916"/>
        <item x="1162"/>
        <item x="845"/>
        <item x="444"/>
        <item x="828"/>
        <item x="31"/>
        <item x="163"/>
        <item x="1156"/>
        <item x="975"/>
        <item x="55"/>
        <item x="860"/>
        <item x="880"/>
        <item x="678"/>
        <item x="305"/>
        <item x="811"/>
        <item x="315"/>
        <item x="654"/>
        <item x="421"/>
        <item x="75"/>
        <item x="884"/>
        <item x="637"/>
        <item x="611"/>
        <item x="323"/>
        <item x="103"/>
        <item x="142"/>
        <item x="71"/>
        <item x="402"/>
        <item x="435"/>
        <item x="453"/>
        <item x="985"/>
        <item x="955"/>
        <item x="295"/>
        <item x="783"/>
        <item x="952"/>
        <item x="273"/>
        <item x="487"/>
        <item x="129"/>
        <item x="1113"/>
        <item x="1170"/>
        <item x="1030"/>
        <item x="436"/>
        <item x="258"/>
        <item x="1155"/>
        <item x="595"/>
        <item x="949"/>
        <item x="120"/>
        <item x="1117"/>
        <item x="815"/>
        <item x="512"/>
        <item x="233"/>
        <item x="913"/>
        <item x="226"/>
        <item x="1084"/>
        <item x="871"/>
        <item x="745"/>
        <item x="793"/>
        <item x="98"/>
        <item x="1119"/>
        <item x="476"/>
        <item x="722"/>
        <item x="391"/>
        <item x="69"/>
        <item x="352"/>
        <item x="40"/>
        <item x="166"/>
        <item x="928"/>
        <item x="1164"/>
        <item x="704"/>
        <item x="8"/>
        <item x="857"/>
        <item x="183"/>
        <item x="881"/>
        <item x="515"/>
        <item x="529"/>
        <item x="712"/>
        <item x="1076"/>
        <item x="53"/>
        <item x="1053"/>
        <item x="426"/>
        <item x="676"/>
        <item x="171"/>
        <item x="560"/>
        <item x="168"/>
        <item x="477"/>
        <item x="197"/>
        <item x="851"/>
        <item x="568"/>
        <item x="11"/>
        <item x="581"/>
        <item x="550"/>
        <item x="268"/>
        <item x="578"/>
        <item x="225"/>
        <item x="926"/>
        <item x="431"/>
        <item x="762"/>
        <item x="49"/>
        <item x="126"/>
        <item x="400"/>
        <item x="646"/>
        <item x="1002"/>
        <item x="401"/>
        <item x="222"/>
        <item x="217"/>
        <item x="1050"/>
        <item x="612"/>
        <item x="155"/>
        <item x="198"/>
        <item x="932"/>
        <item x="84"/>
        <item x="1112"/>
        <item x="721"/>
        <item x="818"/>
        <item x="266"/>
        <item x="1148"/>
        <item x="877"/>
        <item x="742"/>
        <item x="846"/>
        <item x="63"/>
        <item x="848"/>
        <item x="1028"/>
        <item x="373"/>
        <item x="767"/>
        <item x="970"/>
        <item x="1052"/>
        <item x="361"/>
        <item x="773"/>
        <item x="1081"/>
        <item x="523"/>
        <item x="134"/>
        <item x="1104"/>
        <item x="984"/>
        <item x="781"/>
        <item x="755"/>
        <item x="89"/>
        <item x="708"/>
        <item x="1006"/>
        <item x="662"/>
        <item x="841"/>
        <item x="259"/>
        <item x="894"/>
        <item x="87"/>
        <item x="438"/>
        <item x="464"/>
        <item x="978"/>
        <item x="751"/>
        <item x="1109"/>
        <item x="1005"/>
        <item x="32"/>
        <item x="766"/>
        <item x="1000"/>
        <item x="282"/>
        <item x="317"/>
        <item x="682"/>
        <item x="520"/>
        <item x="640"/>
        <item x="649"/>
        <item x="341"/>
        <item x="158"/>
        <item x="180"/>
        <item x="1127"/>
        <item x="64"/>
        <item x="983"/>
        <item x="632"/>
        <item x="94"/>
        <item x="279"/>
        <item x="460"/>
        <item x="746"/>
        <item x="1004"/>
        <item x="4"/>
        <item x="817"/>
        <item x="125"/>
        <item x="741"/>
        <item x="651"/>
        <item x="88"/>
        <item x="628"/>
        <item x="145"/>
        <item x="499"/>
        <item x="286"/>
        <item x="996"/>
        <item x="534"/>
        <item x="907"/>
        <item x="542"/>
        <item x="782"/>
        <item x="831"/>
        <item x="253"/>
        <item x="379"/>
        <item x="34"/>
        <item x="1091"/>
        <item x="761"/>
        <item x="885"/>
        <item x="844"/>
        <item x="664"/>
        <item x="771"/>
        <item x="48"/>
        <item x="143"/>
        <item x="58"/>
        <item x="561"/>
        <item x="890"/>
        <item x="377"/>
        <item x="1128"/>
        <item x="1080"/>
        <item x="346"/>
        <item x="280"/>
        <item x="492"/>
        <item x="495"/>
        <item x="1055"/>
        <item x="33"/>
        <item x="1027"/>
        <item x="918"/>
        <item x="93"/>
        <item x="221"/>
        <item x="789"/>
        <item x="627"/>
        <item x="410"/>
        <item x="262"/>
        <item x="1079"/>
        <item x="868"/>
        <item x="181"/>
        <item x="888"/>
        <item x="330"/>
        <item x="1077"/>
        <item x="861"/>
        <item x="30"/>
        <item x="363"/>
        <item x="1054"/>
        <item x="392"/>
        <item x="267"/>
        <item x="194"/>
        <item x="738"/>
        <item x="621"/>
        <item x="827"/>
        <item x="667"/>
        <item x="922"/>
        <item x="57"/>
        <item x="623"/>
        <item x="532"/>
        <item t="default"/>
      </items>
    </pivotField>
    <pivotField showAll="0"/>
    <pivotField dragToRow="0" dragToCol="0" dragToPage="0" showAll="0" defaultSubtotal="0"/>
  </pivotFields>
  <rowFields count="1">
    <field x="18"/>
  </rowFields>
  <rowItems count="6">
    <i>
      <x v="1"/>
    </i>
    <i>
      <x v="2"/>
    </i>
    <i>
      <x v="3"/>
    </i>
    <i>
      <x/>
    </i>
    <i>
      <x v="4"/>
    </i>
    <i t="grand">
      <x/>
    </i>
  </rowItems>
  <colItems count="1">
    <i/>
  </colItems>
  <dataFields count="1">
    <dataField name="Average Expenses" fld="7" subtotal="average" baseField="0" baseItem="0" numFmtId="164"/>
  </dataFields>
  <chartFormats count="4">
    <chartFormat chart="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1256CF-CB36-4075-976B-47D07A534019}" name="average_DTI" cacheId="0" applyNumberFormats="0" applyBorderFormats="0" applyFontFormats="0" applyPatternFormats="0" applyAlignmentFormats="0" applyWidthHeightFormats="1" dataCaption="Values" grandTotalCaption="Average DTI" updatedVersion="8" minRefreshableVersion="5" useAutoFormatting="1" itemPrintTitles="1" createdVersion="8" indent="0" outline="1" outlineData="1" multipleFieldFilters="0" chartFormat="10" rowHeaderCaption="Region">
  <location ref="I12:J18" firstHeaderRow="1" firstDataRow="1" firstDataCol="1"/>
  <pivotFields count="22">
    <pivotField showAll="0"/>
    <pivotField showAll="0">
      <items count="53">
        <item x="36"/>
        <item x="16"/>
        <item x="15"/>
        <item x="13"/>
        <item x="12"/>
        <item x="0"/>
        <item x="22"/>
        <item x="9"/>
        <item x="43"/>
        <item x="7"/>
        <item x="50"/>
        <item x="17"/>
        <item x="32"/>
        <item x="42"/>
        <item x="41"/>
        <item x="46"/>
        <item x="31"/>
        <item x="6"/>
        <item x="34"/>
        <item x="39"/>
        <item x="5"/>
        <item x="40"/>
        <item x="2"/>
        <item x="33"/>
        <item x="11"/>
        <item x="14"/>
        <item x="3"/>
        <item x="23"/>
        <item x="28"/>
        <item x="51"/>
        <item x="10"/>
        <item x="8"/>
        <item x="27"/>
        <item x="24"/>
        <item x="45"/>
        <item x="30"/>
        <item x="4"/>
        <item x="49"/>
        <item x="25"/>
        <item x="1"/>
        <item x="18"/>
        <item x="26"/>
        <item x="48"/>
        <item x="21"/>
        <item x="20"/>
        <item x="38"/>
        <item x="35"/>
        <item x="29"/>
        <item x="44"/>
        <item x="37"/>
        <item x="47"/>
        <item x="19"/>
        <item t="default"/>
      </items>
    </pivotField>
    <pivotField showAll="0">
      <items count="4">
        <item x="1"/>
        <item x="0"/>
        <item x="2"/>
        <item t="default"/>
      </items>
    </pivotField>
    <pivotField showAll="0">
      <items count="6">
        <item x="3"/>
        <item x="0"/>
        <item x="2"/>
        <item x="1"/>
        <item x="4"/>
        <item t="default"/>
      </items>
    </pivotField>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6">
        <item x="3"/>
        <item x="4"/>
        <item x="0"/>
        <item x="1"/>
        <item x="2"/>
        <item t="default"/>
      </items>
    </pivotField>
    <pivotField numFmtId="14" showAll="0">
      <items count="1188">
        <item x="1017"/>
        <item x="641"/>
        <item x="635"/>
        <item x="422"/>
        <item x="319"/>
        <item x="1100"/>
        <item x="39"/>
        <item x="1078"/>
        <item x="136"/>
        <item x="325"/>
        <item x="756"/>
        <item x="719"/>
        <item x="239"/>
        <item x="824"/>
        <item x="214"/>
        <item x="1183"/>
        <item x="569"/>
        <item x="758"/>
        <item x="380"/>
        <item x="879"/>
        <item x="1146"/>
        <item x="91"/>
        <item x="836"/>
        <item x="260"/>
        <item x="944"/>
        <item x="849"/>
        <item x="450"/>
        <item x="700"/>
        <item x="924"/>
        <item x="753"/>
        <item x="626"/>
        <item x="834"/>
        <item x="433"/>
        <item x="874"/>
        <item x="462"/>
        <item x="533"/>
        <item x="1045"/>
        <item x="895"/>
        <item x="429"/>
        <item x="74"/>
        <item x="936"/>
        <item x="556"/>
        <item x="50"/>
        <item x="593"/>
        <item x="688"/>
        <item x="706"/>
        <item x="207"/>
        <item x="299"/>
        <item x="919"/>
        <item x="314"/>
        <item x="788"/>
        <item x="779"/>
        <item x="205"/>
        <item x="441"/>
        <item x="73"/>
        <item x="732"/>
        <item x="227"/>
        <item x="356"/>
        <item x="906"/>
        <item x="283"/>
        <item x="896"/>
        <item x="235"/>
        <item x="699"/>
        <item x="655"/>
        <item x="1158"/>
        <item x="478"/>
        <item x="43"/>
        <item x="1142"/>
        <item x="794"/>
        <item x="1069"/>
        <item x="754"/>
        <item x="149"/>
        <item x="1161"/>
        <item x="1085"/>
        <item x="1007"/>
        <item x="475"/>
        <item x="696"/>
        <item x="348"/>
        <item x="1023"/>
        <item x="461"/>
        <item x="624"/>
        <item x="770"/>
        <item x="615"/>
        <item x="212"/>
        <item x="1101"/>
        <item x="5"/>
        <item x="418"/>
        <item x="943"/>
        <item x="987"/>
        <item x="320"/>
        <item x="872"/>
        <item x="1106"/>
        <item x="854"/>
        <item x="528"/>
        <item x="727"/>
        <item x="517"/>
        <item x="497"/>
        <item x="1082"/>
        <item x="563"/>
        <item x="35"/>
        <item x="151"/>
        <item x="173"/>
        <item x="276"/>
        <item x="297"/>
        <item x="839"/>
        <item x="376"/>
        <item x="81"/>
        <item x="454"/>
        <item x="195"/>
        <item x="232"/>
        <item x="1062"/>
        <item x="1"/>
        <item x="580"/>
        <item x="398"/>
        <item x="792"/>
        <item x="105"/>
        <item x="786"/>
        <item x="1059"/>
        <item x="336"/>
        <item x="119"/>
        <item x="713"/>
        <item x="21"/>
        <item x="691"/>
        <item x="146"/>
        <item x="527"/>
        <item x="490"/>
        <item x="1174"/>
        <item x="1093"/>
        <item x="1024"/>
        <item x="974"/>
        <item x="407"/>
        <item x="900"/>
        <item x="768"/>
        <item x="406"/>
        <item x="962"/>
        <item x="434"/>
        <item x="443"/>
        <item x="1019"/>
        <item x="388"/>
        <item x="923"/>
        <item x="263"/>
        <item x="1129"/>
        <item x="1136"/>
        <item x="1154"/>
        <item x="1163"/>
        <item x="693"/>
        <item x="587"/>
        <item x="486"/>
        <item x="1066"/>
        <item x="498"/>
        <item x="822"/>
        <item x="344"/>
        <item x="244"/>
        <item x="509"/>
        <item x="1058"/>
        <item x="566"/>
        <item x="178"/>
        <item x="749"/>
        <item x="249"/>
        <item x="9"/>
        <item x="1175"/>
        <item x="25"/>
        <item x="334"/>
        <item x="687"/>
        <item x="1049"/>
        <item x="614"/>
        <item x="1140"/>
        <item x="123"/>
        <item x="562"/>
        <item x="467"/>
        <item x="867"/>
        <item x="927"/>
        <item x="501"/>
        <item x="616"/>
        <item x="963"/>
        <item x="807"/>
        <item x="921"/>
        <item x="191"/>
        <item x="101"/>
        <item x="97"/>
        <item x="714"/>
        <item x="254"/>
        <item x="902"/>
        <item x="500"/>
        <item x="775"/>
        <item x="349"/>
        <item x="938"/>
        <item x="609"/>
        <item x="1010"/>
        <item x="255"/>
        <item x="804"/>
        <item x="842"/>
        <item x="1089"/>
        <item x="1086"/>
        <item x="625"/>
        <item x="1029"/>
        <item x="309"/>
        <item x="711"/>
        <item x="1149"/>
        <item x="100"/>
        <item x="437"/>
        <item x="583"/>
        <item x="111"/>
        <item x="1013"/>
        <item x="519"/>
        <item x="680"/>
        <item x="480"/>
        <item x="503"/>
        <item x="484"/>
        <item x="728"/>
        <item x="220"/>
        <item x="1012"/>
        <item x="513"/>
        <item x="1096"/>
        <item x="148"/>
        <item x="982"/>
        <item x="1177"/>
        <item x="383"/>
        <item x="638"/>
        <item x="196"/>
        <item x="717"/>
        <item x="945"/>
        <item x="491"/>
        <item x="23"/>
        <item x="156"/>
        <item x="603"/>
        <item x="1118"/>
        <item x="705"/>
        <item x="1056"/>
        <item x="968"/>
        <item x="733"/>
        <item x="631"/>
        <item x="68"/>
        <item x="117"/>
        <item x="358"/>
        <item x="715"/>
        <item x="1039"/>
        <item x="218"/>
        <item x="1168"/>
        <item x="442"/>
        <item x="723"/>
        <item x="357"/>
        <item x="203"/>
        <item x="1072"/>
        <item x="375"/>
        <item x="558"/>
        <item x="934"/>
        <item x="115"/>
        <item x="1031"/>
        <item x="584"/>
        <item x="342"/>
        <item x="192"/>
        <item x="425"/>
        <item x="246"/>
        <item x="681"/>
        <item x="1090"/>
        <item x="473"/>
        <item x="986"/>
        <item x="710"/>
        <item x="362"/>
        <item x="740"/>
        <item x="1115"/>
        <item x="1126"/>
        <item x="1036"/>
        <item x="150"/>
        <item x="785"/>
        <item x="939"/>
        <item x="648"/>
        <item x="494"/>
        <item x="405"/>
        <item x="310"/>
        <item x="106"/>
        <item x="1184"/>
        <item x="177"/>
        <item x="582"/>
        <item x="1103"/>
        <item x="526"/>
        <item x="96"/>
        <item x="237"/>
        <item x="95"/>
        <item x="573"/>
        <item x="504"/>
        <item x="272"/>
        <item x="144"/>
        <item x="941"/>
        <item x="14"/>
        <item x="589"/>
        <item x="79"/>
        <item x="1180"/>
        <item x="118"/>
        <item x="468"/>
        <item x="174"/>
        <item x="22"/>
        <item x="805"/>
        <item x="427"/>
        <item x="170"/>
        <item x="567"/>
        <item x="367"/>
        <item x="565"/>
        <item x="660"/>
        <item x="159"/>
        <item x="995"/>
        <item x="1165"/>
        <item x="991"/>
        <item x="46"/>
        <item x="483"/>
        <item x="1171"/>
        <item x="760"/>
        <item x="456"/>
        <item x="636"/>
        <item x="812"/>
        <item x="997"/>
        <item x="1108"/>
        <item x="910"/>
        <item x="571"/>
        <item x="545"/>
        <item x="787"/>
        <item x="540"/>
        <item x="814"/>
        <item x="990"/>
        <item x="215"/>
        <item x="1169"/>
        <item x="806"/>
        <item x="908"/>
        <item x="241"/>
        <item x="724"/>
        <item x="466"/>
        <item x="290"/>
        <item x="381"/>
        <item x="525"/>
        <item x="131"/>
        <item x="457"/>
        <item x="743"/>
        <item x="261"/>
        <item x="838"/>
        <item x="368"/>
        <item x="489"/>
        <item x="414"/>
        <item x="1131"/>
        <item x="339"/>
        <item x="610"/>
        <item x="859"/>
        <item x="813"/>
        <item x="1132"/>
        <item x="459"/>
        <item x="366"/>
        <item x="416"/>
        <item x="327"/>
        <item x="10"/>
        <item x="600"/>
        <item x="809"/>
        <item x="463"/>
        <item x="980"/>
        <item x="530"/>
        <item x="382"/>
        <item x="236"/>
        <item x="1182"/>
        <item x="979"/>
        <item x="1147"/>
        <item x="216"/>
        <item x="935"/>
        <item x="199"/>
        <item x="242"/>
        <item x="240"/>
        <item x="622"/>
        <item x="288"/>
        <item x="471"/>
        <item x="201"/>
        <item x="1135"/>
        <item x="989"/>
        <item x="322"/>
        <item x="7"/>
        <item x="672"/>
        <item x="557"/>
        <item x="633"/>
        <item x="772"/>
        <item x="1134"/>
        <item x="67"/>
        <item x="725"/>
        <item x="372"/>
        <item x="572"/>
        <item x="843"/>
        <item x="650"/>
        <item x="307"/>
        <item x="446"/>
        <item x="819"/>
        <item x="78"/>
        <item x="206"/>
        <item x="737"/>
        <item x="823"/>
        <item x="959"/>
        <item x="808"/>
        <item x="909"/>
        <item x="522"/>
        <item x="76"/>
        <item x="875"/>
        <item x="333"/>
        <item x="82"/>
        <item x="953"/>
        <item x="1009"/>
        <item x="541"/>
        <item x="465"/>
        <item x="661"/>
        <item x="313"/>
        <item x="324"/>
        <item x="639"/>
        <item x="988"/>
        <item x="413"/>
        <item x="1037"/>
        <item x="957"/>
        <item x="790"/>
        <item x="1035"/>
        <item x="1150"/>
        <item x="946"/>
        <item x="208"/>
        <item x="496"/>
        <item x="511"/>
        <item x="161"/>
        <item x="643"/>
        <item x="209"/>
        <item x="591"/>
        <item x="659"/>
        <item x="776"/>
        <item x="798"/>
        <item x="744"/>
        <item x="608"/>
        <item x="1105"/>
        <item x="893"/>
        <item x="251"/>
        <item x="238"/>
        <item x="83"/>
        <item x="539"/>
        <item x="432"/>
        <item x="1022"/>
        <item x="905"/>
        <item x="264"/>
        <item x="642"/>
        <item x="371"/>
        <item x="1065"/>
        <item x="228"/>
        <item x="791"/>
        <item x="337"/>
        <item x="338"/>
        <item x="329"/>
        <item x="389"/>
        <item x="833"/>
        <item x="306"/>
        <item x="543"/>
        <item x="915"/>
        <item x="1145"/>
        <item x="972"/>
        <item x="695"/>
        <item x="502"/>
        <item x="858"/>
        <item x="296"/>
        <item x="883"/>
        <item x="653"/>
        <item x="61"/>
        <item x="891"/>
        <item x="942"/>
        <item x="752"/>
        <item x="289"/>
        <item x="99"/>
        <item x="645"/>
        <item x="1144"/>
        <item x="455"/>
        <item x="1042"/>
        <item x="415"/>
        <item x="821"/>
        <item x="903"/>
        <item x="1107"/>
        <item x="86"/>
        <item x="355"/>
        <item x="404"/>
        <item x="343"/>
        <item x="447"/>
        <item x="739"/>
        <item x="976"/>
        <item x="697"/>
        <item x="981"/>
        <item x="684"/>
        <item x="184"/>
        <item x="544"/>
        <item x="873"/>
        <item x="947"/>
        <item x="293"/>
        <item x="516"/>
        <item x="683"/>
        <item x="757"/>
        <item x="479"/>
        <item x="690"/>
        <item x="139"/>
        <item x="124"/>
        <item x="716"/>
        <item x="1040"/>
        <item x="799"/>
        <item x="0"/>
        <item x="12"/>
        <item x="303"/>
        <item x="911"/>
        <item x="830"/>
        <item x="904"/>
        <item x="689"/>
        <item x="570"/>
        <item x="914"/>
        <item x="538"/>
        <item x="668"/>
        <item x="72"/>
        <item x="265"/>
        <item x="472"/>
        <item x="311"/>
        <item x="726"/>
        <item x="140"/>
        <item x="1044"/>
        <item x="1114"/>
        <item x="780"/>
        <item x="387"/>
        <item x="60"/>
        <item x="354"/>
        <item x="552"/>
        <item x="602"/>
        <item x="470"/>
        <item x="1102"/>
        <item x="803"/>
        <item x="1048"/>
        <item x="1153"/>
        <item x="193"/>
        <item x="604"/>
        <item x="1110"/>
        <item x="245"/>
        <item x="765"/>
        <item x="901"/>
        <item x="656"/>
        <item x="257"/>
        <item x="605"/>
        <item x="575"/>
        <item x="536"/>
        <item x="777"/>
        <item x="1120"/>
        <item x="1001"/>
        <item x="130"/>
        <item x="116"/>
        <item x="574"/>
        <item x="993"/>
        <item x="424"/>
        <item x="1083"/>
        <item x="298"/>
        <item x="559"/>
        <item x="886"/>
        <item x="481"/>
        <item x="152"/>
        <item x="1130"/>
        <item x="647"/>
        <item x="162"/>
        <item x="912"/>
        <item x="965"/>
        <item x="1176"/>
        <item x="187"/>
        <item x="1087"/>
        <item x="304"/>
        <item x="1026"/>
        <item x="1141"/>
        <item x="1097"/>
        <item x="1064"/>
        <item x="505"/>
        <item x="731"/>
        <item x="658"/>
        <item x="1016"/>
        <item x="964"/>
        <item x="707"/>
        <item x="1008"/>
        <item x="735"/>
        <item x="940"/>
        <item x="210"/>
        <item x="971"/>
        <item x="19"/>
        <item x="451"/>
        <item x="243"/>
        <item x="889"/>
        <item x="1015"/>
        <item x="284"/>
        <item x="892"/>
        <item x="598"/>
        <item x="6"/>
        <item x="1018"/>
        <item x="189"/>
        <item x="2"/>
        <item x="15"/>
        <item x="698"/>
        <item x="1088"/>
        <item x="518"/>
        <item x="937"/>
        <item x="1095"/>
        <item x="141"/>
        <item x="599"/>
        <item x="835"/>
        <item x="360"/>
        <item x="840"/>
        <item x="440"/>
        <item x="399"/>
        <item x="138"/>
        <item x="925"/>
        <item x="1033"/>
        <item x="1133"/>
        <item x="179"/>
        <item x="45"/>
        <item x="686"/>
        <item x="474"/>
        <item x="933"/>
        <item x="994"/>
        <item x="332"/>
        <item x="409"/>
        <item x="430"/>
        <item x="153"/>
        <item x="112"/>
        <item x="666"/>
        <item x="204"/>
        <item x="364"/>
        <item x="594"/>
        <item x="190"/>
        <item x="736"/>
        <item x="1014"/>
        <item x="188"/>
        <item x="1075"/>
        <item x="669"/>
        <item x="445"/>
        <item x="1074"/>
        <item x="958"/>
        <item x="769"/>
        <item x="1011"/>
        <item x="774"/>
        <item x="1099"/>
        <item x="677"/>
        <item x="36"/>
        <item x="281"/>
        <item x="1178"/>
        <item x="65"/>
        <item x="549"/>
        <item x="24"/>
        <item x="802"/>
        <item x="673"/>
        <item x="230"/>
        <item x="316"/>
        <item x="28"/>
        <item x="966"/>
        <item x="800"/>
        <item x="449"/>
        <item x="250"/>
        <item x="335"/>
        <item x="546"/>
        <item x="213"/>
        <item x="482"/>
        <item x="969"/>
        <item x="554"/>
        <item x="1094"/>
        <item x="797"/>
        <item x="1166"/>
        <item x="294"/>
        <item x="347"/>
        <item x="386"/>
        <item x="300"/>
        <item x="353"/>
        <item x="38"/>
        <item x="778"/>
        <item x="301"/>
        <item x="652"/>
        <item x="585"/>
        <item x="359"/>
        <item x="537"/>
        <item x="393"/>
        <item x="41"/>
        <item x="701"/>
        <item x="200"/>
        <item x="1181"/>
        <item x="619"/>
        <item x="278"/>
        <item x="92"/>
        <item x="998"/>
        <item x="287"/>
        <item x="685"/>
        <item x="108"/>
        <item x="378"/>
        <item x="930"/>
        <item x="1172"/>
        <item x="374"/>
        <item x="820"/>
        <item x="810"/>
        <item x="606"/>
        <item x="384"/>
        <item x="318"/>
        <item x="607"/>
        <item x="1123"/>
        <item x="277"/>
        <item x="951"/>
        <item x="1060"/>
        <item x="1111"/>
        <item x="629"/>
        <item x="312"/>
        <item x="795"/>
        <item x="1159"/>
        <item x="1025"/>
        <item x="448"/>
        <item x="878"/>
        <item x="70"/>
        <item x="1063"/>
        <item x="555"/>
        <item x="274"/>
        <item x="869"/>
        <item x="967"/>
        <item x="59"/>
        <item x="1003"/>
        <item x="231"/>
        <item x="618"/>
        <item x="674"/>
        <item x="271"/>
        <item x="551"/>
        <item x="1070"/>
        <item x="488"/>
        <item x="408"/>
        <item x="796"/>
        <item x="675"/>
        <item x="13"/>
        <item x="564"/>
        <item x="620"/>
        <item x="1151"/>
        <item x="750"/>
        <item x="1041"/>
        <item x="62"/>
        <item x="285"/>
        <item x="729"/>
        <item x="634"/>
        <item x="302"/>
        <item x="128"/>
        <item x="1179"/>
        <item x="147"/>
        <item x="85"/>
        <item x="524"/>
        <item x="1071"/>
        <item x="223"/>
        <item x="18"/>
        <item x="763"/>
        <item x="876"/>
        <item x="331"/>
        <item x="20"/>
        <item x="52"/>
        <item x="1125"/>
        <item x="992"/>
        <item x="720"/>
        <item x="17"/>
        <item x="396"/>
        <item x="961"/>
        <item x="165"/>
        <item x="1057"/>
        <item x="663"/>
        <item x="1152"/>
        <item x="931"/>
        <item x="54"/>
        <item x="613"/>
        <item x="326"/>
        <item x="866"/>
        <item x="887"/>
        <item x="929"/>
        <item x="51"/>
        <item x="229"/>
        <item x="419"/>
        <item x="164"/>
        <item x="485"/>
        <item x="122"/>
        <item x="547"/>
        <item x="321"/>
        <item x="420"/>
        <item x="176"/>
        <item x="1167"/>
        <item x="764"/>
        <item x="692"/>
        <item x="703"/>
        <item x="853"/>
        <item x="521"/>
        <item x="1185"/>
        <item x="1160"/>
        <item x="252"/>
        <item x="27"/>
        <item x="397"/>
        <item x="679"/>
        <item x="351"/>
        <item x="850"/>
        <item x="269"/>
        <item x="576"/>
        <item x="154"/>
        <item x="439"/>
        <item x="862"/>
        <item x="948"/>
        <item x="592"/>
        <item x="423"/>
        <item x="1124"/>
        <item x="1092"/>
        <item x="702"/>
        <item x="954"/>
        <item x="412"/>
        <item x="493"/>
        <item x="1143"/>
        <item x="132"/>
        <item x="44"/>
        <item x="718"/>
        <item x="506"/>
        <item x="670"/>
        <item x="1051"/>
        <item x="186"/>
        <item x="169"/>
        <item x="579"/>
        <item x="137"/>
        <item x="898"/>
        <item x="597"/>
        <item x="507"/>
        <item x="510"/>
        <item x="601"/>
        <item x="694"/>
        <item x="1139"/>
        <item x="127"/>
        <item x="385"/>
        <item x="291"/>
        <item x="77"/>
        <item x="107"/>
        <item x="657"/>
        <item x="897"/>
        <item x="816"/>
        <item x="469"/>
        <item x="340"/>
        <item x="590"/>
        <item x="114"/>
        <item x="617"/>
        <item x="826"/>
        <item x="825"/>
        <item x="577"/>
        <item x="109"/>
        <item x="1116"/>
        <item x="370"/>
        <item x="1122"/>
        <item x="234"/>
        <item x="734"/>
        <item x="1173"/>
        <item x="1047"/>
        <item x="1186"/>
        <item x="917"/>
        <item x="29"/>
        <item x="514"/>
        <item x="47"/>
        <item x="80"/>
        <item x="308"/>
        <item x="403"/>
        <item x="847"/>
        <item x="956"/>
        <item x="167"/>
        <item x="548"/>
        <item x="864"/>
        <item x="920"/>
        <item x="837"/>
        <item x="1032"/>
        <item x="182"/>
        <item x="275"/>
        <item x="630"/>
        <item x="66"/>
        <item x="671"/>
        <item x="531"/>
        <item x="784"/>
        <item x="855"/>
        <item x="1073"/>
        <item x="102"/>
        <item x="747"/>
        <item x="37"/>
        <item x="665"/>
        <item x="121"/>
        <item x="224"/>
        <item x="157"/>
        <item x="644"/>
        <item x="535"/>
        <item x="247"/>
        <item x="960"/>
        <item x="219"/>
        <item x="42"/>
        <item x="730"/>
        <item x="292"/>
        <item x="394"/>
        <item x="1061"/>
        <item x="1034"/>
        <item x="56"/>
        <item x="390"/>
        <item x="172"/>
        <item x="458"/>
        <item x="452"/>
        <item x="870"/>
        <item x="748"/>
        <item x="328"/>
        <item x="863"/>
        <item x="882"/>
        <item x="3"/>
        <item x="428"/>
        <item x="1157"/>
        <item x="832"/>
        <item x="852"/>
        <item x="350"/>
        <item x="553"/>
        <item x="256"/>
        <item x="829"/>
        <item x="417"/>
        <item x="104"/>
        <item x="411"/>
        <item x="211"/>
        <item x="596"/>
        <item x="135"/>
        <item x="588"/>
        <item x="1046"/>
        <item x="26"/>
        <item x="395"/>
        <item x="113"/>
        <item x="508"/>
        <item x="1068"/>
        <item x="709"/>
        <item x="899"/>
        <item x="90"/>
        <item x="1138"/>
        <item x="175"/>
        <item x="759"/>
        <item x="345"/>
        <item x="133"/>
        <item x="1038"/>
        <item x="586"/>
        <item x="1098"/>
        <item x="270"/>
        <item x="865"/>
        <item x="185"/>
        <item x="1043"/>
        <item x="856"/>
        <item x="110"/>
        <item x="801"/>
        <item x="977"/>
        <item x="1020"/>
        <item x="202"/>
        <item x="1067"/>
        <item x="1121"/>
        <item x="365"/>
        <item x="950"/>
        <item x="160"/>
        <item x="1137"/>
        <item x="369"/>
        <item x="973"/>
        <item x="16"/>
        <item x="248"/>
        <item x="1021"/>
        <item x="999"/>
        <item x="916"/>
        <item x="1162"/>
        <item x="845"/>
        <item x="444"/>
        <item x="828"/>
        <item x="31"/>
        <item x="163"/>
        <item x="1156"/>
        <item x="975"/>
        <item x="55"/>
        <item x="860"/>
        <item x="880"/>
        <item x="678"/>
        <item x="305"/>
        <item x="811"/>
        <item x="315"/>
        <item x="654"/>
        <item x="421"/>
        <item x="75"/>
        <item x="884"/>
        <item x="637"/>
        <item x="611"/>
        <item x="323"/>
        <item x="103"/>
        <item x="142"/>
        <item x="71"/>
        <item x="402"/>
        <item x="435"/>
        <item x="453"/>
        <item x="985"/>
        <item x="955"/>
        <item x="295"/>
        <item x="783"/>
        <item x="952"/>
        <item x="273"/>
        <item x="487"/>
        <item x="129"/>
        <item x="1113"/>
        <item x="1170"/>
        <item x="1030"/>
        <item x="436"/>
        <item x="258"/>
        <item x="1155"/>
        <item x="595"/>
        <item x="949"/>
        <item x="120"/>
        <item x="1117"/>
        <item x="815"/>
        <item x="512"/>
        <item x="233"/>
        <item x="913"/>
        <item x="226"/>
        <item x="1084"/>
        <item x="871"/>
        <item x="745"/>
        <item x="793"/>
        <item x="98"/>
        <item x="1119"/>
        <item x="476"/>
        <item x="722"/>
        <item x="391"/>
        <item x="69"/>
        <item x="352"/>
        <item x="40"/>
        <item x="166"/>
        <item x="928"/>
        <item x="1164"/>
        <item x="704"/>
        <item x="8"/>
        <item x="857"/>
        <item x="183"/>
        <item x="881"/>
        <item x="515"/>
        <item x="529"/>
        <item x="712"/>
        <item x="1076"/>
        <item x="53"/>
        <item x="1053"/>
        <item x="426"/>
        <item x="676"/>
        <item x="171"/>
        <item x="560"/>
        <item x="168"/>
        <item x="477"/>
        <item x="197"/>
        <item x="851"/>
        <item x="568"/>
        <item x="11"/>
        <item x="581"/>
        <item x="550"/>
        <item x="268"/>
        <item x="578"/>
        <item x="225"/>
        <item x="926"/>
        <item x="431"/>
        <item x="762"/>
        <item x="49"/>
        <item x="126"/>
        <item x="400"/>
        <item x="646"/>
        <item x="1002"/>
        <item x="401"/>
        <item x="222"/>
        <item x="217"/>
        <item x="1050"/>
        <item x="612"/>
        <item x="155"/>
        <item x="198"/>
        <item x="932"/>
        <item x="84"/>
        <item x="1112"/>
        <item x="721"/>
        <item x="818"/>
        <item x="266"/>
        <item x="1148"/>
        <item x="877"/>
        <item x="742"/>
        <item x="846"/>
        <item x="63"/>
        <item x="848"/>
        <item x="1028"/>
        <item x="373"/>
        <item x="767"/>
        <item x="970"/>
        <item x="1052"/>
        <item x="361"/>
        <item x="773"/>
        <item x="1081"/>
        <item x="523"/>
        <item x="134"/>
        <item x="1104"/>
        <item x="984"/>
        <item x="781"/>
        <item x="755"/>
        <item x="89"/>
        <item x="708"/>
        <item x="1006"/>
        <item x="662"/>
        <item x="841"/>
        <item x="259"/>
        <item x="894"/>
        <item x="87"/>
        <item x="438"/>
        <item x="464"/>
        <item x="978"/>
        <item x="751"/>
        <item x="1109"/>
        <item x="1005"/>
        <item x="32"/>
        <item x="766"/>
        <item x="1000"/>
        <item x="282"/>
        <item x="317"/>
        <item x="682"/>
        <item x="520"/>
        <item x="640"/>
        <item x="649"/>
        <item x="341"/>
        <item x="158"/>
        <item x="180"/>
        <item x="1127"/>
        <item x="64"/>
        <item x="983"/>
        <item x="632"/>
        <item x="94"/>
        <item x="279"/>
        <item x="460"/>
        <item x="746"/>
        <item x="1004"/>
        <item x="4"/>
        <item x="817"/>
        <item x="125"/>
        <item x="741"/>
        <item x="651"/>
        <item x="88"/>
        <item x="628"/>
        <item x="145"/>
        <item x="499"/>
        <item x="286"/>
        <item x="996"/>
        <item x="534"/>
        <item x="907"/>
        <item x="542"/>
        <item x="782"/>
        <item x="831"/>
        <item x="253"/>
        <item x="379"/>
        <item x="34"/>
        <item x="1091"/>
        <item x="761"/>
        <item x="885"/>
        <item x="844"/>
        <item x="664"/>
        <item x="771"/>
        <item x="48"/>
        <item x="143"/>
        <item x="58"/>
        <item x="561"/>
        <item x="890"/>
        <item x="377"/>
        <item x="1128"/>
        <item x="1080"/>
        <item x="346"/>
        <item x="280"/>
        <item x="492"/>
        <item x="495"/>
        <item x="1055"/>
        <item x="33"/>
        <item x="1027"/>
        <item x="918"/>
        <item x="93"/>
        <item x="221"/>
        <item x="789"/>
        <item x="627"/>
        <item x="410"/>
        <item x="262"/>
        <item x="1079"/>
        <item x="868"/>
        <item x="181"/>
        <item x="888"/>
        <item x="330"/>
        <item x="1077"/>
        <item x="861"/>
        <item x="30"/>
        <item x="363"/>
        <item x="1054"/>
        <item x="392"/>
        <item x="267"/>
        <item x="194"/>
        <item x="738"/>
        <item x="621"/>
        <item x="827"/>
        <item x="667"/>
        <item x="922"/>
        <item x="57"/>
        <item x="623"/>
        <item x="532"/>
        <item t="default"/>
      </items>
    </pivotField>
    <pivotField showAll="0"/>
    <pivotField dragToRow="0" dragToCol="0" dragToPage="0" showAll="0" defaultSubtotal="0"/>
  </pivotFields>
  <rowFields count="1">
    <field x="18"/>
  </rowFields>
  <rowItems count="6">
    <i>
      <x/>
    </i>
    <i>
      <x v="1"/>
    </i>
    <i>
      <x v="2"/>
    </i>
    <i>
      <x v="3"/>
    </i>
    <i>
      <x v="4"/>
    </i>
    <i t="grand">
      <x/>
    </i>
  </rowItems>
  <colItems count="1">
    <i/>
  </colItems>
  <dataFields count="1">
    <dataField name="Average DTI" fld="15" subtotal="average" baseField="18" baseItem="0" numFmtId="2"/>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10FEFF-9B0F-43BE-9EF6-4EEAF1268CD3}" name="average_saving_rate" cacheId="0" applyNumberFormats="0" applyBorderFormats="0" applyFontFormats="0" applyPatternFormats="0" applyAlignmentFormats="0" applyWidthHeightFormats="1" dataCaption="Values" grandTotalCaption="Average Income Savings Rate" updatedVersion="8" minRefreshableVersion="5" useAutoFormatting="1" itemPrintTitles="1" createdVersion="8" indent="0" outline="1" outlineData="1" multipleFieldFilters="0" rowHeaderCaption="Region">
  <location ref="O12:P18" firstHeaderRow="1" firstDataRow="1" firstDataCol="1"/>
  <pivotFields count="22">
    <pivotField showAll="0"/>
    <pivotField showAll="0">
      <items count="53">
        <item x="36"/>
        <item x="16"/>
        <item x="15"/>
        <item x="13"/>
        <item x="12"/>
        <item x="0"/>
        <item x="22"/>
        <item x="9"/>
        <item x="43"/>
        <item x="7"/>
        <item x="50"/>
        <item x="17"/>
        <item x="32"/>
        <item x="42"/>
        <item x="41"/>
        <item x="46"/>
        <item x="31"/>
        <item x="6"/>
        <item x="34"/>
        <item x="39"/>
        <item x="5"/>
        <item x="40"/>
        <item x="2"/>
        <item x="33"/>
        <item x="11"/>
        <item x="14"/>
        <item x="3"/>
        <item x="23"/>
        <item x="28"/>
        <item x="51"/>
        <item x="10"/>
        <item x="8"/>
        <item x="27"/>
        <item x="24"/>
        <item x="45"/>
        <item x="30"/>
        <item x="4"/>
        <item x="49"/>
        <item x="25"/>
        <item x="1"/>
        <item x="18"/>
        <item x="26"/>
        <item x="48"/>
        <item x="21"/>
        <item x="20"/>
        <item x="38"/>
        <item x="35"/>
        <item x="29"/>
        <item x="44"/>
        <item x="37"/>
        <item x="47"/>
        <item x="19"/>
        <item t="default"/>
      </items>
    </pivotField>
    <pivotField showAll="0">
      <items count="4">
        <item x="1"/>
        <item x="0"/>
        <item x="2"/>
        <item t="default"/>
      </items>
    </pivotField>
    <pivotField showAll="0">
      <items count="6">
        <item x="3"/>
        <item x="0"/>
        <item x="2"/>
        <item x="1"/>
        <item x="4"/>
        <item t="default"/>
      </items>
    </pivotField>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6">
        <item x="3"/>
        <item x="4"/>
        <item x="0"/>
        <item x="1"/>
        <item x="2"/>
        <item t="default"/>
      </items>
    </pivotField>
    <pivotField numFmtId="14" showAll="0">
      <items count="1188">
        <item x="1017"/>
        <item x="641"/>
        <item x="635"/>
        <item x="422"/>
        <item x="319"/>
        <item x="1100"/>
        <item x="39"/>
        <item x="1078"/>
        <item x="136"/>
        <item x="325"/>
        <item x="756"/>
        <item x="719"/>
        <item x="239"/>
        <item x="824"/>
        <item x="214"/>
        <item x="1183"/>
        <item x="569"/>
        <item x="758"/>
        <item x="380"/>
        <item x="879"/>
        <item x="1146"/>
        <item x="91"/>
        <item x="836"/>
        <item x="260"/>
        <item x="944"/>
        <item x="849"/>
        <item x="450"/>
        <item x="700"/>
        <item x="924"/>
        <item x="753"/>
        <item x="626"/>
        <item x="834"/>
        <item x="433"/>
        <item x="874"/>
        <item x="462"/>
        <item x="533"/>
        <item x="1045"/>
        <item x="895"/>
        <item x="429"/>
        <item x="74"/>
        <item x="936"/>
        <item x="556"/>
        <item x="50"/>
        <item x="593"/>
        <item x="688"/>
        <item x="706"/>
        <item x="207"/>
        <item x="299"/>
        <item x="919"/>
        <item x="314"/>
        <item x="788"/>
        <item x="779"/>
        <item x="205"/>
        <item x="441"/>
        <item x="73"/>
        <item x="732"/>
        <item x="227"/>
        <item x="356"/>
        <item x="906"/>
        <item x="283"/>
        <item x="896"/>
        <item x="235"/>
        <item x="699"/>
        <item x="655"/>
        <item x="1158"/>
        <item x="478"/>
        <item x="43"/>
        <item x="1142"/>
        <item x="794"/>
        <item x="1069"/>
        <item x="754"/>
        <item x="149"/>
        <item x="1161"/>
        <item x="1085"/>
        <item x="1007"/>
        <item x="475"/>
        <item x="696"/>
        <item x="348"/>
        <item x="1023"/>
        <item x="461"/>
        <item x="624"/>
        <item x="770"/>
        <item x="615"/>
        <item x="212"/>
        <item x="1101"/>
        <item x="5"/>
        <item x="418"/>
        <item x="943"/>
        <item x="987"/>
        <item x="320"/>
        <item x="872"/>
        <item x="1106"/>
        <item x="854"/>
        <item x="528"/>
        <item x="727"/>
        <item x="517"/>
        <item x="497"/>
        <item x="1082"/>
        <item x="563"/>
        <item x="35"/>
        <item x="151"/>
        <item x="173"/>
        <item x="276"/>
        <item x="297"/>
        <item x="839"/>
        <item x="376"/>
        <item x="81"/>
        <item x="454"/>
        <item x="195"/>
        <item x="232"/>
        <item x="1062"/>
        <item x="1"/>
        <item x="580"/>
        <item x="398"/>
        <item x="792"/>
        <item x="105"/>
        <item x="786"/>
        <item x="1059"/>
        <item x="336"/>
        <item x="119"/>
        <item x="713"/>
        <item x="21"/>
        <item x="691"/>
        <item x="146"/>
        <item x="527"/>
        <item x="490"/>
        <item x="1174"/>
        <item x="1093"/>
        <item x="1024"/>
        <item x="974"/>
        <item x="407"/>
        <item x="900"/>
        <item x="768"/>
        <item x="406"/>
        <item x="962"/>
        <item x="434"/>
        <item x="443"/>
        <item x="1019"/>
        <item x="388"/>
        <item x="923"/>
        <item x="263"/>
        <item x="1129"/>
        <item x="1136"/>
        <item x="1154"/>
        <item x="1163"/>
        <item x="693"/>
        <item x="587"/>
        <item x="486"/>
        <item x="1066"/>
        <item x="498"/>
        <item x="822"/>
        <item x="344"/>
        <item x="244"/>
        <item x="509"/>
        <item x="1058"/>
        <item x="566"/>
        <item x="178"/>
        <item x="749"/>
        <item x="249"/>
        <item x="9"/>
        <item x="1175"/>
        <item x="25"/>
        <item x="334"/>
        <item x="687"/>
        <item x="1049"/>
        <item x="614"/>
        <item x="1140"/>
        <item x="123"/>
        <item x="562"/>
        <item x="467"/>
        <item x="867"/>
        <item x="927"/>
        <item x="501"/>
        <item x="616"/>
        <item x="963"/>
        <item x="807"/>
        <item x="921"/>
        <item x="191"/>
        <item x="101"/>
        <item x="97"/>
        <item x="714"/>
        <item x="254"/>
        <item x="902"/>
        <item x="500"/>
        <item x="775"/>
        <item x="349"/>
        <item x="938"/>
        <item x="609"/>
        <item x="1010"/>
        <item x="255"/>
        <item x="804"/>
        <item x="842"/>
        <item x="1089"/>
        <item x="1086"/>
        <item x="625"/>
        <item x="1029"/>
        <item x="309"/>
        <item x="711"/>
        <item x="1149"/>
        <item x="100"/>
        <item x="437"/>
        <item x="583"/>
        <item x="111"/>
        <item x="1013"/>
        <item x="519"/>
        <item x="680"/>
        <item x="480"/>
        <item x="503"/>
        <item x="484"/>
        <item x="728"/>
        <item x="220"/>
        <item x="1012"/>
        <item x="513"/>
        <item x="1096"/>
        <item x="148"/>
        <item x="982"/>
        <item x="1177"/>
        <item x="383"/>
        <item x="638"/>
        <item x="196"/>
        <item x="717"/>
        <item x="945"/>
        <item x="491"/>
        <item x="23"/>
        <item x="156"/>
        <item x="603"/>
        <item x="1118"/>
        <item x="705"/>
        <item x="1056"/>
        <item x="968"/>
        <item x="733"/>
        <item x="631"/>
        <item x="68"/>
        <item x="117"/>
        <item x="358"/>
        <item x="715"/>
        <item x="1039"/>
        <item x="218"/>
        <item x="1168"/>
        <item x="442"/>
        <item x="723"/>
        <item x="357"/>
        <item x="203"/>
        <item x="1072"/>
        <item x="375"/>
        <item x="558"/>
        <item x="934"/>
        <item x="115"/>
        <item x="1031"/>
        <item x="584"/>
        <item x="342"/>
        <item x="192"/>
        <item x="425"/>
        <item x="246"/>
        <item x="681"/>
        <item x="1090"/>
        <item x="473"/>
        <item x="986"/>
        <item x="710"/>
        <item x="362"/>
        <item x="740"/>
        <item x="1115"/>
        <item x="1126"/>
        <item x="1036"/>
        <item x="150"/>
        <item x="785"/>
        <item x="939"/>
        <item x="648"/>
        <item x="494"/>
        <item x="405"/>
        <item x="310"/>
        <item x="106"/>
        <item x="1184"/>
        <item x="177"/>
        <item x="582"/>
        <item x="1103"/>
        <item x="526"/>
        <item x="96"/>
        <item x="237"/>
        <item x="95"/>
        <item x="573"/>
        <item x="504"/>
        <item x="272"/>
        <item x="144"/>
        <item x="941"/>
        <item x="14"/>
        <item x="589"/>
        <item x="79"/>
        <item x="1180"/>
        <item x="118"/>
        <item x="468"/>
        <item x="174"/>
        <item x="22"/>
        <item x="805"/>
        <item x="427"/>
        <item x="170"/>
        <item x="567"/>
        <item x="367"/>
        <item x="565"/>
        <item x="660"/>
        <item x="159"/>
        <item x="995"/>
        <item x="1165"/>
        <item x="991"/>
        <item x="46"/>
        <item x="483"/>
        <item x="1171"/>
        <item x="760"/>
        <item x="456"/>
        <item x="636"/>
        <item x="812"/>
        <item x="997"/>
        <item x="1108"/>
        <item x="910"/>
        <item x="571"/>
        <item x="545"/>
        <item x="787"/>
        <item x="540"/>
        <item x="814"/>
        <item x="990"/>
        <item x="215"/>
        <item x="1169"/>
        <item x="806"/>
        <item x="908"/>
        <item x="241"/>
        <item x="724"/>
        <item x="466"/>
        <item x="290"/>
        <item x="381"/>
        <item x="525"/>
        <item x="131"/>
        <item x="457"/>
        <item x="743"/>
        <item x="261"/>
        <item x="838"/>
        <item x="368"/>
        <item x="489"/>
        <item x="414"/>
        <item x="1131"/>
        <item x="339"/>
        <item x="610"/>
        <item x="859"/>
        <item x="813"/>
        <item x="1132"/>
        <item x="459"/>
        <item x="366"/>
        <item x="416"/>
        <item x="327"/>
        <item x="10"/>
        <item x="600"/>
        <item x="809"/>
        <item x="463"/>
        <item x="980"/>
        <item x="530"/>
        <item x="382"/>
        <item x="236"/>
        <item x="1182"/>
        <item x="979"/>
        <item x="1147"/>
        <item x="216"/>
        <item x="935"/>
        <item x="199"/>
        <item x="242"/>
        <item x="240"/>
        <item x="622"/>
        <item x="288"/>
        <item x="471"/>
        <item x="201"/>
        <item x="1135"/>
        <item x="989"/>
        <item x="322"/>
        <item x="7"/>
        <item x="672"/>
        <item x="557"/>
        <item x="633"/>
        <item x="772"/>
        <item x="1134"/>
        <item x="67"/>
        <item x="725"/>
        <item x="372"/>
        <item x="572"/>
        <item x="843"/>
        <item x="650"/>
        <item x="307"/>
        <item x="446"/>
        <item x="819"/>
        <item x="78"/>
        <item x="206"/>
        <item x="737"/>
        <item x="823"/>
        <item x="959"/>
        <item x="808"/>
        <item x="909"/>
        <item x="522"/>
        <item x="76"/>
        <item x="875"/>
        <item x="333"/>
        <item x="82"/>
        <item x="953"/>
        <item x="1009"/>
        <item x="541"/>
        <item x="465"/>
        <item x="661"/>
        <item x="313"/>
        <item x="324"/>
        <item x="639"/>
        <item x="988"/>
        <item x="413"/>
        <item x="1037"/>
        <item x="957"/>
        <item x="790"/>
        <item x="1035"/>
        <item x="1150"/>
        <item x="946"/>
        <item x="208"/>
        <item x="496"/>
        <item x="511"/>
        <item x="161"/>
        <item x="643"/>
        <item x="209"/>
        <item x="591"/>
        <item x="659"/>
        <item x="776"/>
        <item x="798"/>
        <item x="744"/>
        <item x="608"/>
        <item x="1105"/>
        <item x="893"/>
        <item x="251"/>
        <item x="238"/>
        <item x="83"/>
        <item x="539"/>
        <item x="432"/>
        <item x="1022"/>
        <item x="905"/>
        <item x="264"/>
        <item x="642"/>
        <item x="371"/>
        <item x="1065"/>
        <item x="228"/>
        <item x="791"/>
        <item x="337"/>
        <item x="338"/>
        <item x="329"/>
        <item x="389"/>
        <item x="833"/>
        <item x="306"/>
        <item x="543"/>
        <item x="915"/>
        <item x="1145"/>
        <item x="972"/>
        <item x="695"/>
        <item x="502"/>
        <item x="858"/>
        <item x="296"/>
        <item x="883"/>
        <item x="653"/>
        <item x="61"/>
        <item x="891"/>
        <item x="942"/>
        <item x="752"/>
        <item x="289"/>
        <item x="99"/>
        <item x="645"/>
        <item x="1144"/>
        <item x="455"/>
        <item x="1042"/>
        <item x="415"/>
        <item x="821"/>
        <item x="903"/>
        <item x="1107"/>
        <item x="86"/>
        <item x="355"/>
        <item x="404"/>
        <item x="343"/>
        <item x="447"/>
        <item x="739"/>
        <item x="976"/>
        <item x="697"/>
        <item x="981"/>
        <item x="684"/>
        <item x="184"/>
        <item x="544"/>
        <item x="873"/>
        <item x="947"/>
        <item x="293"/>
        <item x="516"/>
        <item x="683"/>
        <item x="757"/>
        <item x="479"/>
        <item x="690"/>
        <item x="139"/>
        <item x="124"/>
        <item x="716"/>
        <item x="1040"/>
        <item x="799"/>
        <item x="0"/>
        <item x="12"/>
        <item x="303"/>
        <item x="911"/>
        <item x="830"/>
        <item x="904"/>
        <item x="689"/>
        <item x="570"/>
        <item x="914"/>
        <item x="538"/>
        <item x="668"/>
        <item x="72"/>
        <item x="265"/>
        <item x="472"/>
        <item x="311"/>
        <item x="726"/>
        <item x="140"/>
        <item x="1044"/>
        <item x="1114"/>
        <item x="780"/>
        <item x="387"/>
        <item x="60"/>
        <item x="354"/>
        <item x="552"/>
        <item x="602"/>
        <item x="470"/>
        <item x="1102"/>
        <item x="803"/>
        <item x="1048"/>
        <item x="1153"/>
        <item x="193"/>
        <item x="604"/>
        <item x="1110"/>
        <item x="245"/>
        <item x="765"/>
        <item x="901"/>
        <item x="656"/>
        <item x="257"/>
        <item x="605"/>
        <item x="575"/>
        <item x="536"/>
        <item x="777"/>
        <item x="1120"/>
        <item x="1001"/>
        <item x="130"/>
        <item x="116"/>
        <item x="574"/>
        <item x="993"/>
        <item x="424"/>
        <item x="1083"/>
        <item x="298"/>
        <item x="559"/>
        <item x="886"/>
        <item x="481"/>
        <item x="152"/>
        <item x="1130"/>
        <item x="647"/>
        <item x="162"/>
        <item x="912"/>
        <item x="965"/>
        <item x="1176"/>
        <item x="187"/>
        <item x="1087"/>
        <item x="304"/>
        <item x="1026"/>
        <item x="1141"/>
        <item x="1097"/>
        <item x="1064"/>
        <item x="505"/>
        <item x="731"/>
        <item x="658"/>
        <item x="1016"/>
        <item x="964"/>
        <item x="707"/>
        <item x="1008"/>
        <item x="735"/>
        <item x="940"/>
        <item x="210"/>
        <item x="971"/>
        <item x="19"/>
        <item x="451"/>
        <item x="243"/>
        <item x="889"/>
        <item x="1015"/>
        <item x="284"/>
        <item x="892"/>
        <item x="598"/>
        <item x="6"/>
        <item x="1018"/>
        <item x="189"/>
        <item x="2"/>
        <item x="15"/>
        <item x="698"/>
        <item x="1088"/>
        <item x="518"/>
        <item x="937"/>
        <item x="1095"/>
        <item x="141"/>
        <item x="599"/>
        <item x="835"/>
        <item x="360"/>
        <item x="840"/>
        <item x="440"/>
        <item x="399"/>
        <item x="138"/>
        <item x="925"/>
        <item x="1033"/>
        <item x="1133"/>
        <item x="179"/>
        <item x="45"/>
        <item x="686"/>
        <item x="474"/>
        <item x="933"/>
        <item x="994"/>
        <item x="332"/>
        <item x="409"/>
        <item x="430"/>
        <item x="153"/>
        <item x="112"/>
        <item x="666"/>
        <item x="204"/>
        <item x="364"/>
        <item x="594"/>
        <item x="190"/>
        <item x="736"/>
        <item x="1014"/>
        <item x="188"/>
        <item x="1075"/>
        <item x="669"/>
        <item x="445"/>
        <item x="1074"/>
        <item x="958"/>
        <item x="769"/>
        <item x="1011"/>
        <item x="774"/>
        <item x="1099"/>
        <item x="677"/>
        <item x="36"/>
        <item x="281"/>
        <item x="1178"/>
        <item x="65"/>
        <item x="549"/>
        <item x="24"/>
        <item x="802"/>
        <item x="673"/>
        <item x="230"/>
        <item x="316"/>
        <item x="28"/>
        <item x="966"/>
        <item x="800"/>
        <item x="449"/>
        <item x="250"/>
        <item x="335"/>
        <item x="546"/>
        <item x="213"/>
        <item x="482"/>
        <item x="969"/>
        <item x="554"/>
        <item x="1094"/>
        <item x="797"/>
        <item x="1166"/>
        <item x="294"/>
        <item x="347"/>
        <item x="386"/>
        <item x="300"/>
        <item x="353"/>
        <item x="38"/>
        <item x="778"/>
        <item x="301"/>
        <item x="652"/>
        <item x="585"/>
        <item x="359"/>
        <item x="537"/>
        <item x="393"/>
        <item x="41"/>
        <item x="701"/>
        <item x="200"/>
        <item x="1181"/>
        <item x="619"/>
        <item x="278"/>
        <item x="92"/>
        <item x="998"/>
        <item x="287"/>
        <item x="685"/>
        <item x="108"/>
        <item x="378"/>
        <item x="930"/>
        <item x="1172"/>
        <item x="374"/>
        <item x="820"/>
        <item x="810"/>
        <item x="606"/>
        <item x="384"/>
        <item x="318"/>
        <item x="607"/>
        <item x="1123"/>
        <item x="277"/>
        <item x="951"/>
        <item x="1060"/>
        <item x="1111"/>
        <item x="629"/>
        <item x="312"/>
        <item x="795"/>
        <item x="1159"/>
        <item x="1025"/>
        <item x="448"/>
        <item x="878"/>
        <item x="70"/>
        <item x="1063"/>
        <item x="555"/>
        <item x="274"/>
        <item x="869"/>
        <item x="967"/>
        <item x="59"/>
        <item x="1003"/>
        <item x="231"/>
        <item x="618"/>
        <item x="674"/>
        <item x="271"/>
        <item x="551"/>
        <item x="1070"/>
        <item x="488"/>
        <item x="408"/>
        <item x="796"/>
        <item x="675"/>
        <item x="13"/>
        <item x="564"/>
        <item x="620"/>
        <item x="1151"/>
        <item x="750"/>
        <item x="1041"/>
        <item x="62"/>
        <item x="285"/>
        <item x="729"/>
        <item x="634"/>
        <item x="302"/>
        <item x="128"/>
        <item x="1179"/>
        <item x="147"/>
        <item x="85"/>
        <item x="524"/>
        <item x="1071"/>
        <item x="223"/>
        <item x="18"/>
        <item x="763"/>
        <item x="876"/>
        <item x="331"/>
        <item x="20"/>
        <item x="52"/>
        <item x="1125"/>
        <item x="992"/>
        <item x="720"/>
        <item x="17"/>
        <item x="396"/>
        <item x="961"/>
        <item x="165"/>
        <item x="1057"/>
        <item x="663"/>
        <item x="1152"/>
        <item x="931"/>
        <item x="54"/>
        <item x="613"/>
        <item x="326"/>
        <item x="866"/>
        <item x="887"/>
        <item x="929"/>
        <item x="51"/>
        <item x="229"/>
        <item x="419"/>
        <item x="164"/>
        <item x="485"/>
        <item x="122"/>
        <item x="547"/>
        <item x="321"/>
        <item x="420"/>
        <item x="176"/>
        <item x="1167"/>
        <item x="764"/>
        <item x="692"/>
        <item x="703"/>
        <item x="853"/>
        <item x="521"/>
        <item x="1185"/>
        <item x="1160"/>
        <item x="252"/>
        <item x="27"/>
        <item x="397"/>
        <item x="679"/>
        <item x="351"/>
        <item x="850"/>
        <item x="269"/>
        <item x="576"/>
        <item x="154"/>
        <item x="439"/>
        <item x="862"/>
        <item x="948"/>
        <item x="592"/>
        <item x="423"/>
        <item x="1124"/>
        <item x="1092"/>
        <item x="702"/>
        <item x="954"/>
        <item x="412"/>
        <item x="493"/>
        <item x="1143"/>
        <item x="132"/>
        <item x="44"/>
        <item x="718"/>
        <item x="506"/>
        <item x="670"/>
        <item x="1051"/>
        <item x="186"/>
        <item x="169"/>
        <item x="579"/>
        <item x="137"/>
        <item x="898"/>
        <item x="597"/>
        <item x="507"/>
        <item x="510"/>
        <item x="601"/>
        <item x="694"/>
        <item x="1139"/>
        <item x="127"/>
        <item x="385"/>
        <item x="291"/>
        <item x="77"/>
        <item x="107"/>
        <item x="657"/>
        <item x="897"/>
        <item x="816"/>
        <item x="469"/>
        <item x="340"/>
        <item x="590"/>
        <item x="114"/>
        <item x="617"/>
        <item x="826"/>
        <item x="825"/>
        <item x="577"/>
        <item x="109"/>
        <item x="1116"/>
        <item x="370"/>
        <item x="1122"/>
        <item x="234"/>
        <item x="734"/>
        <item x="1173"/>
        <item x="1047"/>
        <item x="1186"/>
        <item x="917"/>
        <item x="29"/>
        <item x="514"/>
        <item x="47"/>
        <item x="80"/>
        <item x="308"/>
        <item x="403"/>
        <item x="847"/>
        <item x="956"/>
        <item x="167"/>
        <item x="548"/>
        <item x="864"/>
        <item x="920"/>
        <item x="837"/>
        <item x="1032"/>
        <item x="182"/>
        <item x="275"/>
        <item x="630"/>
        <item x="66"/>
        <item x="671"/>
        <item x="531"/>
        <item x="784"/>
        <item x="855"/>
        <item x="1073"/>
        <item x="102"/>
        <item x="747"/>
        <item x="37"/>
        <item x="665"/>
        <item x="121"/>
        <item x="224"/>
        <item x="157"/>
        <item x="644"/>
        <item x="535"/>
        <item x="247"/>
        <item x="960"/>
        <item x="219"/>
        <item x="42"/>
        <item x="730"/>
        <item x="292"/>
        <item x="394"/>
        <item x="1061"/>
        <item x="1034"/>
        <item x="56"/>
        <item x="390"/>
        <item x="172"/>
        <item x="458"/>
        <item x="452"/>
        <item x="870"/>
        <item x="748"/>
        <item x="328"/>
        <item x="863"/>
        <item x="882"/>
        <item x="3"/>
        <item x="428"/>
        <item x="1157"/>
        <item x="832"/>
        <item x="852"/>
        <item x="350"/>
        <item x="553"/>
        <item x="256"/>
        <item x="829"/>
        <item x="417"/>
        <item x="104"/>
        <item x="411"/>
        <item x="211"/>
        <item x="596"/>
        <item x="135"/>
        <item x="588"/>
        <item x="1046"/>
        <item x="26"/>
        <item x="395"/>
        <item x="113"/>
        <item x="508"/>
        <item x="1068"/>
        <item x="709"/>
        <item x="899"/>
        <item x="90"/>
        <item x="1138"/>
        <item x="175"/>
        <item x="759"/>
        <item x="345"/>
        <item x="133"/>
        <item x="1038"/>
        <item x="586"/>
        <item x="1098"/>
        <item x="270"/>
        <item x="865"/>
        <item x="185"/>
        <item x="1043"/>
        <item x="856"/>
        <item x="110"/>
        <item x="801"/>
        <item x="977"/>
        <item x="1020"/>
        <item x="202"/>
        <item x="1067"/>
        <item x="1121"/>
        <item x="365"/>
        <item x="950"/>
        <item x="160"/>
        <item x="1137"/>
        <item x="369"/>
        <item x="973"/>
        <item x="16"/>
        <item x="248"/>
        <item x="1021"/>
        <item x="999"/>
        <item x="916"/>
        <item x="1162"/>
        <item x="845"/>
        <item x="444"/>
        <item x="828"/>
        <item x="31"/>
        <item x="163"/>
        <item x="1156"/>
        <item x="975"/>
        <item x="55"/>
        <item x="860"/>
        <item x="880"/>
        <item x="678"/>
        <item x="305"/>
        <item x="811"/>
        <item x="315"/>
        <item x="654"/>
        <item x="421"/>
        <item x="75"/>
        <item x="884"/>
        <item x="637"/>
        <item x="611"/>
        <item x="323"/>
        <item x="103"/>
        <item x="142"/>
        <item x="71"/>
        <item x="402"/>
        <item x="435"/>
        <item x="453"/>
        <item x="985"/>
        <item x="955"/>
        <item x="295"/>
        <item x="783"/>
        <item x="952"/>
        <item x="273"/>
        <item x="487"/>
        <item x="129"/>
        <item x="1113"/>
        <item x="1170"/>
        <item x="1030"/>
        <item x="436"/>
        <item x="258"/>
        <item x="1155"/>
        <item x="595"/>
        <item x="949"/>
        <item x="120"/>
        <item x="1117"/>
        <item x="815"/>
        <item x="512"/>
        <item x="233"/>
        <item x="913"/>
        <item x="226"/>
        <item x="1084"/>
        <item x="871"/>
        <item x="745"/>
        <item x="793"/>
        <item x="98"/>
        <item x="1119"/>
        <item x="476"/>
        <item x="722"/>
        <item x="391"/>
        <item x="69"/>
        <item x="352"/>
        <item x="40"/>
        <item x="166"/>
        <item x="928"/>
        <item x="1164"/>
        <item x="704"/>
        <item x="8"/>
        <item x="857"/>
        <item x="183"/>
        <item x="881"/>
        <item x="515"/>
        <item x="529"/>
        <item x="712"/>
        <item x="1076"/>
        <item x="53"/>
        <item x="1053"/>
        <item x="426"/>
        <item x="676"/>
        <item x="171"/>
        <item x="560"/>
        <item x="168"/>
        <item x="477"/>
        <item x="197"/>
        <item x="851"/>
        <item x="568"/>
        <item x="11"/>
        <item x="581"/>
        <item x="550"/>
        <item x="268"/>
        <item x="578"/>
        <item x="225"/>
        <item x="926"/>
        <item x="431"/>
        <item x="762"/>
        <item x="49"/>
        <item x="126"/>
        <item x="400"/>
        <item x="646"/>
        <item x="1002"/>
        <item x="401"/>
        <item x="222"/>
        <item x="217"/>
        <item x="1050"/>
        <item x="612"/>
        <item x="155"/>
        <item x="198"/>
        <item x="932"/>
        <item x="84"/>
        <item x="1112"/>
        <item x="721"/>
        <item x="818"/>
        <item x="266"/>
        <item x="1148"/>
        <item x="877"/>
        <item x="742"/>
        <item x="846"/>
        <item x="63"/>
        <item x="848"/>
        <item x="1028"/>
        <item x="373"/>
        <item x="767"/>
        <item x="970"/>
        <item x="1052"/>
        <item x="361"/>
        <item x="773"/>
        <item x="1081"/>
        <item x="523"/>
        <item x="134"/>
        <item x="1104"/>
        <item x="984"/>
        <item x="781"/>
        <item x="755"/>
        <item x="89"/>
        <item x="708"/>
        <item x="1006"/>
        <item x="662"/>
        <item x="841"/>
        <item x="259"/>
        <item x="894"/>
        <item x="87"/>
        <item x="438"/>
        <item x="464"/>
        <item x="978"/>
        <item x="751"/>
        <item x="1109"/>
        <item x="1005"/>
        <item x="32"/>
        <item x="766"/>
        <item x="1000"/>
        <item x="282"/>
        <item x="317"/>
        <item x="682"/>
        <item x="520"/>
        <item x="640"/>
        <item x="649"/>
        <item x="341"/>
        <item x="158"/>
        <item x="180"/>
        <item x="1127"/>
        <item x="64"/>
        <item x="983"/>
        <item x="632"/>
        <item x="94"/>
        <item x="279"/>
        <item x="460"/>
        <item x="746"/>
        <item x="1004"/>
        <item x="4"/>
        <item x="817"/>
        <item x="125"/>
        <item x="741"/>
        <item x="651"/>
        <item x="88"/>
        <item x="628"/>
        <item x="145"/>
        <item x="499"/>
        <item x="286"/>
        <item x="996"/>
        <item x="534"/>
        <item x="907"/>
        <item x="542"/>
        <item x="782"/>
        <item x="831"/>
        <item x="253"/>
        <item x="379"/>
        <item x="34"/>
        <item x="1091"/>
        <item x="761"/>
        <item x="885"/>
        <item x="844"/>
        <item x="664"/>
        <item x="771"/>
        <item x="48"/>
        <item x="143"/>
        <item x="58"/>
        <item x="561"/>
        <item x="890"/>
        <item x="377"/>
        <item x="1128"/>
        <item x="1080"/>
        <item x="346"/>
        <item x="280"/>
        <item x="492"/>
        <item x="495"/>
        <item x="1055"/>
        <item x="33"/>
        <item x="1027"/>
        <item x="918"/>
        <item x="93"/>
        <item x="221"/>
        <item x="789"/>
        <item x="627"/>
        <item x="410"/>
        <item x="262"/>
        <item x="1079"/>
        <item x="868"/>
        <item x="181"/>
        <item x="888"/>
        <item x="330"/>
        <item x="1077"/>
        <item x="861"/>
        <item x="30"/>
        <item x="363"/>
        <item x="1054"/>
        <item x="392"/>
        <item x="267"/>
        <item x="194"/>
        <item x="738"/>
        <item x="621"/>
        <item x="827"/>
        <item x="667"/>
        <item x="922"/>
        <item x="57"/>
        <item x="623"/>
        <item x="532"/>
        <item t="default"/>
      </items>
    </pivotField>
    <pivotField showAll="0"/>
    <pivotField dragToRow="0" dragToCol="0" dragToPage="0" showAll="0" defaultSubtotal="0"/>
  </pivotFields>
  <rowFields count="1">
    <field x="18"/>
  </rowFields>
  <rowItems count="6">
    <i>
      <x/>
    </i>
    <i>
      <x v="1"/>
    </i>
    <i>
      <x v="2"/>
    </i>
    <i>
      <x v="3"/>
    </i>
    <i>
      <x v="4"/>
    </i>
    <i t="grand">
      <x/>
    </i>
  </rowItems>
  <colItems count="1">
    <i/>
  </colItems>
  <dataFields count="1">
    <dataField name="Average Saving Rate" fld="17"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A7833B-6CFE-4ABB-8D76-7140AC458735}" name="total_record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2:B13" firstHeaderRow="1" firstDataRow="1" firstDataCol="0"/>
  <pivotFields count="22">
    <pivotField dataField="1" showAll="0"/>
    <pivotField showAll="0">
      <items count="53">
        <item x="36"/>
        <item x="16"/>
        <item x="15"/>
        <item x="13"/>
        <item x="12"/>
        <item x="0"/>
        <item x="22"/>
        <item x="9"/>
        <item x="43"/>
        <item x="7"/>
        <item x="50"/>
        <item x="17"/>
        <item x="32"/>
        <item x="42"/>
        <item x="41"/>
        <item x="46"/>
        <item x="31"/>
        <item x="6"/>
        <item x="34"/>
        <item x="39"/>
        <item x="5"/>
        <item x="40"/>
        <item x="2"/>
        <item x="33"/>
        <item x="11"/>
        <item x="14"/>
        <item x="3"/>
        <item x="23"/>
        <item x="28"/>
        <item x="51"/>
        <item x="10"/>
        <item x="8"/>
        <item x="27"/>
        <item x="24"/>
        <item x="45"/>
        <item x="30"/>
        <item x="4"/>
        <item x="49"/>
        <item x="25"/>
        <item x="1"/>
        <item x="18"/>
        <item x="26"/>
        <item x="48"/>
        <item x="21"/>
        <item x="20"/>
        <item x="38"/>
        <item x="35"/>
        <item x="29"/>
        <item x="44"/>
        <item x="37"/>
        <item x="47"/>
        <item x="19"/>
        <item t="default"/>
      </items>
    </pivotField>
    <pivotField showAll="0">
      <items count="4">
        <item x="1"/>
        <item x="0"/>
        <item x="2"/>
        <item t="default"/>
      </items>
    </pivotField>
    <pivotField showAll="0">
      <items count="6">
        <item x="3"/>
        <item x="0"/>
        <item x="2"/>
        <item x="1"/>
        <item x="4"/>
        <item t="default"/>
      </items>
    </pivotField>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4"/>
        <item x="0"/>
        <item x="1"/>
        <item x="2"/>
        <item t="default"/>
      </items>
    </pivotField>
    <pivotField numFmtId="14" showAll="0">
      <items count="1188">
        <item x="1017"/>
        <item x="641"/>
        <item x="635"/>
        <item x="422"/>
        <item x="319"/>
        <item x="1100"/>
        <item x="39"/>
        <item x="1078"/>
        <item x="136"/>
        <item x="325"/>
        <item x="756"/>
        <item x="719"/>
        <item x="239"/>
        <item x="824"/>
        <item x="214"/>
        <item x="1183"/>
        <item x="569"/>
        <item x="758"/>
        <item x="380"/>
        <item x="879"/>
        <item x="1146"/>
        <item x="91"/>
        <item x="836"/>
        <item x="260"/>
        <item x="944"/>
        <item x="849"/>
        <item x="450"/>
        <item x="700"/>
        <item x="924"/>
        <item x="753"/>
        <item x="626"/>
        <item x="834"/>
        <item x="433"/>
        <item x="874"/>
        <item x="462"/>
        <item x="533"/>
        <item x="1045"/>
        <item x="895"/>
        <item x="429"/>
        <item x="74"/>
        <item x="936"/>
        <item x="556"/>
        <item x="50"/>
        <item x="593"/>
        <item x="688"/>
        <item x="706"/>
        <item x="207"/>
        <item x="299"/>
        <item x="919"/>
        <item x="314"/>
        <item x="788"/>
        <item x="779"/>
        <item x="205"/>
        <item x="441"/>
        <item x="73"/>
        <item x="732"/>
        <item x="227"/>
        <item x="356"/>
        <item x="906"/>
        <item x="283"/>
        <item x="896"/>
        <item x="235"/>
        <item x="699"/>
        <item x="655"/>
        <item x="1158"/>
        <item x="478"/>
        <item x="43"/>
        <item x="1142"/>
        <item x="794"/>
        <item x="1069"/>
        <item x="754"/>
        <item x="149"/>
        <item x="1161"/>
        <item x="1085"/>
        <item x="1007"/>
        <item x="475"/>
        <item x="696"/>
        <item x="348"/>
        <item x="1023"/>
        <item x="461"/>
        <item x="624"/>
        <item x="770"/>
        <item x="615"/>
        <item x="212"/>
        <item x="1101"/>
        <item x="5"/>
        <item x="418"/>
        <item x="943"/>
        <item x="987"/>
        <item x="320"/>
        <item x="872"/>
        <item x="1106"/>
        <item x="854"/>
        <item x="528"/>
        <item x="727"/>
        <item x="517"/>
        <item x="497"/>
        <item x="1082"/>
        <item x="563"/>
        <item x="35"/>
        <item x="151"/>
        <item x="173"/>
        <item x="276"/>
        <item x="297"/>
        <item x="839"/>
        <item x="376"/>
        <item x="81"/>
        <item x="454"/>
        <item x="195"/>
        <item x="232"/>
        <item x="1062"/>
        <item x="1"/>
        <item x="580"/>
        <item x="398"/>
        <item x="792"/>
        <item x="105"/>
        <item x="786"/>
        <item x="1059"/>
        <item x="336"/>
        <item x="119"/>
        <item x="713"/>
        <item x="21"/>
        <item x="691"/>
        <item x="146"/>
        <item x="527"/>
        <item x="490"/>
        <item x="1174"/>
        <item x="1093"/>
        <item x="1024"/>
        <item x="974"/>
        <item x="407"/>
        <item x="900"/>
        <item x="768"/>
        <item x="406"/>
        <item x="962"/>
        <item x="434"/>
        <item x="443"/>
        <item x="1019"/>
        <item x="388"/>
        <item x="923"/>
        <item x="263"/>
        <item x="1129"/>
        <item x="1136"/>
        <item x="1154"/>
        <item x="1163"/>
        <item x="693"/>
        <item x="587"/>
        <item x="486"/>
        <item x="1066"/>
        <item x="498"/>
        <item x="822"/>
        <item x="344"/>
        <item x="244"/>
        <item x="509"/>
        <item x="1058"/>
        <item x="566"/>
        <item x="178"/>
        <item x="749"/>
        <item x="249"/>
        <item x="9"/>
        <item x="1175"/>
        <item x="25"/>
        <item x="334"/>
        <item x="687"/>
        <item x="1049"/>
        <item x="614"/>
        <item x="1140"/>
        <item x="123"/>
        <item x="562"/>
        <item x="467"/>
        <item x="867"/>
        <item x="927"/>
        <item x="501"/>
        <item x="616"/>
        <item x="963"/>
        <item x="807"/>
        <item x="921"/>
        <item x="191"/>
        <item x="101"/>
        <item x="97"/>
        <item x="714"/>
        <item x="254"/>
        <item x="902"/>
        <item x="500"/>
        <item x="775"/>
        <item x="349"/>
        <item x="938"/>
        <item x="609"/>
        <item x="1010"/>
        <item x="255"/>
        <item x="804"/>
        <item x="842"/>
        <item x="1089"/>
        <item x="1086"/>
        <item x="625"/>
        <item x="1029"/>
        <item x="309"/>
        <item x="711"/>
        <item x="1149"/>
        <item x="100"/>
        <item x="437"/>
        <item x="583"/>
        <item x="111"/>
        <item x="1013"/>
        <item x="519"/>
        <item x="680"/>
        <item x="480"/>
        <item x="503"/>
        <item x="484"/>
        <item x="728"/>
        <item x="220"/>
        <item x="1012"/>
        <item x="513"/>
        <item x="1096"/>
        <item x="148"/>
        <item x="982"/>
        <item x="1177"/>
        <item x="383"/>
        <item x="638"/>
        <item x="196"/>
        <item x="717"/>
        <item x="945"/>
        <item x="491"/>
        <item x="23"/>
        <item x="156"/>
        <item x="603"/>
        <item x="1118"/>
        <item x="705"/>
        <item x="1056"/>
        <item x="968"/>
        <item x="733"/>
        <item x="631"/>
        <item x="68"/>
        <item x="117"/>
        <item x="358"/>
        <item x="715"/>
        <item x="1039"/>
        <item x="218"/>
        <item x="1168"/>
        <item x="442"/>
        <item x="723"/>
        <item x="357"/>
        <item x="203"/>
        <item x="1072"/>
        <item x="375"/>
        <item x="558"/>
        <item x="934"/>
        <item x="115"/>
        <item x="1031"/>
        <item x="584"/>
        <item x="342"/>
        <item x="192"/>
        <item x="425"/>
        <item x="246"/>
        <item x="681"/>
        <item x="1090"/>
        <item x="473"/>
        <item x="986"/>
        <item x="710"/>
        <item x="362"/>
        <item x="740"/>
        <item x="1115"/>
        <item x="1126"/>
        <item x="1036"/>
        <item x="150"/>
        <item x="785"/>
        <item x="939"/>
        <item x="648"/>
        <item x="494"/>
        <item x="405"/>
        <item x="310"/>
        <item x="106"/>
        <item x="1184"/>
        <item x="177"/>
        <item x="582"/>
        <item x="1103"/>
        <item x="526"/>
        <item x="96"/>
        <item x="237"/>
        <item x="95"/>
        <item x="573"/>
        <item x="504"/>
        <item x="272"/>
        <item x="144"/>
        <item x="941"/>
        <item x="14"/>
        <item x="589"/>
        <item x="79"/>
        <item x="1180"/>
        <item x="118"/>
        <item x="468"/>
        <item x="174"/>
        <item x="22"/>
        <item x="805"/>
        <item x="427"/>
        <item x="170"/>
        <item x="567"/>
        <item x="367"/>
        <item x="565"/>
        <item x="660"/>
        <item x="159"/>
        <item x="995"/>
        <item x="1165"/>
        <item x="991"/>
        <item x="46"/>
        <item x="483"/>
        <item x="1171"/>
        <item x="760"/>
        <item x="456"/>
        <item x="636"/>
        <item x="812"/>
        <item x="997"/>
        <item x="1108"/>
        <item x="910"/>
        <item x="571"/>
        <item x="545"/>
        <item x="787"/>
        <item x="540"/>
        <item x="814"/>
        <item x="990"/>
        <item x="215"/>
        <item x="1169"/>
        <item x="806"/>
        <item x="908"/>
        <item x="241"/>
        <item x="724"/>
        <item x="466"/>
        <item x="290"/>
        <item x="381"/>
        <item x="525"/>
        <item x="131"/>
        <item x="457"/>
        <item x="743"/>
        <item x="261"/>
        <item x="838"/>
        <item x="368"/>
        <item x="489"/>
        <item x="414"/>
        <item x="1131"/>
        <item x="339"/>
        <item x="610"/>
        <item x="859"/>
        <item x="813"/>
        <item x="1132"/>
        <item x="459"/>
        <item x="366"/>
        <item x="416"/>
        <item x="327"/>
        <item x="10"/>
        <item x="600"/>
        <item x="809"/>
        <item x="463"/>
        <item x="980"/>
        <item x="530"/>
        <item x="382"/>
        <item x="236"/>
        <item x="1182"/>
        <item x="979"/>
        <item x="1147"/>
        <item x="216"/>
        <item x="935"/>
        <item x="199"/>
        <item x="242"/>
        <item x="240"/>
        <item x="622"/>
        <item x="288"/>
        <item x="471"/>
        <item x="201"/>
        <item x="1135"/>
        <item x="989"/>
        <item x="322"/>
        <item x="7"/>
        <item x="672"/>
        <item x="557"/>
        <item x="633"/>
        <item x="772"/>
        <item x="1134"/>
        <item x="67"/>
        <item x="725"/>
        <item x="372"/>
        <item x="572"/>
        <item x="843"/>
        <item x="650"/>
        <item x="307"/>
        <item x="446"/>
        <item x="819"/>
        <item x="78"/>
        <item x="206"/>
        <item x="737"/>
        <item x="823"/>
        <item x="959"/>
        <item x="808"/>
        <item x="909"/>
        <item x="522"/>
        <item x="76"/>
        <item x="875"/>
        <item x="333"/>
        <item x="82"/>
        <item x="953"/>
        <item x="1009"/>
        <item x="541"/>
        <item x="465"/>
        <item x="661"/>
        <item x="313"/>
        <item x="324"/>
        <item x="639"/>
        <item x="988"/>
        <item x="413"/>
        <item x="1037"/>
        <item x="957"/>
        <item x="790"/>
        <item x="1035"/>
        <item x="1150"/>
        <item x="946"/>
        <item x="208"/>
        <item x="496"/>
        <item x="511"/>
        <item x="161"/>
        <item x="643"/>
        <item x="209"/>
        <item x="591"/>
        <item x="659"/>
        <item x="776"/>
        <item x="798"/>
        <item x="744"/>
        <item x="608"/>
        <item x="1105"/>
        <item x="893"/>
        <item x="251"/>
        <item x="238"/>
        <item x="83"/>
        <item x="539"/>
        <item x="432"/>
        <item x="1022"/>
        <item x="905"/>
        <item x="264"/>
        <item x="642"/>
        <item x="371"/>
        <item x="1065"/>
        <item x="228"/>
        <item x="791"/>
        <item x="337"/>
        <item x="338"/>
        <item x="329"/>
        <item x="389"/>
        <item x="833"/>
        <item x="306"/>
        <item x="543"/>
        <item x="915"/>
        <item x="1145"/>
        <item x="972"/>
        <item x="695"/>
        <item x="502"/>
        <item x="858"/>
        <item x="296"/>
        <item x="883"/>
        <item x="653"/>
        <item x="61"/>
        <item x="891"/>
        <item x="942"/>
        <item x="752"/>
        <item x="289"/>
        <item x="99"/>
        <item x="645"/>
        <item x="1144"/>
        <item x="455"/>
        <item x="1042"/>
        <item x="415"/>
        <item x="821"/>
        <item x="903"/>
        <item x="1107"/>
        <item x="86"/>
        <item x="355"/>
        <item x="404"/>
        <item x="343"/>
        <item x="447"/>
        <item x="739"/>
        <item x="976"/>
        <item x="697"/>
        <item x="981"/>
        <item x="684"/>
        <item x="184"/>
        <item x="544"/>
        <item x="873"/>
        <item x="947"/>
        <item x="293"/>
        <item x="516"/>
        <item x="683"/>
        <item x="757"/>
        <item x="479"/>
        <item x="690"/>
        <item x="139"/>
        <item x="124"/>
        <item x="716"/>
        <item x="1040"/>
        <item x="799"/>
        <item x="0"/>
        <item x="12"/>
        <item x="303"/>
        <item x="911"/>
        <item x="830"/>
        <item x="904"/>
        <item x="689"/>
        <item x="570"/>
        <item x="914"/>
        <item x="538"/>
        <item x="668"/>
        <item x="72"/>
        <item x="265"/>
        <item x="472"/>
        <item x="311"/>
        <item x="726"/>
        <item x="140"/>
        <item x="1044"/>
        <item x="1114"/>
        <item x="780"/>
        <item x="387"/>
        <item x="60"/>
        <item x="354"/>
        <item x="552"/>
        <item x="602"/>
        <item x="470"/>
        <item x="1102"/>
        <item x="803"/>
        <item x="1048"/>
        <item x="1153"/>
        <item x="193"/>
        <item x="604"/>
        <item x="1110"/>
        <item x="245"/>
        <item x="765"/>
        <item x="901"/>
        <item x="656"/>
        <item x="257"/>
        <item x="605"/>
        <item x="575"/>
        <item x="536"/>
        <item x="777"/>
        <item x="1120"/>
        <item x="1001"/>
        <item x="130"/>
        <item x="116"/>
        <item x="574"/>
        <item x="993"/>
        <item x="424"/>
        <item x="1083"/>
        <item x="298"/>
        <item x="559"/>
        <item x="886"/>
        <item x="481"/>
        <item x="152"/>
        <item x="1130"/>
        <item x="647"/>
        <item x="162"/>
        <item x="912"/>
        <item x="965"/>
        <item x="1176"/>
        <item x="187"/>
        <item x="1087"/>
        <item x="304"/>
        <item x="1026"/>
        <item x="1141"/>
        <item x="1097"/>
        <item x="1064"/>
        <item x="505"/>
        <item x="731"/>
        <item x="658"/>
        <item x="1016"/>
        <item x="964"/>
        <item x="707"/>
        <item x="1008"/>
        <item x="735"/>
        <item x="940"/>
        <item x="210"/>
        <item x="971"/>
        <item x="19"/>
        <item x="451"/>
        <item x="243"/>
        <item x="889"/>
        <item x="1015"/>
        <item x="284"/>
        <item x="892"/>
        <item x="598"/>
        <item x="6"/>
        <item x="1018"/>
        <item x="189"/>
        <item x="2"/>
        <item x="15"/>
        <item x="698"/>
        <item x="1088"/>
        <item x="518"/>
        <item x="937"/>
        <item x="1095"/>
        <item x="141"/>
        <item x="599"/>
        <item x="835"/>
        <item x="360"/>
        <item x="840"/>
        <item x="440"/>
        <item x="399"/>
        <item x="138"/>
        <item x="925"/>
        <item x="1033"/>
        <item x="1133"/>
        <item x="179"/>
        <item x="45"/>
        <item x="686"/>
        <item x="474"/>
        <item x="933"/>
        <item x="994"/>
        <item x="332"/>
        <item x="409"/>
        <item x="430"/>
        <item x="153"/>
        <item x="112"/>
        <item x="666"/>
        <item x="204"/>
        <item x="364"/>
        <item x="594"/>
        <item x="190"/>
        <item x="736"/>
        <item x="1014"/>
        <item x="188"/>
        <item x="1075"/>
        <item x="669"/>
        <item x="445"/>
        <item x="1074"/>
        <item x="958"/>
        <item x="769"/>
        <item x="1011"/>
        <item x="774"/>
        <item x="1099"/>
        <item x="677"/>
        <item x="36"/>
        <item x="281"/>
        <item x="1178"/>
        <item x="65"/>
        <item x="549"/>
        <item x="24"/>
        <item x="802"/>
        <item x="673"/>
        <item x="230"/>
        <item x="316"/>
        <item x="28"/>
        <item x="966"/>
        <item x="800"/>
        <item x="449"/>
        <item x="250"/>
        <item x="335"/>
        <item x="546"/>
        <item x="213"/>
        <item x="482"/>
        <item x="969"/>
        <item x="554"/>
        <item x="1094"/>
        <item x="797"/>
        <item x="1166"/>
        <item x="294"/>
        <item x="347"/>
        <item x="386"/>
        <item x="300"/>
        <item x="353"/>
        <item x="38"/>
        <item x="778"/>
        <item x="301"/>
        <item x="652"/>
        <item x="585"/>
        <item x="359"/>
        <item x="537"/>
        <item x="393"/>
        <item x="41"/>
        <item x="701"/>
        <item x="200"/>
        <item x="1181"/>
        <item x="619"/>
        <item x="278"/>
        <item x="92"/>
        <item x="998"/>
        <item x="287"/>
        <item x="685"/>
        <item x="108"/>
        <item x="378"/>
        <item x="930"/>
        <item x="1172"/>
        <item x="374"/>
        <item x="820"/>
        <item x="810"/>
        <item x="606"/>
        <item x="384"/>
        <item x="318"/>
        <item x="607"/>
        <item x="1123"/>
        <item x="277"/>
        <item x="951"/>
        <item x="1060"/>
        <item x="1111"/>
        <item x="629"/>
        <item x="312"/>
        <item x="795"/>
        <item x="1159"/>
        <item x="1025"/>
        <item x="448"/>
        <item x="878"/>
        <item x="70"/>
        <item x="1063"/>
        <item x="555"/>
        <item x="274"/>
        <item x="869"/>
        <item x="967"/>
        <item x="59"/>
        <item x="1003"/>
        <item x="231"/>
        <item x="618"/>
        <item x="674"/>
        <item x="271"/>
        <item x="551"/>
        <item x="1070"/>
        <item x="488"/>
        <item x="408"/>
        <item x="796"/>
        <item x="675"/>
        <item x="13"/>
        <item x="564"/>
        <item x="620"/>
        <item x="1151"/>
        <item x="750"/>
        <item x="1041"/>
        <item x="62"/>
        <item x="285"/>
        <item x="729"/>
        <item x="634"/>
        <item x="302"/>
        <item x="128"/>
        <item x="1179"/>
        <item x="147"/>
        <item x="85"/>
        <item x="524"/>
        <item x="1071"/>
        <item x="223"/>
        <item x="18"/>
        <item x="763"/>
        <item x="876"/>
        <item x="331"/>
        <item x="20"/>
        <item x="52"/>
        <item x="1125"/>
        <item x="992"/>
        <item x="720"/>
        <item x="17"/>
        <item x="396"/>
        <item x="961"/>
        <item x="165"/>
        <item x="1057"/>
        <item x="663"/>
        <item x="1152"/>
        <item x="931"/>
        <item x="54"/>
        <item x="613"/>
        <item x="326"/>
        <item x="866"/>
        <item x="887"/>
        <item x="929"/>
        <item x="51"/>
        <item x="229"/>
        <item x="419"/>
        <item x="164"/>
        <item x="485"/>
        <item x="122"/>
        <item x="547"/>
        <item x="321"/>
        <item x="420"/>
        <item x="176"/>
        <item x="1167"/>
        <item x="764"/>
        <item x="692"/>
        <item x="703"/>
        <item x="853"/>
        <item x="521"/>
        <item x="1185"/>
        <item x="1160"/>
        <item x="252"/>
        <item x="27"/>
        <item x="397"/>
        <item x="679"/>
        <item x="351"/>
        <item x="850"/>
        <item x="269"/>
        <item x="576"/>
        <item x="154"/>
        <item x="439"/>
        <item x="862"/>
        <item x="948"/>
        <item x="592"/>
        <item x="423"/>
        <item x="1124"/>
        <item x="1092"/>
        <item x="702"/>
        <item x="954"/>
        <item x="412"/>
        <item x="493"/>
        <item x="1143"/>
        <item x="132"/>
        <item x="44"/>
        <item x="718"/>
        <item x="506"/>
        <item x="670"/>
        <item x="1051"/>
        <item x="186"/>
        <item x="169"/>
        <item x="579"/>
        <item x="137"/>
        <item x="898"/>
        <item x="597"/>
        <item x="507"/>
        <item x="510"/>
        <item x="601"/>
        <item x="694"/>
        <item x="1139"/>
        <item x="127"/>
        <item x="385"/>
        <item x="291"/>
        <item x="77"/>
        <item x="107"/>
        <item x="657"/>
        <item x="897"/>
        <item x="816"/>
        <item x="469"/>
        <item x="340"/>
        <item x="590"/>
        <item x="114"/>
        <item x="617"/>
        <item x="826"/>
        <item x="825"/>
        <item x="577"/>
        <item x="109"/>
        <item x="1116"/>
        <item x="370"/>
        <item x="1122"/>
        <item x="234"/>
        <item x="734"/>
        <item x="1173"/>
        <item x="1047"/>
        <item x="1186"/>
        <item x="917"/>
        <item x="29"/>
        <item x="514"/>
        <item x="47"/>
        <item x="80"/>
        <item x="308"/>
        <item x="403"/>
        <item x="847"/>
        <item x="956"/>
        <item x="167"/>
        <item x="548"/>
        <item x="864"/>
        <item x="920"/>
        <item x="837"/>
        <item x="1032"/>
        <item x="182"/>
        <item x="275"/>
        <item x="630"/>
        <item x="66"/>
        <item x="671"/>
        <item x="531"/>
        <item x="784"/>
        <item x="855"/>
        <item x="1073"/>
        <item x="102"/>
        <item x="747"/>
        <item x="37"/>
        <item x="665"/>
        <item x="121"/>
        <item x="224"/>
        <item x="157"/>
        <item x="644"/>
        <item x="535"/>
        <item x="247"/>
        <item x="960"/>
        <item x="219"/>
        <item x="42"/>
        <item x="730"/>
        <item x="292"/>
        <item x="394"/>
        <item x="1061"/>
        <item x="1034"/>
        <item x="56"/>
        <item x="390"/>
        <item x="172"/>
        <item x="458"/>
        <item x="452"/>
        <item x="870"/>
        <item x="748"/>
        <item x="328"/>
        <item x="863"/>
        <item x="882"/>
        <item x="3"/>
        <item x="428"/>
        <item x="1157"/>
        <item x="832"/>
        <item x="852"/>
        <item x="350"/>
        <item x="553"/>
        <item x="256"/>
        <item x="829"/>
        <item x="417"/>
        <item x="104"/>
        <item x="411"/>
        <item x="211"/>
        <item x="596"/>
        <item x="135"/>
        <item x="588"/>
        <item x="1046"/>
        <item x="26"/>
        <item x="395"/>
        <item x="113"/>
        <item x="508"/>
        <item x="1068"/>
        <item x="709"/>
        <item x="899"/>
        <item x="90"/>
        <item x="1138"/>
        <item x="175"/>
        <item x="759"/>
        <item x="345"/>
        <item x="133"/>
        <item x="1038"/>
        <item x="586"/>
        <item x="1098"/>
        <item x="270"/>
        <item x="865"/>
        <item x="185"/>
        <item x="1043"/>
        <item x="856"/>
        <item x="110"/>
        <item x="801"/>
        <item x="977"/>
        <item x="1020"/>
        <item x="202"/>
        <item x="1067"/>
        <item x="1121"/>
        <item x="365"/>
        <item x="950"/>
        <item x="160"/>
        <item x="1137"/>
        <item x="369"/>
        <item x="973"/>
        <item x="16"/>
        <item x="248"/>
        <item x="1021"/>
        <item x="999"/>
        <item x="916"/>
        <item x="1162"/>
        <item x="845"/>
        <item x="444"/>
        <item x="828"/>
        <item x="31"/>
        <item x="163"/>
        <item x="1156"/>
        <item x="975"/>
        <item x="55"/>
        <item x="860"/>
        <item x="880"/>
        <item x="678"/>
        <item x="305"/>
        <item x="811"/>
        <item x="315"/>
        <item x="654"/>
        <item x="421"/>
        <item x="75"/>
        <item x="884"/>
        <item x="637"/>
        <item x="611"/>
        <item x="323"/>
        <item x="103"/>
        <item x="142"/>
        <item x="71"/>
        <item x="402"/>
        <item x="435"/>
        <item x="453"/>
        <item x="985"/>
        <item x="955"/>
        <item x="295"/>
        <item x="783"/>
        <item x="952"/>
        <item x="273"/>
        <item x="487"/>
        <item x="129"/>
        <item x="1113"/>
        <item x="1170"/>
        <item x="1030"/>
        <item x="436"/>
        <item x="258"/>
        <item x="1155"/>
        <item x="595"/>
        <item x="949"/>
        <item x="120"/>
        <item x="1117"/>
        <item x="815"/>
        <item x="512"/>
        <item x="233"/>
        <item x="913"/>
        <item x="226"/>
        <item x="1084"/>
        <item x="871"/>
        <item x="745"/>
        <item x="793"/>
        <item x="98"/>
        <item x="1119"/>
        <item x="476"/>
        <item x="722"/>
        <item x="391"/>
        <item x="69"/>
        <item x="352"/>
        <item x="40"/>
        <item x="166"/>
        <item x="928"/>
        <item x="1164"/>
        <item x="704"/>
        <item x="8"/>
        <item x="857"/>
        <item x="183"/>
        <item x="881"/>
        <item x="515"/>
        <item x="529"/>
        <item x="712"/>
        <item x="1076"/>
        <item x="53"/>
        <item x="1053"/>
        <item x="426"/>
        <item x="676"/>
        <item x="171"/>
        <item x="560"/>
        <item x="168"/>
        <item x="477"/>
        <item x="197"/>
        <item x="851"/>
        <item x="568"/>
        <item x="11"/>
        <item x="581"/>
        <item x="550"/>
        <item x="268"/>
        <item x="578"/>
        <item x="225"/>
        <item x="926"/>
        <item x="431"/>
        <item x="762"/>
        <item x="49"/>
        <item x="126"/>
        <item x="400"/>
        <item x="646"/>
        <item x="1002"/>
        <item x="401"/>
        <item x="222"/>
        <item x="217"/>
        <item x="1050"/>
        <item x="612"/>
        <item x="155"/>
        <item x="198"/>
        <item x="932"/>
        <item x="84"/>
        <item x="1112"/>
        <item x="721"/>
        <item x="818"/>
        <item x="266"/>
        <item x="1148"/>
        <item x="877"/>
        <item x="742"/>
        <item x="846"/>
        <item x="63"/>
        <item x="848"/>
        <item x="1028"/>
        <item x="373"/>
        <item x="767"/>
        <item x="970"/>
        <item x="1052"/>
        <item x="361"/>
        <item x="773"/>
        <item x="1081"/>
        <item x="523"/>
        <item x="134"/>
        <item x="1104"/>
        <item x="984"/>
        <item x="781"/>
        <item x="755"/>
        <item x="89"/>
        <item x="708"/>
        <item x="1006"/>
        <item x="662"/>
        <item x="841"/>
        <item x="259"/>
        <item x="894"/>
        <item x="87"/>
        <item x="438"/>
        <item x="464"/>
        <item x="978"/>
        <item x="751"/>
        <item x="1109"/>
        <item x="1005"/>
        <item x="32"/>
        <item x="766"/>
        <item x="1000"/>
        <item x="282"/>
        <item x="317"/>
        <item x="682"/>
        <item x="520"/>
        <item x="640"/>
        <item x="649"/>
        <item x="341"/>
        <item x="158"/>
        <item x="180"/>
        <item x="1127"/>
        <item x="64"/>
        <item x="983"/>
        <item x="632"/>
        <item x="94"/>
        <item x="279"/>
        <item x="460"/>
        <item x="746"/>
        <item x="1004"/>
        <item x="4"/>
        <item x="817"/>
        <item x="125"/>
        <item x="741"/>
        <item x="651"/>
        <item x="88"/>
        <item x="628"/>
        <item x="145"/>
        <item x="499"/>
        <item x="286"/>
        <item x="996"/>
        <item x="534"/>
        <item x="907"/>
        <item x="542"/>
        <item x="782"/>
        <item x="831"/>
        <item x="253"/>
        <item x="379"/>
        <item x="34"/>
        <item x="1091"/>
        <item x="761"/>
        <item x="885"/>
        <item x="844"/>
        <item x="664"/>
        <item x="771"/>
        <item x="48"/>
        <item x="143"/>
        <item x="58"/>
        <item x="561"/>
        <item x="890"/>
        <item x="377"/>
        <item x="1128"/>
        <item x="1080"/>
        <item x="346"/>
        <item x="280"/>
        <item x="492"/>
        <item x="495"/>
        <item x="1055"/>
        <item x="33"/>
        <item x="1027"/>
        <item x="918"/>
        <item x="93"/>
        <item x="221"/>
        <item x="789"/>
        <item x="627"/>
        <item x="410"/>
        <item x="262"/>
        <item x="1079"/>
        <item x="868"/>
        <item x="181"/>
        <item x="888"/>
        <item x="330"/>
        <item x="1077"/>
        <item x="861"/>
        <item x="30"/>
        <item x="363"/>
        <item x="1054"/>
        <item x="392"/>
        <item x="267"/>
        <item x="194"/>
        <item x="738"/>
        <item x="621"/>
        <item x="827"/>
        <item x="667"/>
        <item x="922"/>
        <item x="57"/>
        <item x="623"/>
        <item x="532"/>
        <item t="default"/>
      </items>
    </pivotField>
    <pivotField showAll="0"/>
    <pivotField dragToRow="0" dragToCol="0" dragToPage="0" showAll="0" defaultSubtotal="0"/>
  </pivotFields>
  <rowItems count="1">
    <i/>
  </rowItems>
  <colItems count="1">
    <i/>
  </colItems>
  <dataFields count="1">
    <dataField name="Total Records" fld="0" subtotal="count" baseField="0" baseItem="0" numFmtId="3"/>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40B70A-2145-4278-B115-1DEB042F630E}" name="average_savings" cacheId="0" applyNumberFormats="0" applyBorderFormats="0" applyFontFormats="0" applyPatternFormats="0" applyAlignmentFormats="0" applyWidthHeightFormats="1" dataCaption="Values" grandTotalCaption="Average Savings" updatedVersion="8" minRefreshableVersion="5" useAutoFormatting="1" itemPrintTitles="1" createdVersion="8" indent="0" outline="1" outlineData="1" multipleFieldFilters="0" rowHeaderCaption="Region">
  <location ref="G14:H20" firstHeaderRow="1" firstDataRow="1" firstDataCol="1"/>
  <pivotFields count="22">
    <pivotField showAll="0"/>
    <pivotField showAll="0">
      <items count="53">
        <item x="36"/>
        <item x="16"/>
        <item x="15"/>
        <item x="13"/>
        <item x="12"/>
        <item x="0"/>
        <item x="22"/>
        <item x="9"/>
        <item x="43"/>
        <item x="7"/>
        <item x="50"/>
        <item x="17"/>
        <item x="32"/>
        <item x="42"/>
        <item x="41"/>
        <item x="46"/>
        <item x="31"/>
        <item x="6"/>
        <item x="34"/>
        <item x="39"/>
        <item x="5"/>
        <item x="40"/>
        <item x="2"/>
        <item x="33"/>
        <item x="11"/>
        <item x="14"/>
        <item x="3"/>
        <item x="23"/>
        <item x="28"/>
        <item x="51"/>
        <item x="10"/>
        <item x="8"/>
        <item x="27"/>
        <item x="24"/>
        <item x="45"/>
        <item x="30"/>
        <item x="4"/>
        <item x="49"/>
        <item x="25"/>
        <item x="1"/>
        <item x="18"/>
        <item x="26"/>
        <item x="48"/>
        <item x="21"/>
        <item x="20"/>
        <item x="38"/>
        <item x="35"/>
        <item x="29"/>
        <item x="44"/>
        <item x="37"/>
        <item x="47"/>
        <item x="19"/>
        <item t="default"/>
      </items>
    </pivotField>
    <pivotField showAll="0">
      <items count="4">
        <item x="1"/>
        <item x="0"/>
        <item x="2"/>
        <item t="default"/>
      </items>
    </pivotField>
    <pivotField showAll="0">
      <items count="6">
        <item x="3"/>
        <item x="0"/>
        <item x="2"/>
        <item x="1"/>
        <item x="4"/>
        <item t="default"/>
      </items>
    </pivotField>
    <pivotField showAll="0">
      <items count="5">
        <item x="1"/>
        <item x="2"/>
        <item x="0"/>
        <item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6">
        <item x="3"/>
        <item x="4"/>
        <item x="0"/>
        <item x="1"/>
        <item x="2"/>
        <item t="default"/>
      </items>
    </pivotField>
    <pivotField numFmtId="14" showAll="0">
      <items count="1188">
        <item x="1017"/>
        <item x="641"/>
        <item x="635"/>
        <item x="422"/>
        <item x="319"/>
        <item x="1100"/>
        <item x="39"/>
        <item x="1078"/>
        <item x="136"/>
        <item x="325"/>
        <item x="756"/>
        <item x="719"/>
        <item x="239"/>
        <item x="824"/>
        <item x="214"/>
        <item x="1183"/>
        <item x="569"/>
        <item x="758"/>
        <item x="380"/>
        <item x="879"/>
        <item x="1146"/>
        <item x="91"/>
        <item x="836"/>
        <item x="260"/>
        <item x="944"/>
        <item x="849"/>
        <item x="450"/>
        <item x="700"/>
        <item x="924"/>
        <item x="753"/>
        <item x="626"/>
        <item x="834"/>
        <item x="433"/>
        <item x="874"/>
        <item x="462"/>
        <item x="533"/>
        <item x="1045"/>
        <item x="895"/>
        <item x="429"/>
        <item x="74"/>
        <item x="936"/>
        <item x="556"/>
        <item x="50"/>
        <item x="593"/>
        <item x="688"/>
        <item x="706"/>
        <item x="207"/>
        <item x="299"/>
        <item x="919"/>
        <item x="314"/>
        <item x="788"/>
        <item x="779"/>
        <item x="205"/>
        <item x="441"/>
        <item x="73"/>
        <item x="732"/>
        <item x="227"/>
        <item x="356"/>
        <item x="906"/>
        <item x="283"/>
        <item x="896"/>
        <item x="235"/>
        <item x="699"/>
        <item x="655"/>
        <item x="1158"/>
        <item x="478"/>
        <item x="43"/>
        <item x="1142"/>
        <item x="794"/>
        <item x="1069"/>
        <item x="754"/>
        <item x="149"/>
        <item x="1161"/>
        <item x="1085"/>
        <item x="1007"/>
        <item x="475"/>
        <item x="696"/>
        <item x="348"/>
        <item x="1023"/>
        <item x="461"/>
        <item x="624"/>
        <item x="770"/>
        <item x="615"/>
        <item x="212"/>
        <item x="1101"/>
        <item x="5"/>
        <item x="418"/>
        <item x="943"/>
        <item x="987"/>
        <item x="320"/>
        <item x="872"/>
        <item x="1106"/>
        <item x="854"/>
        <item x="528"/>
        <item x="727"/>
        <item x="517"/>
        <item x="497"/>
        <item x="1082"/>
        <item x="563"/>
        <item x="35"/>
        <item x="151"/>
        <item x="173"/>
        <item x="276"/>
        <item x="297"/>
        <item x="839"/>
        <item x="376"/>
        <item x="81"/>
        <item x="454"/>
        <item x="195"/>
        <item x="232"/>
        <item x="1062"/>
        <item x="1"/>
        <item x="580"/>
        <item x="398"/>
        <item x="792"/>
        <item x="105"/>
        <item x="786"/>
        <item x="1059"/>
        <item x="336"/>
        <item x="119"/>
        <item x="713"/>
        <item x="21"/>
        <item x="691"/>
        <item x="146"/>
        <item x="527"/>
        <item x="490"/>
        <item x="1174"/>
        <item x="1093"/>
        <item x="1024"/>
        <item x="974"/>
        <item x="407"/>
        <item x="900"/>
        <item x="768"/>
        <item x="406"/>
        <item x="962"/>
        <item x="434"/>
        <item x="443"/>
        <item x="1019"/>
        <item x="388"/>
        <item x="923"/>
        <item x="263"/>
        <item x="1129"/>
        <item x="1136"/>
        <item x="1154"/>
        <item x="1163"/>
        <item x="693"/>
        <item x="587"/>
        <item x="486"/>
        <item x="1066"/>
        <item x="498"/>
        <item x="822"/>
        <item x="344"/>
        <item x="244"/>
        <item x="509"/>
        <item x="1058"/>
        <item x="566"/>
        <item x="178"/>
        <item x="749"/>
        <item x="249"/>
        <item x="9"/>
        <item x="1175"/>
        <item x="25"/>
        <item x="334"/>
        <item x="687"/>
        <item x="1049"/>
        <item x="614"/>
        <item x="1140"/>
        <item x="123"/>
        <item x="562"/>
        <item x="467"/>
        <item x="867"/>
        <item x="927"/>
        <item x="501"/>
        <item x="616"/>
        <item x="963"/>
        <item x="807"/>
        <item x="921"/>
        <item x="191"/>
        <item x="101"/>
        <item x="97"/>
        <item x="714"/>
        <item x="254"/>
        <item x="902"/>
        <item x="500"/>
        <item x="775"/>
        <item x="349"/>
        <item x="938"/>
        <item x="609"/>
        <item x="1010"/>
        <item x="255"/>
        <item x="804"/>
        <item x="842"/>
        <item x="1089"/>
        <item x="1086"/>
        <item x="625"/>
        <item x="1029"/>
        <item x="309"/>
        <item x="711"/>
        <item x="1149"/>
        <item x="100"/>
        <item x="437"/>
        <item x="583"/>
        <item x="111"/>
        <item x="1013"/>
        <item x="519"/>
        <item x="680"/>
        <item x="480"/>
        <item x="503"/>
        <item x="484"/>
        <item x="728"/>
        <item x="220"/>
        <item x="1012"/>
        <item x="513"/>
        <item x="1096"/>
        <item x="148"/>
        <item x="982"/>
        <item x="1177"/>
        <item x="383"/>
        <item x="638"/>
        <item x="196"/>
        <item x="717"/>
        <item x="945"/>
        <item x="491"/>
        <item x="23"/>
        <item x="156"/>
        <item x="603"/>
        <item x="1118"/>
        <item x="705"/>
        <item x="1056"/>
        <item x="968"/>
        <item x="733"/>
        <item x="631"/>
        <item x="68"/>
        <item x="117"/>
        <item x="358"/>
        <item x="715"/>
        <item x="1039"/>
        <item x="218"/>
        <item x="1168"/>
        <item x="442"/>
        <item x="723"/>
        <item x="357"/>
        <item x="203"/>
        <item x="1072"/>
        <item x="375"/>
        <item x="558"/>
        <item x="934"/>
        <item x="115"/>
        <item x="1031"/>
        <item x="584"/>
        <item x="342"/>
        <item x="192"/>
        <item x="425"/>
        <item x="246"/>
        <item x="681"/>
        <item x="1090"/>
        <item x="473"/>
        <item x="986"/>
        <item x="710"/>
        <item x="362"/>
        <item x="740"/>
        <item x="1115"/>
        <item x="1126"/>
        <item x="1036"/>
        <item x="150"/>
        <item x="785"/>
        <item x="939"/>
        <item x="648"/>
        <item x="494"/>
        <item x="405"/>
        <item x="310"/>
        <item x="106"/>
        <item x="1184"/>
        <item x="177"/>
        <item x="582"/>
        <item x="1103"/>
        <item x="526"/>
        <item x="96"/>
        <item x="237"/>
        <item x="95"/>
        <item x="573"/>
        <item x="504"/>
        <item x="272"/>
        <item x="144"/>
        <item x="941"/>
        <item x="14"/>
        <item x="589"/>
        <item x="79"/>
        <item x="1180"/>
        <item x="118"/>
        <item x="468"/>
        <item x="174"/>
        <item x="22"/>
        <item x="805"/>
        <item x="427"/>
        <item x="170"/>
        <item x="567"/>
        <item x="367"/>
        <item x="565"/>
        <item x="660"/>
        <item x="159"/>
        <item x="995"/>
        <item x="1165"/>
        <item x="991"/>
        <item x="46"/>
        <item x="483"/>
        <item x="1171"/>
        <item x="760"/>
        <item x="456"/>
        <item x="636"/>
        <item x="812"/>
        <item x="997"/>
        <item x="1108"/>
        <item x="910"/>
        <item x="571"/>
        <item x="545"/>
        <item x="787"/>
        <item x="540"/>
        <item x="814"/>
        <item x="990"/>
        <item x="215"/>
        <item x="1169"/>
        <item x="806"/>
        <item x="908"/>
        <item x="241"/>
        <item x="724"/>
        <item x="466"/>
        <item x="290"/>
        <item x="381"/>
        <item x="525"/>
        <item x="131"/>
        <item x="457"/>
        <item x="743"/>
        <item x="261"/>
        <item x="838"/>
        <item x="368"/>
        <item x="489"/>
        <item x="414"/>
        <item x="1131"/>
        <item x="339"/>
        <item x="610"/>
        <item x="859"/>
        <item x="813"/>
        <item x="1132"/>
        <item x="459"/>
        <item x="366"/>
        <item x="416"/>
        <item x="327"/>
        <item x="10"/>
        <item x="600"/>
        <item x="809"/>
        <item x="463"/>
        <item x="980"/>
        <item x="530"/>
        <item x="382"/>
        <item x="236"/>
        <item x="1182"/>
        <item x="979"/>
        <item x="1147"/>
        <item x="216"/>
        <item x="935"/>
        <item x="199"/>
        <item x="242"/>
        <item x="240"/>
        <item x="622"/>
        <item x="288"/>
        <item x="471"/>
        <item x="201"/>
        <item x="1135"/>
        <item x="989"/>
        <item x="322"/>
        <item x="7"/>
        <item x="672"/>
        <item x="557"/>
        <item x="633"/>
        <item x="772"/>
        <item x="1134"/>
        <item x="67"/>
        <item x="725"/>
        <item x="372"/>
        <item x="572"/>
        <item x="843"/>
        <item x="650"/>
        <item x="307"/>
        <item x="446"/>
        <item x="819"/>
        <item x="78"/>
        <item x="206"/>
        <item x="737"/>
        <item x="823"/>
        <item x="959"/>
        <item x="808"/>
        <item x="909"/>
        <item x="522"/>
        <item x="76"/>
        <item x="875"/>
        <item x="333"/>
        <item x="82"/>
        <item x="953"/>
        <item x="1009"/>
        <item x="541"/>
        <item x="465"/>
        <item x="661"/>
        <item x="313"/>
        <item x="324"/>
        <item x="639"/>
        <item x="988"/>
        <item x="413"/>
        <item x="1037"/>
        <item x="957"/>
        <item x="790"/>
        <item x="1035"/>
        <item x="1150"/>
        <item x="946"/>
        <item x="208"/>
        <item x="496"/>
        <item x="511"/>
        <item x="161"/>
        <item x="643"/>
        <item x="209"/>
        <item x="591"/>
        <item x="659"/>
        <item x="776"/>
        <item x="798"/>
        <item x="744"/>
        <item x="608"/>
        <item x="1105"/>
        <item x="893"/>
        <item x="251"/>
        <item x="238"/>
        <item x="83"/>
        <item x="539"/>
        <item x="432"/>
        <item x="1022"/>
        <item x="905"/>
        <item x="264"/>
        <item x="642"/>
        <item x="371"/>
        <item x="1065"/>
        <item x="228"/>
        <item x="791"/>
        <item x="337"/>
        <item x="338"/>
        <item x="329"/>
        <item x="389"/>
        <item x="833"/>
        <item x="306"/>
        <item x="543"/>
        <item x="915"/>
        <item x="1145"/>
        <item x="972"/>
        <item x="695"/>
        <item x="502"/>
        <item x="858"/>
        <item x="296"/>
        <item x="883"/>
        <item x="653"/>
        <item x="61"/>
        <item x="891"/>
        <item x="942"/>
        <item x="752"/>
        <item x="289"/>
        <item x="99"/>
        <item x="645"/>
        <item x="1144"/>
        <item x="455"/>
        <item x="1042"/>
        <item x="415"/>
        <item x="821"/>
        <item x="903"/>
        <item x="1107"/>
        <item x="86"/>
        <item x="355"/>
        <item x="404"/>
        <item x="343"/>
        <item x="447"/>
        <item x="739"/>
        <item x="976"/>
        <item x="697"/>
        <item x="981"/>
        <item x="684"/>
        <item x="184"/>
        <item x="544"/>
        <item x="873"/>
        <item x="947"/>
        <item x="293"/>
        <item x="516"/>
        <item x="683"/>
        <item x="757"/>
        <item x="479"/>
        <item x="690"/>
        <item x="139"/>
        <item x="124"/>
        <item x="716"/>
        <item x="1040"/>
        <item x="799"/>
        <item x="0"/>
        <item x="12"/>
        <item x="303"/>
        <item x="911"/>
        <item x="830"/>
        <item x="904"/>
        <item x="689"/>
        <item x="570"/>
        <item x="914"/>
        <item x="538"/>
        <item x="668"/>
        <item x="72"/>
        <item x="265"/>
        <item x="472"/>
        <item x="311"/>
        <item x="726"/>
        <item x="140"/>
        <item x="1044"/>
        <item x="1114"/>
        <item x="780"/>
        <item x="387"/>
        <item x="60"/>
        <item x="354"/>
        <item x="552"/>
        <item x="602"/>
        <item x="470"/>
        <item x="1102"/>
        <item x="803"/>
        <item x="1048"/>
        <item x="1153"/>
        <item x="193"/>
        <item x="604"/>
        <item x="1110"/>
        <item x="245"/>
        <item x="765"/>
        <item x="901"/>
        <item x="656"/>
        <item x="257"/>
        <item x="605"/>
        <item x="575"/>
        <item x="536"/>
        <item x="777"/>
        <item x="1120"/>
        <item x="1001"/>
        <item x="130"/>
        <item x="116"/>
        <item x="574"/>
        <item x="993"/>
        <item x="424"/>
        <item x="1083"/>
        <item x="298"/>
        <item x="559"/>
        <item x="886"/>
        <item x="481"/>
        <item x="152"/>
        <item x="1130"/>
        <item x="647"/>
        <item x="162"/>
        <item x="912"/>
        <item x="965"/>
        <item x="1176"/>
        <item x="187"/>
        <item x="1087"/>
        <item x="304"/>
        <item x="1026"/>
        <item x="1141"/>
        <item x="1097"/>
        <item x="1064"/>
        <item x="505"/>
        <item x="731"/>
        <item x="658"/>
        <item x="1016"/>
        <item x="964"/>
        <item x="707"/>
        <item x="1008"/>
        <item x="735"/>
        <item x="940"/>
        <item x="210"/>
        <item x="971"/>
        <item x="19"/>
        <item x="451"/>
        <item x="243"/>
        <item x="889"/>
        <item x="1015"/>
        <item x="284"/>
        <item x="892"/>
        <item x="598"/>
        <item x="6"/>
        <item x="1018"/>
        <item x="189"/>
        <item x="2"/>
        <item x="15"/>
        <item x="698"/>
        <item x="1088"/>
        <item x="518"/>
        <item x="937"/>
        <item x="1095"/>
        <item x="141"/>
        <item x="599"/>
        <item x="835"/>
        <item x="360"/>
        <item x="840"/>
        <item x="440"/>
        <item x="399"/>
        <item x="138"/>
        <item x="925"/>
        <item x="1033"/>
        <item x="1133"/>
        <item x="179"/>
        <item x="45"/>
        <item x="686"/>
        <item x="474"/>
        <item x="933"/>
        <item x="994"/>
        <item x="332"/>
        <item x="409"/>
        <item x="430"/>
        <item x="153"/>
        <item x="112"/>
        <item x="666"/>
        <item x="204"/>
        <item x="364"/>
        <item x="594"/>
        <item x="190"/>
        <item x="736"/>
        <item x="1014"/>
        <item x="188"/>
        <item x="1075"/>
        <item x="669"/>
        <item x="445"/>
        <item x="1074"/>
        <item x="958"/>
        <item x="769"/>
        <item x="1011"/>
        <item x="774"/>
        <item x="1099"/>
        <item x="677"/>
        <item x="36"/>
        <item x="281"/>
        <item x="1178"/>
        <item x="65"/>
        <item x="549"/>
        <item x="24"/>
        <item x="802"/>
        <item x="673"/>
        <item x="230"/>
        <item x="316"/>
        <item x="28"/>
        <item x="966"/>
        <item x="800"/>
        <item x="449"/>
        <item x="250"/>
        <item x="335"/>
        <item x="546"/>
        <item x="213"/>
        <item x="482"/>
        <item x="969"/>
        <item x="554"/>
        <item x="1094"/>
        <item x="797"/>
        <item x="1166"/>
        <item x="294"/>
        <item x="347"/>
        <item x="386"/>
        <item x="300"/>
        <item x="353"/>
        <item x="38"/>
        <item x="778"/>
        <item x="301"/>
        <item x="652"/>
        <item x="585"/>
        <item x="359"/>
        <item x="537"/>
        <item x="393"/>
        <item x="41"/>
        <item x="701"/>
        <item x="200"/>
        <item x="1181"/>
        <item x="619"/>
        <item x="278"/>
        <item x="92"/>
        <item x="998"/>
        <item x="287"/>
        <item x="685"/>
        <item x="108"/>
        <item x="378"/>
        <item x="930"/>
        <item x="1172"/>
        <item x="374"/>
        <item x="820"/>
        <item x="810"/>
        <item x="606"/>
        <item x="384"/>
        <item x="318"/>
        <item x="607"/>
        <item x="1123"/>
        <item x="277"/>
        <item x="951"/>
        <item x="1060"/>
        <item x="1111"/>
        <item x="629"/>
        <item x="312"/>
        <item x="795"/>
        <item x="1159"/>
        <item x="1025"/>
        <item x="448"/>
        <item x="878"/>
        <item x="70"/>
        <item x="1063"/>
        <item x="555"/>
        <item x="274"/>
        <item x="869"/>
        <item x="967"/>
        <item x="59"/>
        <item x="1003"/>
        <item x="231"/>
        <item x="618"/>
        <item x="674"/>
        <item x="271"/>
        <item x="551"/>
        <item x="1070"/>
        <item x="488"/>
        <item x="408"/>
        <item x="796"/>
        <item x="675"/>
        <item x="13"/>
        <item x="564"/>
        <item x="620"/>
        <item x="1151"/>
        <item x="750"/>
        <item x="1041"/>
        <item x="62"/>
        <item x="285"/>
        <item x="729"/>
        <item x="634"/>
        <item x="302"/>
        <item x="128"/>
        <item x="1179"/>
        <item x="147"/>
        <item x="85"/>
        <item x="524"/>
        <item x="1071"/>
        <item x="223"/>
        <item x="18"/>
        <item x="763"/>
        <item x="876"/>
        <item x="331"/>
        <item x="20"/>
        <item x="52"/>
        <item x="1125"/>
        <item x="992"/>
        <item x="720"/>
        <item x="17"/>
        <item x="396"/>
        <item x="961"/>
        <item x="165"/>
        <item x="1057"/>
        <item x="663"/>
        <item x="1152"/>
        <item x="931"/>
        <item x="54"/>
        <item x="613"/>
        <item x="326"/>
        <item x="866"/>
        <item x="887"/>
        <item x="929"/>
        <item x="51"/>
        <item x="229"/>
        <item x="419"/>
        <item x="164"/>
        <item x="485"/>
        <item x="122"/>
        <item x="547"/>
        <item x="321"/>
        <item x="420"/>
        <item x="176"/>
        <item x="1167"/>
        <item x="764"/>
        <item x="692"/>
        <item x="703"/>
        <item x="853"/>
        <item x="521"/>
        <item x="1185"/>
        <item x="1160"/>
        <item x="252"/>
        <item x="27"/>
        <item x="397"/>
        <item x="679"/>
        <item x="351"/>
        <item x="850"/>
        <item x="269"/>
        <item x="576"/>
        <item x="154"/>
        <item x="439"/>
        <item x="862"/>
        <item x="948"/>
        <item x="592"/>
        <item x="423"/>
        <item x="1124"/>
        <item x="1092"/>
        <item x="702"/>
        <item x="954"/>
        <item x="412"/>
        <item x="493"/>
        <item x="1143"/>
        <item x="132"/>
        <item x="44"/>
        <item x="718"/>
        <item x="506"/>
        <item x="670"/>
        <item x="1051"/>
        <item x="186"/>
        <item x="169"/>
        <item x="579"/>
        <item x="137"/>
        <item x="898"/>
        <item x="597"/>
        <item x="507"/>
        <item x="510"/>
        <item x="601"/>
        <item x="694"/>
        <item x="1139"/>
        <item x="127"/>
        <item x="385"/>
        <item x="291"/>
        <item x="77"/>
        <item x="107"/>
        <item x="657"/>
        <item x="897"/>
        <item x="816"/>
        <item x="469"/>
        <item x="340"/>
        <item x="590"/>
        <item x="114"/>
        <item x="617"/>
        <item x="826"/>
        <item x="825"/>
        <item x="577"/>
        <item x="109"/>
        <item x="1116"/>
        <item x="370"/>
        <item x="1122"/>
        <item x="234"/>
        <item x="734"/>
        <item x="1173"/>
        <item x="1047"/>
        <item x="1186"/>
        <item x="917"/>
        <item x="29"/>
        <item x="514"/>
        <item x="47"/>
        <item x="80"/>
        <item x="308"/>
        <item x="403"/>
        <item x="847"/>
        <item x="956"/>
        <item x="167"/>
        <item x="548"/>
        <item x="864"/>
        <item x="920"/>
        <item x="837"/>
        <item x="1032"/>
        <item x="182"/>
        <item x="275"/>
        <item x="630"/>
        <item x="66"/>
        <item x="671"/>
        <item x="531"/>
        <item x="784"/>
        <item x="855"/>
        <item x="1073"/>
        <item x="102"/>
        <item x="747"/>
        <item x="37"/>
        <item x="665"/>
        <item x="121"/>
        <item x="224"/>
        <item x="157"/>
        <item x="644"/>
        <item x="535"/>
        <item x="247"/>
        <item x="960"/>
        <item x="219"/>
        <item x="42"/>
        <item x="730"/>
        <item x="292"/>
        <item x="394"/>
        <item x="1061"/>
        <item x="1034"/>
        <item x="56"/>
        <item x="390"/>
        <item x="172"/>
        <item x="458"/>
        <item x="452"/>
        <item x="870"/>
        <item x="748"/>
        <item x="328"/>
        <item x="863"/>
        <item x="882"/>
        <item x="3"/>
        <item x="428"/>
        <item x="1157"/>
        <item x="832"/>
        <item x="852"/>
        <item x="350"/>
        <item x="553"/>
        <item x="256"/>
        <item x="829"/>
        <item x="417"/>
        <item x="104"/>
        <item x="411"/>
        <item x="211"/>
        <item x="596"/>
        <item x="135"/>
        <item x="588"/>
        <item x="1046"/>
        <item x="26"/>
        <item x="395"/>
        <item x="113"/>
        <item x="508"/>
        <item x="1068"/>
        <item x="709"/>
        <item x="899"/>
        <item x="90"/>
        <item x="1138"/>
        <item x="175"/>
        <item x="759"/>
        <item x="345"/>
        <item x="133"/>
        <item x="1038"/>
        <item x="586"/>
        <item x="1098"/>
        <item x="270"/>
        <item x="865"/>
        <item x="185"/>
        <item x="1043"/>
        <item x="856"/>
        <item x="110"/>
        <item x="801"/>
        <item x="977"/>
        <item x="1020"/>
        <item x="202"/>
        <item x="1067"/>
        <item x="1121"/>
        <item x="365"/>
        <item x="950"/>
        <item x="160"/>
        <item x="1137"/>
        <item x="369"/>
        <item x="973"/>
        <item x="16"/>
        <item x="248"/>
        <item x="1021"/>
        <item x="999"/>
        <item x="916"/>
        <item x="1162"/>
        <item x="845"/>
        <item x="444"/>
        <item x="828"/>
        <item x="31"/>
        <item x="163"/>
        <item x="1156"/>
        <item x="975"/>
        <item x="55"/>
        <item x="860"/>
        <item x="880"/>
        <item x="678"/>
        <item x="305"/>
        <item x="811"/>
        <item x="315"/>
        <item x="654"/>
        <item x="421"/>
        <item x="75"/>
        <item x="884"/>
        <item x="637"/>
        <item x="611"/>
        <item x="323"/>
        <item x="103"/>
        <item x="142"/>
        <item x="71"/>
        <item x="402"/>
        <item x="435"/>
        <item x="453"/>
        <item x="985"/>
        <item x="955"/>
        <item x="295"/>
        <item x="783"/>
        <item x="952"/>
        <item x="273"/>
        <item x="487"/>
        <item x="129"/>
        <item x="1113"/>
        <item x="1170"/>
        <item x="1030"/>
        <item x="436"/>
        <item x="258"/>
        <item x="1155"/>
        <item x="595"/>
        <item x="949"/>
        <item x="120"/>
        <item x="1117"/>
        <item x="815"/>
        <item x="512"/>
        <item x="233"/>
        <item x="913"/>
        <item x="226"/>
        <item x="1084"/>
        <item x="871"/>
        <item x="745"/>
        <item x="793"/>
        <item x="98"/>
        <item x="1119"/>
        <item x="476"/>
        <item x="722"/>
        <item x="391"/>
        <item x="69"/>
        <item x="352"/>
        <item x="40"/>
        <item x="166"/>
        <item x="928"/>
        <item x="1164"/>
        <item x="704"/>
        <item x="8"/>
        <item x="857"/>
        <item x="183"/>
        <item x="881"/>
        <item x="515"/>
        <item x="529"/>
        <item x="712"/>
        <item x="1076"/>
        <item x="53"/>
        <item x="1053"/>
        <item x="426"/>
        <item x="676"/>
        <item x="171"/>
        <item x="560"/>
        <item x="168"/>
        <item x="477"/>
        <item x="197"/>
        <item x="851"/>
        <item x="568"/>
        <item x="11"/>
        <item x="581"/>
        <item x="550"/>
        <item x="268"/>
        <item x="578"/>
        <item x="225"/>
        <item x="926"/>
        <item x="431"/>
        <item x="762"/>
        <item x="49"/>
        <item x="126"/>
        <item x="400"/>
        <item x="646"/>
        <item x="1002"/>
        <item x="401"/>
        <item x="222"/>
        <item x="217"/>
        <item x="1050"/>
        <item x="612"/>
        <item x="155"/>
        <item x="198"/>
        <item x="932"/>
        <item x="84"/>
        <item x="1112"/>
        <item x="721"/>
        <item x="818"/>
        <item x="266"/>
        <item x="1148"/>
        <item x="877"/>
        <item x="742"/>
        <item x="846"/>
        <item x="63"/>
        <item x="848"/>
        <item x="1028"/>
        <item x="373"/>
        <item x="767"/>
        <item x="970"/>
        <item x="1052"/>
        <item x="361"/>
        <item x="773"/>
        <item x="1081"/>
        <item x="523"/>
        <item x="134"/>
        <item x="1104"/>
        <item x="984"/>
        <item x="781"/>
        <item x="755"/>
        <item x="89"/>
        <item x="708"/>
        <item x="1006"/>
        <item x="662"/>
        <item x="841"/>
        <item x="259"/>
        <item x="894"/>
        <item x="87"/>
        <item x="438"/>
        <item x="464"/>
        <item x="978"/>
        <item x="751"/>
        <item x="1109"/>
        <item x="1005"/>
        <item x="32"/>
        <item x="766"/>
        <item x="1000"/>
        <item x="282"/>
        <item x="317"/>
        <item x="682"/>
        <item x="520"/>
        <item x="640"/>
        <item x="649"/>
        <item x="341"/>
        <item x="158"/>
        <item x="180"/>
        <item x="1127"/>
        <item x="64"/>
        <item x="983"/>
        <item x="632"/>
        <item x="94"/>
        <item x="279"/>
        <item x="460"/>
        <item x="746"/>
        <item x="1004"/>
        <item x="4"/>
        <item x="817"/>
        <item x="125"/>
        <item x="741"/>
        <item x="651"/>
        <item x="88"/>
        <item x="628"/>
        <item x="145"/>
        <item x="499"/>
        <item x="286"/>
        <item x="996"/>
        <item x="534"/>
        <item x="907"/>
        <item x="542"/>
        <item x="782"/>
        <item x="831"/>
        <item x="253"/>
        <item x="379"/>
        <item x="34"/>
        <item x="1091"/>
        <item x="761"/>
        <item x="885"/>
        <item x="844"/>
        <item x="664"/>
        <item x="771"/>
        <item x="48"/>
        <item x="143"/>
        <item x="58"/>
        <item x="561"/>
        <item x="890"/>
        <item x="377"/>
        <item x="1128"/>
        <item x="1080"/>
        <item x="346"/>
        <item x="280"/>
        <item x="492"/>
        <item x="495"/>
        <item x="1055"/>
        <item x="33"/>
        <item x="1027"/>
        <item x="918"/>
        <item x="93"/>
        <item x="221"/>
        <item x="789"/>
        <item x="627"/>
        <item x="410"/>
        <item x="262"/>
        <item x="1079"/>
        <item x="868"/>
        <item x="181"/>
        <item x="888"/>
        <item x="330"/>
        <item x="1077"/>
        <item x="861"/>
        <item x="30"/>
        <item x="363"/>
        <item x="1054"/>
        <item x="392"/>
        <item x="267"/>
        <item x="194"/>
        <item x="738"/>
        <item x="621"/>
        <item x="827"/>
        <item x="667"/>
        <item x="922"/>
        <item x="57"/>
        <item x="623"/>
        <item x="532"/>
        <item t="default"/>
      </items>
    </pivotField>
    <pivotField showAll="0"/>
    <pivotField dragToRow="0" dragToCol="0" dragToPage="0" showAll="0" defaultSubtotal="0"/>
  </pivotFields>
  <rowFields count="1">
    <field x="18"/>
  </rowFields>
  <rowItems count="6">
    <i>
      <x/>
    </i>
    <i>
      <x v="1"/>
    </i>
    <i>
      <x v="2"/>
    </i>
    <i>
      <x v="3"/>
    </i>
    <i>
      <x v="4"/>
    </i>
    <i t="grand">
      <x/>
    </i>
  </rowItems>
  <colItems count="1">
    <i/>
  </colItems>
  <dataFields count="1">
    <dataField name="Average Savings" fld="8"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FAB7C4-AE55-4E20-815C-B6C2A1F7687D}" name="high_risk" cacheId="0" applyNumberFormats="0" applyBorderFormats="0" applyFontFormats="0" applyPatternFormats="0" applyAlignmentFormats="0" applyWidthHeightFormats="1" dataCaption="Values" grandTotalCaption="High Risk" updatedVersion="8" minRefreshableVersion="5" useAutoFormatting="1" itemPrintTitles="1" createdVersion="8" indent="0" outline="1" outlineData="1" multipleFieldFilters="0" chartFormat="16" rowHeaderCaption="Region">
  <location ref="K14:M20" firstHeaderRow="0" firstDataRow="1" firstDataCol="1"/>
  <pivotFields count="22">
    <pivotField showAll="0"/>
    <pivotField showAll="0">
      <items count="53">
        <item x="36"/>
        <item x="16"/>
        <item x="15"/>
        <item x="13"/>
        <item x="12"/>
        <item x="0"/>
        <item x="22"/>
        <item x="9"/>
        <item x="43"/>
        <item x="7"/>
        <item x="50"/>
        <item x="17"/>
        <item x="32"/>
        <item x="42"/>
        <item x="41"/>
        <item x="46"/>
        <item x="31"/>
        <item x="6"/>
        <item x="34"/>
        <item x="39"/>
        <item x="5"/>
        <item x="40"/>
        <item x="2"/>
        <item x="33"/>
        <item x="11"/>
        <item x="14"/>
        <item x="3"/>
        <item x="23"/>
        <item x="28"/>
        <item x="51"/>
        <item x="10"/>
        <item x="8"/>
        <item x="27"/>
        <item x="24"/>
        <item x="45"/>
        <item x="30"/>
        <item x="4"/>
        <item x="49"/>
        <item x="25"/>
        <item x="1"/>
        <item x="18"/>
        <item x="26"/>
        <item x="48"/>
        <item x="21"/>
        <item x="20"/>
        <item x="38"/>
        <item x="35"/>
        <item x="29"/>
        <item x="44"/>
        <item x="37"/>
        <item x="47"/>
        <item x="19"/>
        <item t="default"/>
      </items>
    </pivotField>
    <pivotField showAll="0">
      <items count="4">
        <item x="1"/>
        <item x="0"/>
        <item x="2"/>
        <item t="default"/>
      </items>
    </pivotField>
    <pivotField showAll="0">
      <items count="6">
        <item x="3"/>
        <item x="0"/>
        <item x="2"/>
        <item x="1"/>
        <item x="4"/>
        <item t="default"/>
      </items>
    </pivotField>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6">
        <item x="3"/>
        <item x="4"/>
        <item x="0"/>
        <item x="1"/>
        <item x="2"/>
        <item t="default"/>
      </items>
      <autoSortScope>
        <pivotArea dataOnly="0" outline="0" fieldPosition="0">
          <references count="1">
            <reference field="4294967294" count="1" selected="0">
              <x v="1"/>
            </reference>
          </references>
        </pivotArea>
      </autoSortScope>
    </pivotField>
    <pivotField numFmtId="14" showAll="0">
      <items count="1188">
        <item x="1017"/>
        <item x="641"/>
        <item x="635"/>
        <item x="422"/>
        <item x="319"/>
        <item x="1100"/>
        <item x="39"/>
        <item x="1078"/>
        <item x="136"/>
        <item x="325"/>
        <item x="756"/>
        <item x="719"/>
        <item x="239"/>
        <item x="824"/>
        <item x="214"/>
        <item x="1183"/>
        <item x="569"/>
        <item x="758"/>
        <item x="380"/>
        <item x="879"/>
        <item x="1146"/>
        <item x="91"/>
        <item x="836"/>
        <item x="260"/>
        <item x="944"/>
        <item x="849"/>
        <item x="450"/>
        <item x="700"/>
        <item x="924"/>
        <item x="753"/>
        <item x="626"/>
        <item x="834"/>
        <item x="433"/>
        <item x="874"/>
        <item x="462"/>
        <item x="533"/>
        <item x="1045"/>
        <item x="895"/>
        <item x="429"/>
        <item x="74"/>
        <item x="936"/>
        <item x="556"/>
        <item x="50"/>
        <item x="593"/>
        <item x="688"/>
        <item x="706"/>
        <item x="207"/>
        <item x="299"/>
        <item x="919"/>
        <item x="314"/>
        <item x="788"/>
        <item x="779"/>
        <item x="205"/>
        <item x="441"/>
        <item x="73"/>
        <item x="732"/>
        <item x="227"/>
        <item x="356"/>
        <item x="906"/>
        <item x="283"/>
        <item x="896"/>
        <item x="235"/>
        <item x="699"/>
        <item x="655"/>
        <item x="1158"/>
        <item x="478"/>
        <item x="43"/>
        <item x="1142"/>
        <item x="794"/>
        <item x="1069"/>
        <item x="754"/>
        <item x="149"/>
        <item x="1161"/>
        <item x="1085"/>
        <item x="1007"/>
        <item x="475"/>
        <item x="696"/>
        <item x="348"/>
        <item x="1023"/>
        <item x="461"/>
        <item x="624"/>
        <item x="770"/>
        <item x="615"/>
        <item x="212"/>
        <item x="1101"/>
        <item x="5"/>
        <item x="418"/>
        <item x="943"/>
        <item x="987"/>
        <item x="320"/>
        <item x="872"/>
        <item x="1106"/>
        <item x="854"/>
        <item x="528"/>
        <item x="727"/>
        <item x="517"/>
        <item x="497"/>
        <item x="1082"/>
        <item x="563"/>
        <item x="35"/>
        <item x="151"/>
        <item x="173"/>
        <item x="276"/>
        <item x="297"/>
        <item x="839"/>
        <item x="376"/>
        <item x="81"/>
        <item x="454"/>
        <item x="195"/>
        <item x="232"/>
        <item x="1062"/>
        <item x="1"/>
        <item x="580"/>
        <item x="398"/>
        <item x="792"/>
        <item x="105"/>
        <item x="786"/>
        <item x="1059"/>
        <item x="336"/>
        <item x="119"/>
        <item x="713"/>
        <item x="21"/>
        <item x="691"/>
        <item x="146"/>
        <item x="527"/>
        <item x="490"/>
        <item x="1174"/>
        <item x="1093"/>
        <item x="1024"/>
        <item x="974"/>
        <item x="407"/>
        <item x="900"/>
        <item x="768"/>
        <item x="406"/>
        <item x="962"/>
        <item x="434"/>
        <item x="443"/>
        <item x="1019"/>
        <item x="388"/>
        <item x="923"/>
        <item x="263"/>
        <item x="1129"/>
        <item x="1136"/>
        <item x="1154"/>
        <item x="1163"/>
        <item x="693"/>
        <item x="587"/>
        <item x="486"/>
        <item x="1066"/>
        <item x="498"/>
        <item x="822"/>
        <item x="344"/>
        <item x="244"/>
        <item x="509"/>
        <item x="1058"/>
        <item x="566"/>
        <item x="178"/>
        <item x="749"/>
        <item x="249"/>
        <item x="9"/>
        <item x="1175"/>
        <item x="25"/>
        <item x="334"/>
        <item x="687"/>
        <item x="1049"/>
        <item x="614"/>
        <item x="1140"/>
        <item x="123"/>
        <item x="562"/>
        <item x="467"/>
        <item x="867"/>
        <item x="927"/>
        <item x="501"/>
        <item x="616"/>
        <item x="963"/>
        <item x="807"/>
        <item x="921"/>
        <item x="191"/>
        <item x="101"/>
        <item x="97"/>
        <item x="714"/>
        <item x="254"/>
        <item x="902"/>
        <item x="500"/>
        <item x="775"/>
        <item x="349"/>
        <item x="938"/>
        <item x="609"/>
        <item x="1010"/>
        <item x="255"/>
        <item x="804"/>
        <item x="842"/>
        <item x="1089"/>
        <item x="1086"/>
        <item x="625"/>
        <item x="1029"/>
        <item x="309"/>
        <item x="711"/>
        <item x="1149"/>
        <item x="100"/>
        <item x="437"/>
        <item x="583"/>
        <item x="111"/>
        <item x="1013"/>
        <item x="519"/>
        <item x="680"/>
        <item x="480"/>
        <item x="503"/>
        <item x="484"/>
        <item x="728"/>
        <item x="220"/>
        <item x="1012"/>
        <item x="513"/>
        <item x="1096"/>
        <item x="148"/>
        <item x="982"/>
        <item x="1177"/>
        <item x="383"/>
        <item x="638"/>
        <item x="196"/>
        <item x="717"/>
        <item x="945"/>
        <item x="491"/>
        <item x="23"/>
        <item x="156"/>
        <item x="603"/>
        <item x="1118"/>
        <item x="705"/>
        <item x="1056"/>
        <item x="968"/>
        <item x="733"/>
        <item x="631"/>
        <item x="68"/>
        <item x="117"/>
        <item x="358"/>
        <item x="715"/>
        <item x="1039"/>
        <item x="218"/>
        <item x="1168"/>
        <item x="442"/>
        <item x="723"/>
        <item x="357"/>
        <item x="203"/>
        <item x="1072"/>
        <item x="375"/>
        <item x="558"/>
        <item x="934"/>
        <item x="115"/>
        <item x="1031"/>
        <item x="584"/>
        <item x="342"/>
        <item x="192"/>
        <item x="425"/>
        <item x="246"/>
        <item x="681"/>
        <item x="1090"/>
        <item x="473"/>
        <item x="986"/>
        <item x="710"/>
        <item x="362"/>
        <item x="740"/>
        <item x="1115"/>
        <item x="1126"/>
        <item x="1036"/>
        <item x="150"/>
        <item x="785"/>
        <item x="939"/>
        <item x="648"/>
        <item x="494"/>
        <item x="405"/>
        <item x="310"/>
        <item x="106"/>
        <item x="1184"/>
        <item x="177"/>
        <item x="582"/>
        <item x="1103"/>
        <item x="526"/>
        <item x="96"/>
        <item x="237"/>
        <item x="95"/>
        <item x="573"/>
        <item x="504"/>
        <item x="272"/>
        <item x="144"/>
        <item x="941"/>
        <item x="14"/>
        <item x="589"/>
        <item x="79"/>
        <item x="1180"/>
        <item x="118"/>
        <item x="468"/>
        <item x="174"/>
        <item x="22"/>
        <item x="805"/>
        <item x="427"/>
        <item x="170"/>
        <item x="567"/>
        <item x="367"/>
        <item x="565"/>
        <item x="660"/>
        <item x="159"/>
        <item x="995"/>
        <item x="1165"/>
        <item x="991"/>
        <item x="46"/>
        <item x="483"/>
        <item x="1171"/>
        <item x="760"/>
        <item x="456"/>
        <item x="636"/>
        <item x="812"/>
        <item x="997"/>
        <item x="1108"/>
        <item x="910"/>
        <item x="571"/>
        <item x="545"/>
        <item x="787"/>
        <item x="540"/>
        <item x="814"/>
        <item x="990"/>
        <item x="215"/>
        <item x="1169"/>
        <item x="806"/>
        <item x="908"/>
        <item x="241"/>
        <item x="724"/>
        <item x="466"/>
        <item x="290"/>
        <item x="381"/>
        <item x="525"/>
        <item x="131"/>
        <item x="457"/>
        <item x="743"/>
        <item x="261"/>
        <item x="838"/>
        <item x="368"/>
        <item x="489"/>
        <item x="414"/>
        <item x="1131"/>
        <item x="339"/>
        <item x="610"/>
        <item x="859"/>
        <item x="813"/>
        <item x="1132"/>
        <item x="459"/>
        <item x="366"/>
        <item x="416"/>
        <item x="327"/>
        <item x="10"/>
        <item x="600"/>
        <item x="809"/>
        <item x="463"/>
        <item x="980"/>
        <item x="530"/>
        <item x="382"/>
        <item x="236"/>
        <item x="1182"/>
        <item x="979"/>
        <item x="1147"/>
        <item x="216"/>
        <item x="935"/>
        <item x="199"/>
        <item x="242"/>
        <item x="240"/>
        <item x="622"/>
        <item x="288"/>
        <item x="471"/>
        <item x="201"/>
        <item x="1135"/>
        <item x="989"/>
        <item x="322"/>
        <item x="7"/>
        <item x="672"/>
        <item x="557"/>
        <item x="633"/>
        <item x="772"/>
        <item x="1134"/>
        <item x="67"/>
        <item x="725"/>
        <item x="372"/>
        <item x="572"/>
        <item x="843"/>
        <item x="650"/>
        <item x="307"/>
        <item x="446"/>
        <item x="819"/>
        <item x="78"/>
        <item x="206"/>
        <item x="737"/>
        <item x="823"/>
        <item x="959"/>
        <item x="808"/>
        <item x="909"/>
        <item x="522"/>
        <item x="76"/>
        <item x="875"/>
        <item x="333"/>
        <item x="82"/>
        <item x="953"/>
        <item x="1009"/>
        <item x="541"/>
        <item x="465"/>
        <item x="661"/>
        <item x="313"/>
        <item x="324"/>
        <item x="639"/>
        <item x="988"/>
        <item x="413"/>
        <item x="1037"/>
        <item x="957"/>
        <item x="790"/>
        <item x="1035"/>
        <item x="1150"/>
        <item x="946"/>
        <item x="208"/>
        <item x="496"/>
        <item x="511"/>
        <item x="161"/>
        <item x="643"/>
        <item x="209"/>
        <item x="591"/>
        <item x="659"/>
        <item x="776"/>
        <item x="798"/>
        <item x="744"/>
        <item x="608"/>
        <item x="1105"/>
        <item x="893"/>
        <item x="251"/>
        <item x="238"/>
        <item x="83"/>
        <item x="539"/>
        <item x="432"/>
        <item x="1022"/>
        <item x="905"/>
        <item x="264"/>
        <item x="642"/>
        <item x="371"/>
        <item x="1065"/>
        <item x="228"/>
        <item x="791"/>
        <item x="337"/>
        <item x="338"/>
        <item x="329"/>
        <item x="389"/>
        <item x="833"/>
        <item x="306"/>
        <item x="543"/>
        <item x="915"/>
        <item x="1145"/>
        <item x="972"/>
        <item x="695"/>
        <item x="502"/>
        <item x="858"/>
        <item x="296"/>
        <item x="883"/>
        <item x="653"/>
        <item x="61"/>
        <item x="891"/>
        <item x="942"/>
        <item x="752"/>
        <item x="289"/>
        <item x="99"/>
        <item x="645"/>
        <item x="1144"/>
        <item x="455"/>
        <item x="1042"/>
        <item x="415"/>
        <item x="821"/>
        <item x="903"/>
        <item x="1107"/>
        <item x="86"/>
        <item x="355"/>
        <item x="404"/>
        <item x="343"/>
        <item x="447"/>
        <item x="739"/>
        <item x="976"/>
        <item x="697"/>
        <item x="981"/>
        <item x="684"/>
        <item x="184"/>
        <item x="544"/>
        <item x="873"/>
        <item x="947"/>
        <item x="293"/>
        <item x="516"/>
        <item x="683"/>
        <item x="757"/>
        <item x="479"/>
        <item x="690"/>
        <item x="139"/>
        <item x="124"/>
        <item x="716"/>
        <item x="1040"/>
        <item x="799"/>
        <item x="0"/>
        <item x="12"/>
        <item x="303"/>
        <item x="911"/>
        <item x="830"/>
        <item x="904"/>
        <item x="689"/>
        <item x="570"/>
        <item x="914"/>
        <item x="538"/>
        <item x="668"/>
        <item x="72"/>
        <item x="265"/>
        <item x="472"/>
        <item x="311"/>
        <item x="726"/>
        <item x="140"/>
        <item x="1044"/>
        <item x="1114"/>
        <item x="780"/>
        <item x="387"/>
        <item x="60"/>
        <item x="354"/>
        <item x="552"/>
        <item x="602"/>
        <item x="470"/>
        <item x="1102"/>
        <item x="803"/>
        <item x="1048"/>
        <item x="1153"/>
        <item x="193"/>
        <item x="604"/>
        <item x="1110"/>
        <item x="245"/>
        <item x="765"/>
        <item x="901"/>
        <item x="656"/>
        <item x="257"/>
        <item x="605"/>
        <item x="575"/>
        <item x="536"/>
        <item x="777"/>
        <item x="1120"/>
        <item x="1001"/>
        <item x="130"/>
        <item x="116"/>
        <item x="574"/>
        <item x="993"/>
        <item x="424"/>
        <item x="1083"/>
        <item x="298"/>
        <item x="559"/>
        <item x="886"/>
        <item x="481"/>
        <item x="152"/>
        <item x="1130"/>
        <item x="647"/>
        <item x="162"/>
        <item x="912"/>
        <item x="965"/>
        <item x="1176"/>
        <item x="187"/>
        <item x="1087"/>
        <item x="304"/>
        <item x="1026"/>
        <item x="1141"/>
        <item x="1097"/>
        <item x="1064"/>
        <item x="505"/>
        <item x="731"/>
        <item x="658"/>
        <item x="1016"/>
        <item x="964"/>
        <item x="707"/>
        <item x="1008"/>
        <item x="735"/>
        <item x="940"/>
        <item x="210"/>
        <item x="971"/>
        <item x="19"/>
        <item x="451"/>
        <item x="243"/>
        <item x="889"/>
        <item x="1015"/>
        <item x="284"/>
        <item x="892"/>
        <item x="598"/>
        <item x="6"/>
        <item x="1018"/>
        <item x="189"/>
        <item x="2"/>
        <item x="15"/>
        <item x="698"/>
        <item x="1088"/>
        <item x="518"/>
        <item x="937"/>
        <item x="1095"/>
        <item x="141"/>
        <item x="599"/>
        <item x="835"/>
        <item x="360"/>
        <item x="840"/>
        <item x="440"/>
        <item x="399"/>
        <item x="138"/>
        <item x="925"/>
        <item x="1033"/>
        <item x="1133"/>
        <item x="179"/>
        <item x="45"/>
        <item x="686"/>
        <item x="474"/>
        <item x="933"/>
        <item x="994"/>
        <item x="332"/>
        <item x="409"/>
        <item x="430"/>
        <item x="153"/>
        <item x="112"/>
        <item x="666"/>
        <item x="204"/>
        <item x="364"/>
        <item x="594"/>
        <item x="190"/>
        <item x="736"/>
        <item x="1014"/>
        <item x="188"/>
        <item x="1075"/>
        <item x="669"/>
        <item x="445"/>
        <item x="1074"/>
        <item x="958"/>
        <item x="769"/>
        <item x="1011"/>
        <item x="774"/>
        <item x="1099"/>
        <item x="677"/>
        <item x="36"/>
        <item x="281"/>
        <item x="1178"/>
        <item x="65"/>
        <item x="549"/>
        <item x="24"/>
        <item x="802"/>
        <item x="673"/>
        <item x="230"/>
        <item x="316"/>
        <item x="28"/>
        <item x="966"/>
        <item x="800"/>
        <item x="449"/>
        <item x="250"/>
        <item x="335"/>
        <item x="546"/>
        <item x="213"/>
        <item x="482"/>
        <item x="969"/>
        <item x="554"/>
        <item x="1094"/>
        <item x="797"/>
        <item x="1166"/>
        <item x="294"/>
        <item x="347"/>
        <item x="386"/>
        <item x="300"/>
        <item x="353"/>
        <item x="38"/>
        <item x="778"/>
        <item x="301"/>
        <item x="652"/>
        <item x="585"/>
        <item x="359"/>
        <item x="537"/>
        <item x="393"/>
        <item x="41"/>
        <item x="701"/>
        <item x="200"/>
        <item x="1181"/>
        <item x="619"/>
        <item x="278"/>
        <item x="92"/>
        <item x="998"/>
        <item x="287"/>
        <item x="685"/>
        <item x="108"/>
        <item x="378"/>
        <item x="930"/>
        <item x="1172"/>
        <item x="374"/>
        <item x="820"/>
        <item x="810"/>
        <item x="606"/>
        <item x="384"/>
        <item x="318"/>
        <item x="607"/>
        <item x="1123"/>
        <item x="277"/>
        <item x="951"/>
        <item x="1060"/>
        <item x="1111"/>
        <item x="629"/>
        <item x="312"/>
        <item x="795"/>
        <item x="1159"/>
        <item x="1025"/>
        <item x="448"/>
        <item x="878"/>
        <item x="70"/>
        <item x="1063"/>
        <item x="555"/>
        <item x="274"/>
        <item x="869"/>
        <item x="967"/>
        <item x="59"/>
        <item x="1003"/>
        <item x="231"/>
        <item x="618"/>
        <item x="674"/>
        <item x="271"/>
        <item x="551"/>
        <item x="1070"/>
        <item x="488"/>
        <item x="408"/>
        <item x="796"/>
        <item x="675"/>
        <item x="13"/>
        <item x="564"/>
        <item x="620"/>
        <item x="1151"/>
        <item x="750"/>
        <item x="1041"/>
        <item x="62"/>
        <item x="285"/>
        <item x="729"/>
        <item x="634"/>
        <item x="302"/>
        <item x="128"/>
        <item x="1179"/>
        <item x="147"/>
        <item x="85"/>
        <item x="524"/>
        <item x="1071"/>
        <item x="223"/>
        <item x="18"/>
        <item x="763"/>
        <item x="876"/>
        <item x="331"/>
        <item x="20"/>
        <item x="52"/>
        <item x="1125"/>
        <item x="992"/>
        <item x="720"/>
        <item x="17"/>
        <item x="396"/>
        <item x="961"/>
        <item x="165"/>
        <item x="1057"/>
        <item x="663"/>
        <item x="1152"/>
        <item x="931"/>
        <item x="54"/>
        <item x="613"/>
        <item x="326"/>
        <item x="866"/>
        <item x="887"/>
        <item x="929"/>
        <item x="51"/>
        <item x="229"/>
        <item x="419"/>
        <item x="164"/>
        <item x="485"/>
        <item x="122"/>
        <item x="547"/>
        <item x="321"/>
        <item x="420"/>
        <item x="176"/>
        <item x="1167"/>
        <item x="764"/>
        <item x="692"/>
        <item x="703"/>
        <item x="853"/>
        <item x="521"/>
        <item x="1185"/>
        <item x="1160"/>
        <item x="252"/>
        <item x="27"/>
        <item x="397"/>
        <item x="679"/>
        <item x="351"/>
        <item x="850"/>
        <item x="269"/>
        <item x="576"/>
        <item x="154"/>
        <item x="439"/>
        <item x="862"/>
        <item x="948"/>
        <item x="592"/>
        <item x="423"/>
        <item x="1124"/>
        <item x="1092"/>
        <item x="702"/>
        <item x="954"/>
        <item x="412"/>
        <item x="493"/>
        <item x="1143"/>
        <item x="132"/>
        <item x="44"/>
        <item x="718"/>
        <item x="506"/>
        <item x="670"/>
        <item x="1051"/>
        <item x="186"/>
        <item x="169"/>
        <item x="579"/>
        <item x="137"/>
        <item x="898"/>
        <item x="597"/>
        <item x="507"/>
        <item x="510"/>
        <item x="601"/>
        <item x="694"/>
        <item x="1139"/>
        <item x="127"/>
        <item x="385"/>
        <item x="291"/>
        <item x="77"/>
        <item x="107"/>
        <item x="657"/>
        <item x="897"/>
        <item x="816"/>
        <item x="469"/>
        <item x="340"/>
        <item x="590"/>
        <item x="114"/>
        <item x="617"/>
        <item x="826"/>
        <item x="825"/>
        <item x="577"/>
        <item x="109"/>
        <item x="1116"/>
        <item x="370"/>
        <item x="1122"/>
        <item x="234"/>
        <item x="734"/>
        <item x="1173"/>
        <item x="1047"/>
        <item x="1186"/>
        <item x="917"/>
        <item x="29"/>
        <item x="514"/>
        <item x="47"/>
        <item x="80"/>
        <item x="308"/>
        <item x="403"/>
        <item x="847"/>
        <item x="956"/>
        <item x="167"/>
        <item x="548"/>
        <item x="864"/>
        <item x="920"/>
        <item x="837"/>
        <item x="1032"/>
        <item x="182"/>
        <item x="275"/>
        <item x="630"/>
        <item x="66"/>
        <item x="671"/>
        <item x="531"/>
        <item x="784"/>
        <item x="855"/>
        <item x="1073"/>
        <item x="102"/>
        <item x="747"/>
        <item x="37"/>
        <item x="665"/>
        <item x="121"/>
        <item x="224"/>
        <item x="157"/>
        <item x="644"/>
        <item x="535"/>
        <item x="247"/>
        <item x="960"/>
        <item x="219"/>
        <item x="42"/>
        <item x="730"/>
        <item x="292"/>
        <item x="394"/>
        <item x="1061"/>
        <item x="1034"/>
        <item x="56"/>
        <item x="390"/>
        <item x="172"/>
        <item x="458"/>
        <item x="452"/>
        <item x="870"/>
        <item x="748"/>
        <item x="328"/>
        <item x="863"/>
        <item x="882"/>
        <item x="3"/>
        <item x="428"/>
        <item x="1157"/>
        <item x="832"/>
        <item x="852"/>
        <item x="350"/>
        <item x="553"/>
        <item x="256"/>
        <item x="829"/>
        <item x="417"/>
        <item x="104"/>
        <item x="411"/>
        <item x="211"/>
        <item x="596"/>
        <item x="135"/>
        <item x="588"/>
        <item x="1046"/>
        <item x="26"/>
        <item x="395"/>
        <item x="113"/>
        <item x="508"/>
        <item x="1068"/>
        <item x="709"/>
        <item x="899"/>
        <item x="90"/>
        <item x="1138"/>
        <item x="175"/>
        <item x="759"/>
        <item x="345"/>
        <item x="133"/>
        <item x="1038"/>
        <item x="586"/>
        <item x="1098"/>
        <item x="270"/>
        <item x="865"/>
        <item x="185"/>
        <item x="1043"/>
        <item x="856"/>
        <item x="110"/>
        <item x="801"/>
        <item x="977"/>
        <item x="1020"/>
        <item x="202"/>
        <item x="1067"/>
        <item x="1121"/>
        <item x="365"/>
        <item x="950"/>
        <item x="160"/>
        <item x="1137"/>
        <item x="369"/>
        <item x="973"/>
        <item x="16"/>
        <item x="248"/>
        <item x="1021"/>
        <item x="999"/>
        <item x="916"/>
        <item x="1162"/>
        <item x="845"/>
        <item x="444"/>
        <item x="828"/>
        <item x="31"/>
        <item x="163"/>
        <item x="1156"/>
        <item x="975"/>
        <item x="55"/>
        <item x="860"/>
        <item x="880"/>
        <item x="678"/>
        <item x="305"/>
        <item x="811"/>
        <item x="315"/>
        <item x="654"/>
        <item x="421"/>
        <item x="75"/>
        <item x="884"/>
        <item x="637"/>
        <item x="611"/>
        <item x="323"/>
        <item x="103"/>
        <item x="142"/>
        <item x="71"/>
        <item x="402"/>
        <item x="435"/>
        <item x="453"/>
        <item x="985"/>
        <item x="955"/>
        <item x="295"/>
        <item x="783"/>
        <item x="952"/>
        <item x="273"/>
        <item x="487"/>
        <item x="129"/>
        <item x="1113"/>
        <item x="1170"/>
        <item x="1030"/>
        <item x="436"/>
        <item x="258"/>
        <item x="1155"/>
        <item x="595"/>
        <item x="949"/>
        <item x="120"/>
        <item x="1117"/>
        <item x="815"/>
        <item x="512"/>
        <item x="233"/>
        <item x="913"/>
        <item x="226"/>
        <item x="1084"/>
        <item x="871"/>
        <item x="745"/>
        <item x="793"/>
        <item x="98"/>
        <item x="1119"/>
        <item x="476"/>
        <item x="722"/>
        <item x="391"/>
        <item x="69"/>
        <item x="352"/>
        <item x="40"/>
        <item x="166"/>
        <item x="928"/>
        <item x="1164"/>
        <item x="704"/>
        <item x="8"/>
        <item x="857"/>
        <item x="183"/>
        <item x="881"/>
        <item x="515"/>
        <item x="529"/>
        <item x="712"/>
        <item x="1076"/>
        <item x="53"/>
        <item x="1053"/>
        <item x="426"/>
        <item x="676"/>
        <item x="171"/>
        <item x="560"/>
        <item x="168"/>
        <item x="477"/>
        <item x="197"/>
        <item x="851"/>
        <item x="568"/>
        <item x="11"/>
        <item x="581"/>
        <item x="550"/>
        <item x="268"/>
        <item x="578"/>
        <item x="225"/>
        <item x="926"/>
        <item x="431"/>
        <item x="762"/>
        <item x="49"/>
        <item x="126"/>
        <item x="400"/>
        <item x="646"/>
        <item x="1002"/>
        <item x="401"/>
        <item x="222"/>
        <item x="217"/>
        <item x="1050"/>
        <item x="612"/>
        <item x="155"/>
        <item x="198"/>
        <item x="932"/>
        <item x="84"/>
        <item x="1112"/>
        <item x="721"/>
        <item x="818"/>
        <item x="266"/>
        <item x="1148"/>
        <item x="877"/>
        <item x="742"/>
        <item x="846"/>
        <item x="63"/>
        <item x="848"/>
        <item x="1028"/>
        <item x="373"/>
        <item x="767"/>
        <item x="970"/>
        <item x="1052"/>
        <item x="361"/>
        <item x="773"/>
        <item x="1081"/>
        <item x="523"/>
        <item x="134"/>
        <item x="1104"/>
        <item x="984"/>
        <item x="781"/>
        <item x="755"/>
        <item x="89"/>
        <item x="708"/>
        <item x="1006"/>
        <item x="662"/>
        <item x="841"/>
        <item x="259"/>
        <item x="894"/>
        <item x="87"/>
        <item x="438"/>
        <item x="464"/>
        <item x="978"/>
        <item x="751"/>
        <item x="1109"/>
        <item x="1005"/>
        <item x="32"/>
        <item x="766"/>
        <item x="1000"/>
        <item x="282"/>
        <item x="317"/>
        <item x="682"/>
        <item x="520"/>
        <item x="640"/>
        <item x="649"/>
        <item x="341"/>
        <item x="158"/>
        <item x="180"/>
        <item x="1127"/>
        <item x="64"/>
        <item x="983"/>
        <item x="632"/>
        <item x="94"/>
        <item x="279"/>
        <item x="460"/>
        <item x="746"/>
        <item x="1004"/>
        <item x="4"/>
        <item x="817"/>
        <item x="125"/>
        <item x="741"/>
        <item x="651"/>
        <item x="88"/>
        <item x="628"/>
        <item x="145"/>
        <item x="499"/>
        <item x="286"/>
        <item x="996"/>
        <item x="534"/>
        <item x="907"/>
        <item x="542"/>
        <item x="782"/>
        <item x="831"/>
        <item x="253"/>
        <item x="379"/>
        <item x="34"/>
        <item x="1091"/>
        <item x="761"/>
        <item x="885"/>
        <item x="844"/>
        <item x="664"/>
        <item x="771"/>
        <item x="48"/>
        <item x="143"/>
        <item x="58"/>
        <item x="561"/>
        <item x="890"/>
        <item x="377"/>
        <item x="1128"/>
        <item x="1080"/>
        <item x="346"/>
        <item x="280"/>
        <item x="492"/>
        <item x="495"/>
        <item x="1055"/>
        <item x="33"/>
        <item x="1027"/>
        <item x="918"/>
        <item x="93"/>
        <item x="221"/>
        <item x="789"/>
        <item x="627"/>
        <item x="410"/>
        <item x="262"/>
        <item x="1079"/>
        <item x="868"/>
        <item x="181"/>
        <item x="888"/>
        <item x="330"/>
        <item x="1077"/>
        <item x="861"/>
        <item x="30"/>
        <item x="363"/>
        <item x="1054"/>
        <item x="392"/>
        <item x="267"/>
        <item x="194"/>
        <item x="738"/>
        <item x="621"/>
        <item x="827"/>
        <item x="667"/>
        <item x="922"/>
        <item x="57"/>
        <item x="623"/>
        <item x="532"/>
        <item t="default"/>
      </items>
    </pivotField>
    <pivotField dataField="1" showAll="0"/>
    <pivotField dragToRow="0" dragToCol="0" dragToPage="0" showAll="0" defaultSubtotal="0"/>
  </pivotFields>
  <rowFields count="1">
    <field x="18"/>
  </rowFields>
  <rowItems count="6">
    <i>
      <x v="4"/>
    </i>
    <i>
      <x v="2"/>
    </i>
    <i>
      <x v="1"/>
    </i>
    <i>
      <x v="3"/>
    </i>
    <i>
      <x/>
    </i>
    <i t="grand">
      <x/>
    </i>
  </rowItems>
  <colFields count="1">
    <field x="-2"/>
  </colFields>
  <colItems count="2">
    <i>
      <x/>
    </i>
    <i i="1">
      <x v="1"/>
    </i>
  </colItems>
  <dataFields count="2">
    <dataField name="High Risk" fld="20" baseField="0" baseItem="0"/>
    <dataField name="High Risk %" fld="20" subtotal="average" baseField="18" baseItem="0" numFmtId="10"/>
  </dataFields>
  <chartFormats count="2">
    <chartFormat chart="10" format="9"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83B882-4310-4169-B287-807074102D16}" name="average_income" cacheId="0" applyNumberFormats="0" applyBorderFormats="0" applyFontFormats="0" applyPatternFormats="0" applyAlignmentFormats="0" applyWidthHeightFormats="1" dataCaption="Values" grandTotalCaption="Average Income" updatedVersion="8" minRefreshableVersion="5" useAutoFormatting="1" itemPrintTitles="1" createdVersion="8" indent="0" outline="1" outlineData="1" multipleFieldFilters="0" rowHeaderCaption="Region">
  <location ref="C14:D20" firstHeaderRow="1" firstDataRow="1" firstDataCol="1"/>
  <pivotFields count="22">
    <pivotField showAll="0"/>
    <pivotField showAll="0">
      <items count="53">
        <item x="36"/>
        <item x="16"/>
        <item x="15"/>
        <item x="13"/>
        <item x="12"/>
        <item x="0"/>
        <item x="22"/>
        <item x="9"/>
        <item x="43"/>
        <item x="7"/>
        <item x="50"/>
        <item x="17"/>
        <item x="32"/>
        <item x="42"/>
        <item x="41"/>
        <item x="46"/>
        <item x="31"/>
        <item x="6"/>
        <item x="34"/>
        <item x="39"/>
        <item x="5"/>
        <item x="40"/>
        <item x="2"/>
        <item x="33"/>
        <item x="11"/>
        <item x="14"/>
        <item x="3"/>
        <item x="23"/>
        <item x="28"/>
        <item x="51"/>
        <item x="10"/>
        <item x="8"/>
        <item x="27"/>
        <item x="24"/>
        <item x="45"/>
        <item x="30"/>
        <item x="4"/>
        <item x="49"/>
        <item x="25"/>
        <item x="1"/>
        <item x="18"/>
        <item x="26"/>
        <item x="48"/>
        <item x="21"/>
        <item x="20"/>
        <item x="38"/>
        <item x="35"/>
        <item x="29"/>
        <item x="44"/>
        <item x="37"/>
        <item x="47"/>
        <item x="19"/>
        <item t="default"/>
      </items>
    </pivotField>
    <pivotField showAll="0">
      <items count="4">
        <item x="1"/>
        <item x="0"/>
        <item x="2"/>
        <item t="default"/>
      </items>
    </pivotField>
    <pivotField showAll="0">
      <items count="6">
        <item x="3"/>
        <item x="0"/>
        <item x="2"/>
        <item x="1"/>
        <item x="4"/>
        <item t="default"/>
      </items>
    </pivotField>
    <pivotField showAll="0">
      <items count="5">
        <item x="1"/>
        <item x="2"/>
        <item x="0"/>
        <item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4"/>
        <item x="0"/>
        <item x="1"/>
        <item x="2"/>
        <item t="default"/>
      </items>
    </pivotField>
    <pivotField numFmtId="14" showAll="0">
      <items count="1188">
        <item x="1017"/>
        <item x="641"/>
        <item x="635"/>
        <item x="422"/>
        <item x="319"/>
        <item x="1100"/>
        <item x="39"/>
        <item x="1078"/>
        <item x="136"/>
        <item x="325"/>
        <item x="756"/>
        <item x="719"/>
        <item x="239"/>
        <item x="824"/>
        <item x="214"/>
        <item x="1183"/>
        <item x="569"/>
        <item x="758"/>
        <item x="380"/>
        <item x="879"/>
        <item x="1146"/>
        <item x="91"/>
        <item x="836"/>
        <item x="260"/>
        <item x="944"/>
        <item x="849"/>
        <item x="450"/>
        <item x="700"/>
        <item x="924"/>
        <item x="753"/>
        <item x="626"/>
        <item x="834"/>
        <item x="433"/>
        <item x="874"/>
        <item x="462"/>
        <item x="533"/>
        <item x="1045"/>
        <item x="895"/>
        <item x="429"/>
        <item x="74"/>
        <item x="936"/>
        <item x="556"/>
        <item x="50"/>
        <item x="593"/>
        <item x="688"/>
        <item x="706"/>
        <item x="207"/>
        <item x="299"/>
        <item x="919"/>
        <item x="314"/>
        <item x="788"/>
        <item x="779"/>
        <item x="205"/>
        <item x="441"/>
        <item x="73"/>
        <item x="732"/>
        <item x="227"/>
        <item x="356"/>
        <item x="906"/>
        <item x="283"/>
        <item x="896"/>
        <item x="235"/>
        <item x="699"/>
        <item x="655"/>
        <item x="1158"/>
        <item x="478"/>
        <item x="43"/>
        <item x="1142"/>
        <item x="794"/>
        <item x="1069"/>
        <item x="754"/>
        <item x="149"/>
        <item x="1161"/>
        <item x="1085"/>
        <item x="1007"/>
        <item x="475"/>
        <item x="696"/>
        <item x="348"/>
        <item x="1023"/>
        <item x="461"/>
        <item x="624"/>
        <item x="770"/>
        <item x="615"/>
        <item x="212"/>
        <item x="1101"/>
        <item x="5"/>
        <item x="418"/>
        <item x="943"/>
        <item x="987"/>
        <item x="320"/>
        <item x="872"/>
        <item x="1106"/>
        <item x="854"/>
        <item x="528"/>
        <item x="727"/>
        <item x="517"/>
        <item x="497"/>
        <item x="1082"/>
        <item x="563"/>
        <item x="35"/>
        <item x="151"/>
        <item x="173"/>
        <item x="276"/>
        <item x="297"/>
        <item x="839"/>
        <item x="376"/>
        <item x="81"/>
        <item x="454"/>
        <item x="195"/>
        <item x="232"/>
        <item x="1062"/>
        <item x="1"/>
        <item x="580"/>
        <item x="398"/>
        <item x="792"/>
        <item x="105"/>
        <item x="786"/>
        <item x="1059"/>
        <item x="336"/>
        <item x="119"/>
        <item x="713"/>
        <item x="21"/>
        <item x="691"/>
        <item x="146"/>
        <item x="527"/>
        <item x="490"/>
        <item x="1174"/>
        <item x="1093"/>
        <item x="1024"/>
        <item x="974"/>
        <item x="407"/>
        <item x="900"/>
        <item x="768"/>
        <item x="406"/>
        <item x="962"/>
        <item x="434"/>
        <item x="443"/>
        <item x="1019"/>
        <item x="388"/>
        <item x="923"/>
        <item x="263"/>
        <item x="1129"/>
        <item x="1136"/>
        <item x="1154"/>
        <item x="1163"/>
        <item x="693"/>
        <item x="587"/>
        <item x="486"/>
        <item x="1066"/>
        <item x="498"/>
        <item x="822"/>
        <item x="344"/>
        <item x="244"/>
        <item x="509"/>
        <item x="1058"/>
        <item x="566"/>
        <item x="178"/>
        <item x="749"/>
        <item x="249"/>
        <item x="9"/>
        <item x="1175"/>
        <item x="25"/>
        <item x="334"/>
        <item x="687"/>
        <item x="1049"/>
        <item x="614"/>
        <item x="1140"/>
        <item x="123"/>
        <item x="562"/>
        <item x="467"/>
        <item x="867"/>
        <item x="927"/>
        <item x="501"/>
        <item x="616"/>
        <item x="963"/>
        <item x="807"/>
        <item x="921"/>
        <item x="191"/>
        <item x="101"/>
        <item x="97"/>
        <item x="714"/>
        <item x="254"/>
        <item x="902"/>
        <item x="500"/>
        <item x="775"/>
        <item x="349"/>
        <item x="938"/>
        <item x="609"/>
        <item x="1010"/>
        <item x="255"/>
        <item x="804"/>
        <item x="842"/>
        <item x="1089"/>
        <item x="1086"/>
        <item x="625"/>
        <item x="1029"/>
        <item x="309"/>
        <item x="711"/>
        <item x="1149"/>
        <item x="100"/>
        <item x="437"/>
        <item x="583"/>
        <item x="111"/>
        <item x="1013"/>
        <item x="519"/>
        <item x="680"/>
        <item x="480"/>
        <item x="503"/>
        <item x="484"/>
        <item x="728"/>
        <item x="220"/>
        <item x="1012"/>
        <item x="513"/>
        <item x="1096"/>
        <item x="148"/>
        <item x="982"/>
        <item x="1177"/>
        <item x="383"/>
        <item x="638"/>
        <item x="196"/>
        <item x="717"/>
        <item x="945"/>
        <item x="491"/>
        <item x="23"/>
        <item x="156"/>
        <item x="603"/>
        <item x="1118"/>
        <item x="705"/>
        <item x="1056"/>
        <item x="968"/>
        <item x="733"/>
        <item x="631"/>
        <item x="68"/>
        <item x="117"/>
        <item x="358"/>
        <item x="715"/>
        <item x="1039"/>
        <item x="218"/>
        <item x="1168"/>
        <item x="442"/>
        <item x="723"/>
        <item x="357"/>
        <item x="203"/>
        <item x="1072"/>
        <item x="375"/>
        <item x="558"/>
        <item x="934"/>
        <item x="115"/>
        <item x="1031"/>
        <item x="584"/>
        <item x="342"/>
        <item x="192"/>
        <item x="425"/>
        <item x="246"/>
        <item x="681"/>
        <item x="1090"/>
        <item x="473"/>
        <item x="986"/>
        <item x="710"/>
        <item x="362"/>
        <item x="740"/>
        <item x="1115"/>
        <item x="1126"/>
        <item x="1036"/>
        <item x="150"/>
        <item x="785"/>
        <item x="939"/>
        <item x="648"/>
        <item x="494"/>
        <item x="405"/>
        <item x="310"/>
        <item x="106"/>
        <item x="1184"/>
        <item x="177"/>
        <item x="582"/>
        <item x="1103"/>
        <item x="526"/>
        <item x="96"/>
        <item x="237"/>
        <item x="95"/>
        <item x="573"/>
        <item x="504"/>
        <item x="272"/>
        <item x="144"/>
        <item x="941"/>
        <item x="14"/>
        <item x="589"/>
        <item x="79"/>
        <item x="1180"/>
        <item x="118"/>
        <item x="468"/>
        <item x="174"/>
        <item x="22"/>
        <item x="805"/>
        <item x="427"/>
        <item x="170"/>
        <item x="567"/>
        <item x="367"/>
        <item x="565"/>
        <item x="660"/>
        <item x="159"/>
        <item x="995"/>
        <item x="1165"/>
        <item x="991"/>
        <item x="46"/>
        <item x="483"/>
        <item x="1171"/>
        <item x="760"/>
        <item x="456"/>
        <item x="636"/>
        <item x="812"/>
        <item x="997"/>
        <item x="1108"/>
        <item x="910"/>
        <item x="571"/>
        <item x="545"/>
        <item x="787"/>
        <item x="540"/>
        <item x="814"/>
        <item x="990"/>
        <item x="215"/>
        <item x="1169"/>
        <item x="806"/>
        <item x="908"/>
        <item x="241"/>
        <item x="724"/>
        <item x="466"/>
        <item x="290"/>
        <item x="381"/>
        <item x="525"/>
        <item x="131"/>
        <item x="457"/>
        <item x="743"/>
        <item x="261"/>
        <item x="838"/>
        <item x="368"/>
        <item x="489"/>
        <item x="414"/>
        <item x="1131"/>
        <item x="339"/>
        <item x="610"/>
        <item x="859"/>
        <item x="813"/>
        <item x="1132"/>
        <item x="459"/>
        <item x="366"/>
        <item x="416"/>
        <item x="327"/>
        <item x="10"/>
        <item x="600"/>
        <item x="809"/>
        <item x="463"/>
        <item x="980"/>
        <item x="530"/>
        <item x="382"/>
        <item x="236"/>
        <item x="1182"/>
        <item x="979"/>
        <item x="1147"/>
        <item x="216"/>
        <item x="935"/>
        <item x="199"/>
        <item x="242"/>
        <item x="240"/>
        <item x="622"/>
        <item x="288"/>
        <item x="471"/>
        <item x="201"/>
        <item x="1135"/>
        <item x="989"/>
        <item x="322"/>
        <item x="7"/>
        <item x="672"/>
        <item x="557"/>
        <item x="633"/>
        <item x="772"/>
        <item x="1134"/>
        <item x="67"/>
        <item x="725"/>
        <item x="372"/>
        <item x="572"/>
        <item x="843"/>
        <item x="650"/>
        <item x="307"/>
        <item x="446"/>
        <item x="819"/>
        <item x="78"/>
        <item x="206"/>
        <item x="737"/>
        <item x="823"/>
        <item x="959"/>
        <item x="808"/>
        <item x="909"/>
        <item x="522"/>
        <item x="76"/>
        <item x="875"/>
        <item x="333"/>
        <item x="82"/>
        <item x="953"/>
        <item x="1009"/>
        <item x="541"/>
        <item x="465"/>
        <item x="661"/>
        <item x="313"/>
        <item x="324"/>
        <item x="639"/>
        <item x="988"/>
        <item x="413"/>
        <item x="1037"/>
        <item x="957"/>
        <item x="790"/>
        <item x="1035"/>
        <item x="1150"/>
        <item x="946"/>
        <item x="208"/>
        <item x="496"/>
        <item x="511"/>
        <item x="161"/>
        <item x="643"/>
        <item x="209"/>
        <item x="591"/>
        <item x="659"/>
        <item x="776"/>
        <item x="798"/>
        <item x="744"/>
        <item x="608"/>
        <item x="1105"/>
        <item x="893"/>
        <item x="251"/>
        <item x="238"/>
        <item x="83"/>
        <item x="539"/>
        <item x="432"/>
        <item x="1022"/>
        <item x="905"/>
        <item x="264"/>
        <item x="642"/>
        <item x="371"/>
        <item x="1065"/>
        <item x="228"/>
        <item x="791"/>
        <item x="337"/>
        <item x="338"/>
        <item x="329"/>
        <item x="389"/>
        <item x="833"/>
        <item x="306"/>
        <item x="543"/>
        <item x="915"/>
        <item x="1145"/>
        <item x="972"/>
        <item x="695"/>
        <item x="502"/>
        <item x="858"/>
        <item x="296"/>
        <item x="883"/>
        <item x="653"/>
        <item x="61"/>
        <item x="891"/>
        <item x="942"/>
        <item x="752"/>
        <item x="289"/>
        <item x="99"/>
        <item x="645"/>
        <item x="1144"/>
        <item x="455"/>
        <item x="1042"/>
        <item x="415"/>
        <item x="821"/>
        <item x="903"/>
        <item x="1107"/>
        <item x="86"/>
        <item x="355"/>
        <item x="404"/>
        <item x="343"/>
        <item x="447"/>
        <item x="739"/>
        <item x="976"/>
        <item x="697"/>
        <item x="981"/>
        <item x="684"/>
        <item x="184"/>
        <item x="544"/>
        <item x="873"/>
        <item x="947"/>
        <item x="293"/>
        <item x="516"/>
        <item x="683"/>
        <item x="757"/>
        <item x="479"/>
        <item x="690"/>
        <item x="139"/>
        <item x="124"/>
        <item x="716"/>
        <item x="1040"/>
        <item x="799"/>
        <item x="0"/>
        <item x="12"/>
        <item x="303"/>
        <item x="911"/>
        <item x="830"/>
        <item x="904"/>
        <item x="689"/>
        <item x="570"/>
        <item x="914"/>
        <item x="538"/>
        <item x="668"/>
        <item x="72"/>
        <item x="265"/>
        <item x="472"/>
        <item x="311"/>
        <item x="726"/>
        <item x="140"/>
        <item x="1044"/>
        <item x="1114"/>
        <item x="780"/>
        <item x="387"/>
        <item x="60"/>
        <item x="354"/>
        <item x="552"/>
        <item x="602"/>
        <item x="470"/>
        <item x="1102"/>
        <item x="803"/>
        <item x="1048"/>
        <item x="1153"/>
        <item x="193"/>
        <item x="604"/>
        <item x="1110"/>
        <item x="245"/>
        <item x="765"/>
        <item x="901"/>
        <item x="656"/>
        <item x="257"/>
        <item x="605"/>
        <item x="575"/>
        <item x="536"/>
        <item x="777"/>
        <item x="1120"/>
        <item x="1001"/>
        <item x="130"/>
        <item x="116"/>
        <item x="574"/>
        <item x="993"/>
        <item x="424"/>
        <item x="1083"/>
        <item x="298"/>
        <item x="559"/>
        <item x="886"/>
        <item x="481"/>
        <item x="152"/>
        <item x="1130"/>
        <item x="647"/>
        <item x="162"/>
        <item x="912"/>
        <item x="965"/>
        <item x="1176"/>
        <item x="187"/>
        <item x="1087"/>
        <item x="304"/>
        <item x="1026"/>
        <item x="1141"/>
        <item x="1097"/>
        <item x="1064"/>
        <item x="505"/>
        <item x="731"/>
        <item x="658"/>
        <item x="1016"/>
        <item x="964"/>
        <item x="707"/>
        <item x="1008"/>
        <item x="735"/>
        <item x="940"/>
        <item x="210"/>
        <item x="971"/>
        <item x="19"/>
        <item x="451"/>
        <item x="243"/>
        <item x="889"/>
        <item x="1015"/>
        <item x="284"/>
        <item x="892"/>
        <item x="598"/>
        <item x="6"/>
        <item x="1018"/>
        <item x="189"/>
        <item x="2"/>
        <item x="15"/>
        <item x="698"/>
        <item x="1088"/>
        <item x="518"/>
        <item x="937"/>
        <item x="1095"/>
        <item x="141"/>
        <item x="599"/>
        <item x="835"/>
        <item x="360"/>
        <item x="840"/>
        <item x="440"/>
        <item x="399"/>
        <item x="138"/>
        <item x="925"/>
        <item x="1033"/>
        <item x="1133"/>
        <item x="179"/>
        <item x="45"/>
        <item x="686"/>
        <item x="474"/>
        <item x="933"/>
        <item x="994"/>
        <item x="332"/>
        <item x="409"/>
        <item x="430"/>
        <item x="153"/>
        <item x="112"/>
        <item x="666"/>
        <item x="204"/>
        <item x="364"/>
        <item x="594"/>
        <item x="190"/>
        <item x="736"/>
        <item x="1014"/>
        <item x="188"/>
        <item x="1075"/>
        <item x="669"/>
        <item x="445"/>
        <item x="1074"/>
        <item x="958"/>
        <item x="769"/>
        <item x="1011"/>
        <item x="774"/>
        <item x="1099"/>
        <item x="677"/>
        <item x="36"/>
        <item x="281"/>
        <item x="1178"/>
        <item x="65"/>
        <item x="549"/>
        <item x="24"/>
        <item x="802"/>
        <item x="673"/>
        <item x="230"/>
        <item x="316"/>
        <item x="28"/>
        <item x="966"/>
        <item x="800"/>
        <item x="449"/>
        <item x="250"/>
        <item x="335"/>
        <item x="546"/>
        <item x="213"/>
        <item x="482"/>
        <item x="969"/>
        <item x="554"/>
        <item x="1094"/>
        <item x="797"/>
        <item x="1166"/>
        <item x="294"/>
        <item x="347"/>
        <item x="386"/>
        <item x="300"/>
        <item x="353"/>
        <item x="38"/>
        <item x="778"/>
        <item x="301"/>
        <item x="652"/>
        <item x="585"/>
        <item x="359"/>
        <item x="537"/>
        <item x="393"/>
        <item x="41"/>
        <item x="701"/>
        <item x="200"/>
        <item x="1181"/>
        <item x="619"/>
        <item x="278"/>
        <item x="92"/>
        <item x="998"/>
        <item x="287"/>
        <item x="685"/>
        <item x="108"/>
        <item x="378"/>
        <item x="930"/>
        <item x="1172"/>
        <item x="374"/>
        <item x="820"/>
        <item x="810"/>
        <item x="606"/>
        <item x="384"/>
        <item x="318"/>
        <item x="607"/>
        <item x="1123"/>
        <item x="277"/>
        <item x="951"/>
        <item x="1060"/>
        <item x="1111"/>
        <item x="629"/>
        <item x="312"/>
        <item x="795"/>
        <item x="1159"/>
        <item x="1025"/>
        <item x="448"/>
        <item x="878"/>
        <item x="70"/>
        <item x="1063"/>
        <item x="555"/>
        <item x="274"/>
        <item x="869"/>
        <item x="967"/>
        <item x="59"/>
        <item x="1003"/>
        <item x="231"/>
        <item x="618"/>
        <item x="674"/>
        <item x="271"/>
        <item x="551"/>
        <item x="1070"/>
        <item x="488"/>
        <item x="408"/>
        <item x="796"/>
        <item x="675"/>
        <item x="13"/>
        <item x="564"/>
        <item x="620"/>
        <item x="1151"/>
        <item x="750"/>
        <item x="1041"/>
        <item x="62"/>
        <item x="285"/>
        <item x="729"/>
        <item x="634"/>
        <item x="302"/>
        <item x="128"/>
        <item x="1179"/>
        <item x="147"/>
        <item x="85"/>
        <item x="524"/>
        <item x="1071"/>
        <item x="223"/>
        <item x="18"/>
        <item x="763"/>
        <item x="876"/>
        <item x="331"/>
        <item x="20"/>
        <item x="52"/>
        <item x="1125"/>
        <item x="992"/>
        <item x="720"/>
        <item x="17"/>
        <item x="396"/>
        <item x="961"/>
        <item x="165"/>
        <item x="1057"/>
        <item x="663"/>
        <item x="1152"/>
        <item x="931"/>
        <item x="54"/>
        <item x="613"/>
        <item x="326"/>
        <item x="866"/>
        <item x="887"/>
        <item x="929"/>
        <item x="51"/>
        <item x="229"/>
        <item x="419"/>
        <item x="164"/>
        <item x="485"/>
        <item x="122"/>
        <item x="547"/>
        <item x="321"/>
        <item x="420"/>
        <item x="176"/>
        <item x="1167"/>
        <item x="764"/>
        <item x="692"/>
        <item x="703"/>
        <item x="853"/>
        <item x="521"/>
        <item x="1185"/>
        <item x="1160"/>
        <item x="252"/>
        <item x="27"/>
        <item x="397"/>
        <item x="679"/>
        <item x="351"/>
        <item x="850"/>
        <item x="269"/>
        <item x="576"/>
        <item x="154"/>
        <item x="439"/>
        <item x="862"/>
        <item x="948"/>
        <item x="592"/>
        <item x="423"/>
        <item x="1124"/>
        <item x="1092"/>
        <item x="702"/>
        <item x="954"/>
        <item x="412"/>
        <item x="493"/>
        <item x="1143"/>
        <item x="132"/>
        <item x="44"/>
        <item x="718"/>
        <item x="506"/>
        <item x="670"/>
        <item x="1051"/>
        <item x="186"/>
        <item x="169"/>
        <item x="579"/>
        <item x="137"/>
        <item x="898"/>
        <item x="597"/>
        <item x="507"/>
        <item x="510"/>
        <item x="601"/>
        <item x="694"/>
        <item x="1139"/>
        <item x="127"/>
        <item x="385"/>
        <item x="291"/>
        <item x="77"/>
        <item x="107"/>
        <item x="657"/>
        <item x="897"/>
        <item x="816"/>
        <item x="469"/>
        <item x="340"/>
        <item x="590"/>
        <item x="114"/>
        <item x="617"/>
        <item x="826"/>
        <item x="825"/>
        <item x="577"/>
        <item x="109"/>
        <item x="1116"/>
        <item x="370"/>
        <item x="1122"/>
        <item x="234"/>
        <item x="734"/>
        <item x="1173"/>
        <item x="1047"/>
        <item x="1186"/>
        <item x="917"/>
        <item x="29"/>
        <item x="514"/>
        <item x="47"/>
        <item x="80"/>
        <item x="308"/>
        <item x="403"/>
        <item x="847"/>
        <item x="956"/>
        <item x="167"/>
        <item x="548"/>
        <item x="864"/>
        <item x="920"/>
        <item x="837"/>
        <item x="1032"/>
        <item x="182"/>
        <item x="275"/>
        <item x="630"/>
        <item x="66"/>
        <item x="671"/>
        <item x="531"/>
        <item x="784"/>
        <item x="855"/>
        <item x="1073"/>
        <item x="102"/>
        <item x="747"/>
        <item x="37"/>
        <item x="665"/>
        <item x="121"/>
        <item x="224"/>
        <item x="157"/>
        <item x="644"/>
        <item x="535"/>
        <item x="247"/>
        <item x="960"/>
        <item x="219"/>
        <item x="42"/>
        <item x="730"/>
        <item x="292"/>
        <item x="394"/>
        <item x="1061"/>
        <item x="1034"/>
        <item x="56"/>
        <item x="390"/>
        <item x="172"/>
        <item x="458"/>
        <item x="452"/>
        <item x="870"/>
        <item x="748"/>
        <item x="328"/>
        <item x="863"/>
        <item x="882"/>
        <item x="3"/>
        <item x="428"/>
        <item x="1157"/>
        <item x="832"/>
        <item x="852"/>
        <item x="350"/>
        <item x="553"/>
        <item x="256"/>
        <item x="829"/>
        <item x="417"/>
        <item x="104"/>
        <item x="411"/>
        <item x="211"/>
        <item x="596"/>
        <item x="135"/>
        <item x="588"/>
        <item x="1046"/>
        <item x="26"/>
        <item x="395"/>
        <item x="113"/>
        <item x="508"/>
        <item x="1068"/>
        <item x="709"/>
        <item x="899"/>
        <item x="90"/>
        <item x="1138"/>
        <item x="175"/>
        <item x="759"/>
        <item x="345"/>
        <item x="133"/>
        <item x="1038"/>
        <item x="586"/>
        <item x="1098"/>
        <item x="270"/>
        <item x="865"/>
        <item x="185"/>
        <item x="1043"/>
        <item x="856"/>
        <item x="110"/>
        <item x="801"/>
        <item x="977"/>
        <item x="1020"/>
        <item x="202"/>
        <item x="1067"/>
        <item x="1121"/>
        <item x="365"/>
        <item x="950"/>
        <item x="160"/>
        <item x="1137"/>
        <item x="369"/>
        <item x="973"/>
        <item x="16"/>
        <item x="248"/>
        <item x="1021"/>
        <item x="999"/>
        <item x="916"/>
        <item x="1162"/>
        <item x="845"/>
        <item x="444"/>
        <item x="828"/>
        <item x="31"/>
        <item x="163"/>
        <item x="1156"/>
        <item x="975"/>
        <item x="55"/>
        <item x="860"/>
        <item x="880"/>
        <item x="678"/>
        <item x="305"/>
        <item x="811"/>
        <item x="315"/>
        <item x="654"/>
        <item x="421"/>
        <item x="75"/>
        <item x="884"/>
        <item x="637"/>
        <item x="611"/>
        <item x="323"/>
        <item x="103"/>
        <item x="142"/>
        <item x="71"/>
        <item x="402"/>
        <item x="435"/>
        <item x="453"/>
        <item x="985"/>
        <item x="955"/>
        <item x="295"/>
        <item x="783"/>
        <item x="952"/>
        <item x="273"/>
        <item x="487"/>
        <item x="129"/>
        <item x="1113"/>
        <item x="1170"/>
        <item x="1030"/>
        <item x="436"/>
        <item x="258"/>
        <item x="1155"/>
        <item x="595"/>
        <item x="949"/>
        <item x="120"/>
        <item x="1117"/>
        <item x="815"/>
        <item x="512"/>
        <item x="233"/>
        <item x="913"/>
        <item x="226"/>
        <item x="1084"/>
        <item x="871"/>
        <item x="745"/>
        <item x="793"/>
        <item x="98"/>
        <item x="1119"/>
        <item x="476"/>
        <item x="722"/>
        <item x="391"/>
        <item x="69"/>
        <item x="352"/>
        <item x="40"/>
        <item x="166"/>
        <item x="928"/>
        <item x="1164"/>
        <item x="704"/>
        <item x="8"/>
        <item x="857"/>
        <item x="183"/>
        <item x="881"/>
        <item x="515"/>
        <item x="529"/>
        <item x="712"/>
        <item x="1076"/>
        <item x="53"/>
        <item x="1053"/>
        <item x="426"/>
        <item x="676"/>
        <item x="171"/>
        <item x="560"/>
        <item x="168"/>
        <item x="477"/>
        <item x="197"/>
        <item x="851"/>
        <item x="568"/>
        <item x="11"/>
        <item x="581"/>
        <item x="550"/>
        <item x="268"/>
        <item x="578"/>
        <item x="225"/>
        <item x="926"/>
        <item x="431"/>
        <item x="762"/>
        <item x="49"/>
        <item x="126"/>
        <item x="400"/>
        <item x="646"/>
        <item x="1002"/>
        <item x="401"/>
        <item x="222"/>
        <item x="217"/>
        <item x="1050"/>
        <item x="612"/>
        <item x="155"/>
        <item x="198"/>
        <item x="932"/>
        <item x="84"/>
        <item x="1112"/>
        <item x="721"/>
        <item x="818"/>
        <item x="266"/>
        <item x="1148"/>
        <item x="877"/>
        <item x="742"/>
        <item x="846"/>
        <item x="63"/>
        <item x="848"/>
        <item x="1028"/>
        <item x="373"/>
        <item x="767"/>
        <item x="970"/>
        <item x="1052"/>
        <item x="361"/>
        <item x="773"/>
        <item x="1081"/>
        <item x="523"/>
        <item x="134"/>
        <item x="1104"/>
        <item x="984"/>
        <item x="781"/>
        <item x="755"/>
        <item x="89"/>
        <item x="708"/>
        <item x="1006"/>
        <item x="662"/>
        <item x="841"/>
        <item x="259"/>
        <item x="894"/>
        <item x="87"/>
        <item x="438"/>
        <item x="464"/>
        <item x="978"/>
        <item x="751"/>
        <item x="1109"/>
        <item x="1005"/>
        <item x="32"/>
        <item x="766"/>
        <item x="1000"/>
        <item x="282"/>
        <item x="317"/>
        <item x="682"/>
        <item x="520"/>
        <item x="640"/>
        <item x="649"/>
        <item x="341"/>
        <item x="158"/>
        <item x="180"/>
        <item x="1127"/>
        <item x="64"/>
        <item x="983"/>
        <item x="632"/>
        <item x="94"/>
        <item x="279"/>
        <item x="460"/>
        <item x="746"/>
        <item x="1004"/>
        <item x="4"/>
        <item x="817"/>
        <item x="125"/>
        <item x="741"/>
        <item x="651"/>
        <item x="88"/>
        <item x="628"/>
        <item x="145"/>
        <item x="499"/>
        <item x="286"/>
        <item x="996"/>
        <item x="534"/>
        <item x="907"/>
        <item x="542"/>
        <item x="782"/>
        <item x="831"/>
        <item x="253"/>
        <item x="379"/>
        <item x="34"/>
        <item x="1091"/>
        <item x="761"/>
        <item x="885"/>
        <item x="844"/>
        <item x="664"/>
        <item x="771"/>
        <item x="48"/>
        <item x="143"/>
        <item x="58"/>
        <item x="561"/>
        <item x="890"/>
        <item x="377"/>
        <item x="1128"/>
        <item x="1080"/>
        <item x="346"/>
        <item x="280"/>
        <item x="492"/>
        <item x="495"/>
        <item x="1055"/>
        <item x="33"/>
        <item x="1027"/>
        <item x="918"/>
        <item x="93"/>
        <item x="221"/>
        <item x="789"/>
        <item x="627"/>
        <item x="410"/>
        <item x="262"/>
        <item x="1079"/>
        <item x="868"/>
        <item x="181"/>
        <item x="888"/>
        <item x="330"/>
        <item x="1077"/>
        <item x="861"/>
        <item x="30"/>
        <item x="363"/>
        <item x="1054"/>
        <item x="392"/>
        <item x="267"/>
        <item x="194"/>
        <item x="738"/>
        <item x="621"/>
        <item x="827"/>
        <item x="667"/>
        <item x="922"/>
        <item x="57"/>
        <item x="623"/>
        <item x="532"/>
        <item t="default"/>
      </items>
    </pivotField>
    <pivotField showAll="0"/>
    <pivotField dragToRow="0" dragToCol="0" dragToPage="0" showAll="0" defaultSubtotal="0"/>
  </pivotFields>
  <rowFields count="1">
    <field x="18"/>
  </rowFields>
  <rowItems count="6">
    <i>
      <x/>
    </i>
    <i>
      <x v="1"/>
    </i>
    <i>
      <x v="2"/>
    </i>
    <i>
      <x v="3"/>
    </i>
    <i>
      <x v="4"/>
    </i>
    <i t="grand">
      <x/>
    </i>
  </rowItems>
  <colItems count="1">
    <i/>
  </colItems>
  <dataFields count="1">
    <dataField name="Average Income" fld="6"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7B9B21D7-2A91-4496-8A6A-29BD06230723}" sourceName="age">
  <pivotTables>
    <pivotTable tabId="2" name="average_income"/>
    <pivotTable tabId="2" name="average_DTI"/>
    <pivotTable tabId="2" name="average_expenses"/>
    <pivotTable tabId="2" name="average_saving_rate"/>
    <pivotTable tabId="2" name="average_savings"/>
    <pivotTable tabId="2" name="high_risk"/>
    <pivotTable tabId="2" name="total_records"/>
  </pivotTables>
  <data>
    <tabular pivotCacheId="875688344">
      <items count="52">
        <i x="49" s="1"/>
        <i x="25" s="1"/>
        <i x="44" s="1"/>
        <i x="36" s="1" nd="1"/>
        <i x="16" s="1" nd="1"/>
        <i x="15" s="1" nd="1"/>
        <i x="13" s="1" nd="1"/>
        <i x="12" s="1" nd="1"/>
        <i x="0" s="1" nd="1"/>
        <i x="22" s="1" nd="1"/>
        <i x="9" s="1" nd="1"/>
        <i x="43" s="1" nd="1"/>
        <i x="7" s="1" nd="1"/>
        <i x="50" s="1" nd="1"/>
        <i x="17" s="1" nd="1"/>
        <i x="32" s="1" nd="1"/>
        <i x="42" s="1" nd="1"/>
        <i x="41" s="1" nd="1"/>
        <i x="46" s="1" nd="1"/>
        <i x="31" s="1" nd="1"/>
        <i x="6" s="1" nd="1"/>
        <i x="34" s="1" nd="1"/>
        <i x="39" s="1" nd="1"/>
        <i x="5" s="1" nd="1"/>
        <i x="40" s="1" nd="1"/>
        <i x="2" s="1" nd="1"/>
        <i x="33" s="1" nd="1"/>
        <i x="11" s="1" nd="1"/>
        <i x="14" s="1" nd="1"/>
        <i x="3" s="1" nd="1"/>
        <i x="23" s="1" nd="1"/>
        <i x="28" s="1" nd="1"/>
        <i x="51" s="1" nd="1"/>
        <i x="10" s="1" nd="1"/>
        <i x="8" s="1" nd="1"/>
        <i x="27" s="1" nd="1"/>
        <i x="24" s="1" nd="1"/>
        <i x="45" s="1" nd="1"/>
        <i x="30" s="1" nd="1"/>
        <i x="4" s="1" nd="1"/>
        <i x="1" s="1" nd="1"/>
        <i x="18" s="1" nd="1"/>
        <i x="26" s="1" nd="1"/>
        <i x="48" s="1" nd="1"/>
        <i x="21" s="1" nd="1"/>
        <i x="20" s="1" nd="1"/>
        <i x="38" s="1" nd="1"/>
        <i x="35" s="1" nd="1"/>
        <i x="29" s="1" nd="1"/>
        <i x="37" s="1" nd="1"/>
        <i x="47" s="1" nd="1"/>
        <i x="1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8CE8632-9EED-4B36-A56F-824DCFC30B72}" sourceName="gender">
  <pivotTables>
    <pivotTable tabId="2" name="average_income"/>
    <pivotTable tabId="2" name="average_DTI"/>
    <pivotTable tabId="2" name="average_expenses"/>
    <pivotTable tabId="2" name="average_saving_rate"/>
    <pivotTable tabId="2" name="average_savings"/>
    <pivotTable tabId="2" name="high_risk"/>
    <pivotTable tabId="2" name="total_records"/>
  </pivotTables>
  <data>
    <tabular pivotCacheId="875688344">
      <items count="3">
        <i x="1" s="1"/>
        <i x="0"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21833064-5F3C-4930-86BE-DE00C5DE7BB5}" sourceName="education_level">
  <pivotTables>
    <pivotTable tabId="2" name="average_income"/>
    <pivotTable tabId="2" name="average_DTI"/>
    <pivotTable tabId="2" name="average_expenses"/>
    <pivotTable tabId="2" name="average_saving_rate"/>
    <pivotTable tabId="2" name="average_savings"/>
    <pivotTable tabId="2" name="high_risk"/>
    <pivotTable tabId="2" name="total_records"/>
  </pivotTables>
  <data>
    <tabular pivotCacheId="875688344">
      <items count="5">
        <i x="3" s="1"/>
        <i x="0" s="1" nd="1"/>
        <i x="2" s="1" nd="1"/>
        <i x="1" s="1" nd="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33718C7B-0CD3-424E-8996-9A4BC31A3409}" sourceName="employment_status">
  <pivotTables>
    <pivotTable tabId="2" name="average_income"/>
    <pivotTable tabId="2" name="average_DTI"/>
    <pivotTable tabId="2" name="average_expenses"/>
    <pivotTable tabId="2" name="average_saving_rate"/>
    <pivotTable tabId="2" name="average_savings"/>
    <pivotTable tabId="2" name="high_risk"/>
    <pivotTable tabId="2" name="total_records"/>
  </pivotTables>
  <data>
    <tabular pivotCacheId="875688344">
      <items count="4">
        <i x="1" s="1"/>
        <i x="3" s="1"/>
        <i x="2" s="1" nd="1"/>
        <i x="0"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8A7206F-75EA-4613-8AFC-E0276C4A2516}" sourceName="region">
  <pivotTables>
    <pivotTable tabId="2" name="average_income"/>
    <pivotTable tabId="2" name="average_DTI"/>
    <pivotTable tabId="2" name="average_expenses"/>
    <pivotTable tabId="2" name="average_saving_rate"/>
    <pivotTable tabId="2" name="average_savings"/>
    <pivotTable tabId="2" name="high_risk"/>
    <pivotTable tabId="2" name="total_records"/>
  </pivotTables>
  <data>
    <tabular pivotCacheId="875688344">
      <items count="5">
        <i x="0" s="1"/>
        <i x="2" s="1"/>
        <i x="3" s="1" nd="1"/>
        <i x="4" s="1" nd="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B53AB041-F3C2-4C23-AC76-57A6B36B2AF7}" cache="Slicer_age" caption="Age" lockedPosition="1" rowHeight="257175"/>
  <slicer name="gender" xr10:uid="{476F5A83-410A-4DB1-BC9B-F42BA04B7BB8}" cache="Slicer_gender" caption="Gender" lockedPosition="1" rowHeight="257175"/>
  <slicer name="education_level" xr10:uid="{0537ED1F-C9C9-40D4-AE4A-5538C2E2EBB9}" cache="Slicer_education_level" caption="Education" lockedPosition="1" rowHeight="257175"/>
  <slicer name="employment_status" xr10:uid="{32034B0C-0A2A-4951-A8A7-CB20C08CD58C}" cache="Slicer_employment_status" caption="Employment Status" lockedPosition="1" rowHeight="257175"/>
  <slicer name="region" xr10:uid="{EC79064C-5B74-4CC6-A800-60A939C27390}" cache="Slicer_region" caption="Region" lockedPosition="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797FC7-9D93-48F9-B2D6-C73D0275EC29}" name="ML_data" displayName="ML_data" ref="A1:U2495" totalsRowShown="0">
  <autoFilter ref="A1:U2495" xr:uid="{C4797FC7-9D93-48F9-B2D6-C73D0275EC29}"/>
  <tableColumns count="21">
    <tableColumn id="1" xr3:uid="{E3796457-D619-4ECF-BA82-2F3694A7171F}" name="user_id"/>
    <tableColumn id="2" xr3:uid="{06BF9DF8-DA14-46CA-AF42-D51CE2DD7189}" name="age"/>
    <tableColumn id="3" xr3:uid="{2D98D7BF-10D7-40ED-A458-088F8D5319FC}" name="gender"/>
    <tableColumn id="4" xr3:uid="{E2F38051-A1E3-4524-9A8C-666F6BF34350}" name="education_level"/>
    <tableColumn id="5" xr3:uid="{21E171FE-7696-46CD-8C12-1B497517F166}" name="employment_status"/>
    <tableColumn id="6" xr3:uid="{E1AE4977-D53B-4D1A-B331-FE31AD4DCD07}" name="job_title"/>
    <tableColumn id="7" xr3:uid="{00DF165A-E945-4103-8D1F-2F97D757609F}" name="monthly_income_usd"/>
    <tableColumn id="8" xr3:uid="{401E08C9-4575-4E9A-A7C0-10C2C416AF11}" name="monthly_expenses_usd"/>
    <tableColumn id="9" xr3:uid="{36B9C743-33DF-4741-89D8-104BF12CB5CA}" name="savings_usd"/>
    <tableColumn id="10" xr3:uid="{F23987F1-B532-4E16-90C1-7D0CFF572142}" name="has_loan"/>
    <tableColumn id="11" xr3:uid="{EFECCED9-2AD2-4EDF-B92A-D7781F81E8DA}" name="loan_type"/>
    <tableColumn id="12" xr3:uid="{003CBDFC-51F2-469E-B8E3-2C53F0D38921}" name="loan_amount_usd"/>
    <tableColumn id="13" xr3:uid="{1618D428-C460-4F8C-9C80-41DFB0C80221}" name="loan_term_months"/>
    <tableColumn id="14" xr3:uid="{9D918BDB-10AF-4783-B00F-AF2B6C48E6BF}" name="monthly_emi_usd"/>
    <tableColumn id="15" xr3:uid="{CC7BA132-03D9-4ADF-9D6F-A1EDCA0C1750}" name="loan_interest_rate_pct"/>
    <tableColumn id="16" xr3:uid="{9E50795D-01FE-4B45-B536-6BB3D19C9AE5}" name="debt_to_income_ratio"/>
    <tableColumn id="17" xr3:uid="{A0E7D944-3ACF-4A35-93E9-5C59E442FB14}" name="credit_score"/>
    <tableColumn id="18" xr3:uid="{603BFBA0-6BCA-41A9-BB14-9C315E66B05B}" name="savings_to_income_ratio"/>
    <tableColumn id="19" xr3:uid="{770723C2-3BCA-4553-B981-BD28B4B5B2C5}" name="region"/>
    <tableColumn id="20" xr3:uid="{66B5CF92-08E4-46CD-97BA-B4CBAE0C2AF8}" name="record_date" dataDxfId="29"/>
    <tableColumn id="21" xr3:uid="{9017AEF4-A212-49EB-890B-6AF665EA6F08}" name="high_risk" dataDxfId="28"/>
  </tableColumns>
  <tableStyleInfo name="TableStyleLight14"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1EDC72-F47D-4015-A984-DD33E96E18F4}" name="pie_chart" displayName="pie_chart" ref="A1:B4" totalsRowShown="0">
  <autoFilter ref="A1:B4" xr:uid="{681EDC72-F47D-4015-A984-DD33E96E18F4}"/>
  <tableColumns count="2">
    <tableColumn id="1" xr3:uid="{245F83F2-35C3-473C-AC11-28BCA50250FF}" name="Category" dataDxfId="27"/>
    <tableColumn id="2" xr3:uid="{739292E8-325B-4C64-AA2E-F2F527196C9F}" name="Amount" dataDxfId="26"/>
  </tableColumns>
  <tableStyleInfo name="TableStyleLight10"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cord_date" xr10:uid="{D99E245F-4A78-4FE0-9A73-30A1D2AF5CE1}" sourceName="record_date">
  <pivotTables>
    <pivotTable tabId="2" name="average_income"/>
    <pivotTable tabId="2" name="average_DTI"/>
    <pivotTable tabId="2" name="average_expenses"/>
    <pivotTable tabId="2" name="average_saving_rate"/>
    <pivotTable tabId="2" name="average_savings"/>
    <pivotTable tabId="2" name="high_risk"/>
    <pivotTable tabId="2" name="total_records"/>
  </pivotTables>
  <state minimalRefreshVersion="6" lastRefreshVersion="6" pivotCacheId="875688344" filterType="unknown">
    <bounds startDate="2021-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cord_date" xr10:uid="{AAE36C59-9CC2-4C7C-ADC0-B344EA83DDEA}" cache="NativeTimeline_record_date" caption="Years" level="0" selectionLevel="0" scrollPosition="2021-01-01T00:00:00"/>
  <timeline name="record_date 1" xr10:uid="{0B54CEC8-AE81-4817-822C-ABEAE38B5BA6}" cache="NativeTimeline_record_date" caption="Months" level="2" selectionLevel="2" scrollPosition="2025-05-03T00:00:00"/>
  <timeline name="record_date 2" xr10:uid="{D98025B6-A3E8-47BF-A0B2-BA73DC2FBFF6}" cache="NativeTimeline_record_date" caption="Days" level="3" selectionLevel="3" scrollPosition="2025-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E08F4-CA4D-4D0F-8C7C-CDA4F173985F}">
  <dimension ref="A1:U2495"/>
  <sheetViews>
    <sheetView topLeftCell="N2475" workbookViewId="0">
      <selection activeCell="T2" sqref="T2"/>
    </sheetView>
  </sheetViews>
  <sheetFormatPr defaultRowHeight="15" x14ac:dyDescent="0.25"/>
  <cols>
    <col min="1" max="1" width="9.7109375" customWidth="1"/>
    <col min="2" max="2" width="6.28515625" customWidth="1"/>
    <col min="3" max="3" width="9.42578125" customWidth="1"/>
    <col min="4" max="4" width="17.42578125" customWidth="1"/>
    <col min="5" max="5" width="21" customWidth="1"/>
    <col min="6" max="6" width="12" bestFit="1" customWidth="1"/>
    <col min="7" max="7" width="22.28515625" customWidth="1"/>
    <col min="8" max="8" width="24.28515625" customWidth="1"/>
    <col min="9" max="9" width="14" customWidth="1"/>
    <col min="10" max="10" width="11" customWidth="1"/>
    <col min="11" max="11" width="11.85546875" customWidth="1"/>
    <col min="12" max="12" width="18.85546875" customWidth="1"/>
    <col min="13" max="13" width="19.85546875" customWidth="1"/>
    <col min="14" max="14" width="19" customWidth="1"/>
    <col min="15" max="15" width="23.140625" customWidth="1"/>
    <col min="16" max="16" width="23" bestFit="1" customWidth="1"/>
    <col min="17" max="17" width="14.28515625" customWidth="1"/>
    <col min="18" max="18" width="25.140625" customWidth="1"/>
    <col min="19" max="19" width="13.85546875" bestFit="1" customWidth="1"/>
    <col min="20" max="20" width="13.85546875" style="1" customWidth="1"/>
    <col min="21" max="21" width="11.2851562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1" t="s">
        <v>19</v>
      </c>
      <c r="U1" t="s">
        <v>2558</v>
      </c>
    </row>
    <row r="2" spans="1:21" x14ac:dyDescent="0.25">
      <c r="A2" t="s">
        <v>20</v>
      </c>
      <c r="B2">
        <v>23</v>
      </c>
      <c r="C2" t="s">
        <v>21</v>
      </c>
      <c r="D2" t="s">
        <v>22</v>
      </c>
      <c r="E2" t="s">
        <v>23</v>
      </c>
      <c r="F2" t="s">
        <v>24</v>
      </c>
      <c r="G2">
        <v>8237.77</v>
      </c>
      <c r="H2">
        <v>7316.78</v>
      </c>
      <c r="I2">
        <v>83622.720000000001</v>
      </c>
      <c r="J2" t="s">
        <v>25</v>
      </c>
      <c r="K2" t="s">
        <v>26</v>
      </c>
      <c r="L2">
        <v>425717.2</v>
      </c>
      <c r="M2">
        <v>36</v>
      </c>
      <c r="N2">
        <v>13258.1</v>
      </c>
      <c r="O2">
        <v>7.58</v>
      </c>
      <c r="P2">
        <v>1.61</v>
      </c>
      <c r="Q2">
        <v>622</v>
      </c>
      <c r="R2">
        <v>0.85</v>
      </c>
      <c r="S2" t="s">
        <v>27</v>
      </c>
      <c r="T2" s="1">
        <v>45009</v>
      </c>
      <c r="U2">
        <v>1</v>
      </c>
    </row>
    <row r="3" spans="1:21" x14ac:dyDescent="0.25">
      <c r="A3" t="s">
        <v>28</v>
      </c>
      <c r="B3">
        <v>57</v>
      </c>
      <c r="C3" t="s">
        <v>29</v>
      </c>
      <c r="D3" t="s">
        <v>30</v>
      </c>
      <c r="E3" t="s">
        <v>31</v>
      </c>
      <c r="F3" t="s">
        <v>32</v>
      </c>
      <c r="G3">
        <v>2676.43</v>
      </c>
      <c r="H3">
        <v>1507.85</v>
      </c>
      <c r="I3">
        <v>28157.7</v>
      </c>
      <c r="J3" t="s">
        <v>25</v>
      </c>
      <c r="K3" t="s">
        <v>33</v>
      </c>
      <c r="L3">
        <v>41355.61</v>
      </c>
      <c r="M3">
        <v>360</v>
      </c>
      <c r="N3">
        <v>745.27</v>
      </c>
      <c r="O3">
        <v>21.59</v>
      </c>
      <c r="P3">
        <v>0.28000000000000003</v>
      </c>
      <c r="Q3">
        <v>357</v>
      </c>
      <c r="R3">
        <v>0.88</v>
      </c>
      <c r="S3" t="s">
        <v>27</v>
      </c>
      <c r="T3" s="1">
        <v>44541</v>
      </c>
      <c r="U3">
        <v>0</v>
      </c>
    </row>
    <row r="4" spans="1:21" x14ac:dyDescent="0.25">
      <c r="A4" t="s">
        <v>34</v>
      </c>
      <c r="B4">
        <v>40</v>
      </c>
      <c r="C4" t="s">
        <v>29</v>
      </c>
      <c r="D4" t="s">
        <v>35</v>
      </c>
      <c r="E4" t="s">
        <v>23</v>
      </c>
      <c r="F4" t="s">
        <v>36</v>
      </c>
      <c r="G4">
        <v>5227.68</v>
      </c>
      <c r="H4">
        <v>1885.49</v>
      </c>
      <c r="I4">
        <v>58507.61</v>
      </c>
      <c r="J4" t="s">
        <v>37</v>
      </c>
      <c r="K4" t="s">
        <v>38</v>
      </c>
      <c r="L4">
        <v>0</v>
      </c>
      <c r="M4">
        <v>0</v>
      </c>
      <c r="N4">
        <v>0</v>
      </c>
      <c r="O4">
        <v>0</v>
      </c>
      <c r="P4">
        <v>0</v>
      </c>
      <c r="Q4">
        <v>469</v>
      </c>
      <c r="R4">
        <v>0.93</v>
      </c>
      <c r="S4" t="s">
        <v>39</v>
      </c>
      <c r="T4" s="1">
        <v>45115</v>
      </c>
      <c r="U4">
        <v>0</v>
      </c>
    </row>
    <row r="5" spans="1:21" x14ac:dyDescent="0.25">
      <c r="A5" t="s">
        <v>40</v>
      </c>
      <c r="B5">
        <v>44</v>
      </c>
      <c r="C5" t="s">
        <v>29</v>
      </c>
      <c r="D5" t="s">
        <v>41</v>
      </c>
      <c r="E5" t="s">
        <v>31</v>
      </c>
      <c r="F5" t="s">
        <v>42</v>
      </c>
      <c r="G5">
        <v>970.85</v>
      </c>
      <c r="H5">
        <v>368.84</v>
      </c>
      <c r="I5">
        <v>9953.74</v>
      </c>
      <c r="J5" t="s">
        <v>37</v>
      </c>
      <c r="K5" t="s">
        <v>38</v>
      </c>
      <c r="L5">
        <v>0</v>
      </c>
      <c r="M5">
        <v>0</v>
      </c>
      <c r="N5">
        <v>0</v>
      </c>
      <c r="O5">
        <v>0</v>
      </c>
      <c r="P5">
        <v>0</v>
      </c>
      <c r="Q5">
        <v>555</v>
      </c>
      <c r="R5">
        <v>0.85</v>
      </c>
      <c r="S5" t="s">
        <v>30</v>
      </c>
      <c r="T5" s="1">
        <v>45503</v>
      </c>
      <c r="U5">
        <v>0</v>
      </c>
    </row>
    <row r="6" spans="1:21" x14ac:dyDescent="0.25">
      <c r="A6" t="s">
        <v>43</v>
      </c>
      <c r="B6">
        <v>54</v>
      </c>
      <c r="C6" t="s">
        <v>21</v>
      </c>
      <c r="D6" t="s">
        <v>41</v>
      </c>
      <c r="E6" t="s">
        <v>31</v>
      </c>
      <c r="F6" t="s">
        <v>44</v>
      </c>
      <c r="G6">
        <v>3250.36</v>
      </c>
      <c r="H6">
        <v>1000.46</v>
      </c>
      <c r="I6">
        <v>36918.93</v>
      </c>
      <c r="J6" t="s">
        <v>25</v>
      </c>
      <c r="K6" t="s">
        <v>45</v>
      </c>
      <c r="L6">
        <v>62265.67</v>
      </c>
      <c r="M6">
        <v>36</v>
      </c>
      <c r="N6">
        <v>2274.23</v>
      </c>
      <c r="O6">
        <v>18.739999999999998</v>
      </c>
      <c r="P6">
        <v>0.7</v>
      </c>
      <c r="Q6">
        <v>381</v>
      </c>
      <c r="R6">
        <v>0.95</v>
      </c>
      <c r="S6" t="s">
        <v>27</v>
      </c>
      <c r="T6" s="1">
        <v>45776</v>
      </c>
      <c r="U6">
        <v>1</v>
      </c>
    </row>
    <row r="7" spans="1:21" x14ac:dyDescent="0.25">
      <c r="A7" t="s">
        <v>46</v>
      </c>
      <c r="B7">
        <v>40</v>
      </c>
      <c r="C7" t="s">
        <v>29</v>
      </c>
      <c r="D7" t="s">
        <v>35</v>
      </c>
      <c r="E7" t="s">
        <v>31</v>
      </c>
      <c r="F7" t="s">
        <v>42</v>
      </c>
      <c r="G7">
        <v>3163.71</v>
      </c>
      <c r="H7">
        <v>1894.6</v>
      </c>
      <c r="I7">
        <v>29044.240000000002</v>
      </c>
      <c r="J7" t="s">
        <v>37</v>
      </c>
      <c r="K7" t="s">
        <v>38</v>
      </c>
      <c r="L7">
        <v>0</v>
      </c>
      <c r="M7">
        <v>0</v>
      </c>
      <c r="N7">
        <v>0</v>
      </c>
      <c r="O7">
        <v>0</v>
      </c>
      <c r="P7">
        <v>0</v>
      </c>
      <c r="Q7">
        <v>677</v>
      </c>
      <c r="R7">
        <v>0.77</v>
      </c>
      <c r="S7" t="s">
        <v>47</v>
      </c>
      <c r="T7" s="1">
        <v>44508</v>
      </c>
      <c r="U7">
        <v>0</v>
      </c>
    </row>
    <row r="8" spans="1:21" x14ac:dyDescent="0.25">
      <c r="A8" t="s">
        <v>48</v>
      </c>
      <c r="B8">
        <v>38</v>
      </c>
      <c r="C8" t="s">
        <v>21</v>
      </c>
      <c r="D8" t="s">
        <v>41</v>
      </c>
      <c r="E8" t="s">
        <v>31</v>
      </c>
      <c r="F8" t="s">
        <v>49</v>
      </c>
      <c r="G8">
        <v>5688.88</v>
      </c>
      <c r="H8">
        <v>4225.8100000000004</v>
      </c>
      <c r="I8">
        <v>62785.22</v>
      </c>
      <c r="J8" t="s">
        <v>37</v>
      </c>
      <c r="K8" t="s">
        <v>38</v>
      </c>
      <c r="L8">
        <v>0</v>
      </c>
      <c r="M8">
        <v>0</v>
      </c>
      <c r="N8">
        <v>0</v>
      </c>
      <c r="O8">
        <v>0</v>
      </c>
      <c r="P8">
        <v>0</v>
      </c>
      <c r="Q8">
        <v>328</v>
      </c>
      <c r="R8">
        <v>0.92</v>
      </c>
      <c r="S8" t="s">
        <v>30</v>
      </c>
      <c r="T8" s="1">
        <v>45111</v>
      </c>
      <c r="U8">
        <v>0</v>
      </c>
    </row>
    <row r="9" spans="1:21" x14ac:dyDescent="0.25">
      <c r="A9" t="s">
        <v>50</v>
      </c>
      <c r="B9">
        <v>35</v>
      </c>
      <c r="C9" t="s">
        <v>21</v>
      </c>
      <c r="D9" t="s">
        <v>41</v>
      </c>
      <c r="E9" t="s">
        <v>51</v>
      </c>
      <c r="F9" t="s">
        <v>52</v>
      </c>
      <c r="G9">
        <v>3624.84</v>
      </c>
      <c r="H9">
        <v>3243.82</v>
      </c>
      <c r="I9">
        <v>30840.95</v>
      </c>
      <c r="J9" t="s">
        <v>37</v>
      </c>
      <c r="K9" t="s">
        <v>38</v>
      </c>
      <c r="L9">
        <v>0</v>
      </c>
      <c r="M9">
        <v>0</v>
      </c>
      <c r="N9">
        <v>0</v>
      </c>
      <c r="O9">
        <v>0</v>
      </c>
      <c r="P9">
        <v>0</v>
      </c>
      <c r="Q9">
        <v>617</v>
      </c>
      <c r="R9">
        <v>0.71</v>
      </c>
      <c r="S9" t="s">
        <v>30</v>
      </c>
      <c r="T9" s="1">
        <v>44853</v>
      </c>
      <c r="U9">
        <v>0</v>
      </c>
    </row>
    <row r="10" spans="1:21" x14ac:dyDescent="0.25">
      <c r="A10" t="s">
        <v>53</v>
      </c>
      <c r="B10">
        <v>27</v>
      </c>
      <c r="C10" t="s">
        <v>29</v>
      </c>
      <c r="D10" t="s">
        <v>41</v>
      </c>
      <c r="E10" t="s">
        <v>23</v>
      </c>
      <c r="F10" t="s">
        <v>44</v>
      </c>
      <c r="G10">
        <v>4836.51</v>
      </c>
      <c r="H10">
        <v>2923.58</v>
      </c>
      <c r="I10">
        <v>9472.99</v>
      </c>
      <c r="J10" t="s">
        <v>25</v>
      </c>
      <c r="K10" t="s">
        <v>54</v>
      </c>
      <c r="L10">
        <v>163890.35</v>
      </c>
      <c r="M10">
        <v>360</v>
      </c>
      <c r="N10">
        <v>2746.73</v>
      </c>
      <c r="O10">
        <v>20.059999999999999</v>
      </c>
      <c r="P10">
        <v>0.56999999999999995</v>
      </c>
      <c r="Q10">
        <v>522</v>
      </c>
      <c r="R10">
        <v>0.16</v>
      </c>
      <c r="S10" t="s">
        <v>27</v>
      </c>
      <c r="T10" s="1">
        <v>45644</v>
      </c>
      <c r="U10">
        <v>1</v>
      </c>
    </row>
    <row r="11" spans="1:21" x14ac:dyDescent="0.25">
      <c r="A11" t="s">
        <v>55</v>
      </c>
      <c r="B11">
        <v>49</v>
      </c>
      <c r="C11" t="s">
        <v>29</v>
      </c>
      <c r="D11" t="s">
        <v>56</v>
      </c>
      <c r="E11" t="s">
        <v>31</v>
      </c>
      <c r="F11" t="s">
        <v>49</v>
      </c>
      <c r="G11">
        <v>3532.02</v>
      </c>
      <c r="H11">
        <v>1182.3499999999999</v>
      </c>
      <c r="I11">
        <v>35580.5</v>
      </c>
      <c r="J11" t="s">
        <v>37</v>
      </c>
      <c r="K11" t="s">
        <v>38</v>
      </c>
      <c r="L11">
        <v>0</v>
      </c>
      <c r="M11">
        <v>0</v>
      </c>
      <c r="N11">
        <v>0</v>
      </c>
      <c r="O11">
        <v>0</v>
      </c>
      <c r="P11">
        <v>0</v>
      </c>
      <c r="Q11">
        <v>569</v>
      </c>
      <c r="R11">
        <v>0.84</v>
      </c>
      <c r="S11" t="s">
        <v>30</v>
      </c>
      <c r="T11" s="1">
        <v>44598</v>
      </c>
      <c r="U11">
        <v>0</v>
      </c>
    </row>
    <row r="12" spans="1:21" x14ac:dyDescent="0.25">
      <c r="A12" t="s">
        <v>57</v>
      </c>
      <c r="B12">
        <v>25</v>
      </c>
      <c r="C12" t="s">
        <v>29</v>
      </c>
      <c r="D12" t="s">
        <v>35</v>
      </c>
      <c r="E12" t="s">
        <v>31</v>
      </c>
      <c r="F12" t="s">
        <v>36</v>
      </c>
      <c r="G12">
        <v>500</v>
      </c>
      <c r="H12">
        <v>321.27</v>
      </c>
      <c r="I12">
        <v>1691.04</v>
      </c>
      <c r="J12" t="s">
        <v>37</v>
      </c>
      <c r="K12" t="s">
        <v>38</v>
      </c>
      <c r="L12">
        <v>0</v>
      </c>
      <c r="M12">
        <v>0</v>
      </c>
      <c r="N12">
        <v>0</v>
      </c>
      <c r="O12">
        <v>0</v>
      </c>
      <c r="P12">
        <v>0</v>
      </c>
      <c r="Q12">
        <v>391</v>
      </c>
      <c r="R12">
        <v>0.28000000000000003</v>
      </c>
      <c r="S12" t="s">
        <v>47</v>
      </c>
      <c r="T12" s="1">
        <v>44825</v>
      </c>
      <c r="U12">
        <v>0</v>
      </c>
    </row>
    <row r="13" spans="1:21" x14ac:dyDescent="0.25">
      <c r="A13" t="s">
        <v>58</v>
      </c>
      <c r="B13">
        <v>25</v>
      </c>
      <c r="C13" t="s">
        <v>29</v>
      </c>
      <c r="D13" t="s">
        <v>41</v>
      </c>
      <c r="E13" t="s">
        <v>31</v>
      </c>
      <c r="F13" t="s">
        <v>44</v>
      </c>
      <c r="G13">
        <v>5011.9799999999996</v>
      </c>
      <c r="H13">
        <v>2986.97</v>
      </c>
      <c r="I13">
        <v>54557.14</v>
      </c>
      <c r="J13" t="s">
        <v>37</v>
      </c>
      <c r="K13" t="s">
        <v>38</v>
      </c>
      <c r="L13">
        <v>0</v>
      </c>
      <c r="M13">
        <v>0</v>
      </c>
      <c r="N13">
        <v>0</v>
      </c>
      <c r="O13">
        <v>0</v>
      </c>
      <c r="P13">
        <v>0</v>
      </c>
      <c r="Q13">
        <v>744</v>
      </c>
      <c r="R13">
        <v>0.91</v>
      </c>
      <c r="S13" t="s">
        <v>30</v>
      </c>
      <c r="T13" s="1">
        <v>45667</v>
      </c>
      <c r="U13">
        <v>0</v>
      </c>
    </row>
    <row r="14" spans="1:21" x14ac:dyDescent="0.25">
      <c r="A14" t="s">
        <v>59</v>
      </c>
      <c r="B14">
        <v>48</v>
      </c>
      <c r="C14" t="s">
        <v>29</v>
      </c>
      <c r="D14" t="s">
        <v>41</v>
      </c>
      <c r="E14" t="s">
        <v>51</v>
      </c>
      <c r="F14" t="s">
        <v>44</v>
      </c>
      <c r="G14">
        <v>5014.03</v>
      </c>
      <c r="H14">
        <v>4510.8599999999997</v>
      </c>
      <c r="I14">
        <v>34735.15</v>
      </c>
      <c r="J14" t="s">
        <v>37</v>
      </c>
      <c r="K14" t="s">
        <v>38</v>
      </c>
      <c r="L14">
        <v>0</v>
      </c>
      <c r="M14">
        <v>0</v>
      </c>
      <c r="N14">
        <v>0</v>
      </c>
      <c r="O14">
        <v>0</v>
      </c>
      <c r="P14">
        <v>0</v>
      </c>
      <c r="Q14">
        <v>388</v>
      </c>
      <c r="R14">
        <v>0.57999999999999996</v>
      </c>
      <c r="S14" t="s">
        <v>30</v>
      </c>
      <c r="T14" s="1">
        <v>45010</v>
      </c>
      <c r="U14">
        <v>0</v>
      </c>
    </row>
    <row r="15" spans="1:21" x14ac:dyDescent="0.25">
      <c r="A15" t="s">
        <v>60</v>
      </c>
      <c r="B15">
        <v>42</v>
      </c>
      <c r="C15" t="s">
        <v>30</v>
      </c>
      <c r="D15" t="s">
        <v>22</v>
      </c>
      <c r="E15" t="s">
        <v>51</v>
      </c>
      <c r="F15" t="s">
        <v>32</v>
      </c>
      <c r="G15">
        <v>500</v>
      </c>
      <c r="H15">
        <v>367.36</v>
      </c>
      <c r="I15">
        <v>1539.77</v>
      </c>
      <c r="J15" t="s">
        <v>25</v>
      </c>
      <c r="K15" t="s">
        <v>54</v>
      </c>
      <c r="L15">
        <v>52950.720000000001</v>
      </c>
      <c r="M15">
        <v>180</v>
      </c>
      <c r="N15">
        <v>876.45</v>
      </c>
      <c r="O15">
        <v>18.62</v>
      </c>
      <c r="P15">
        <v>1.75</v>
      </c>
      <c r="Q15">
        <v>466</v>
      </c>
      <c r="R15">
        <v>0.26</v>
      </c>
      <c r="S15" t="s">
        <v>30</v>
      </c>
      <c r="T15" s="1">
        <v>45278</v>
      </c>
      <c r="U15">
        <v>1</v>
      </c>
    </row>
    <row r="16" spans="1:21" x14ac:dyDescent="0.25">
      <c r="A16" t="s">
        <v>61</v>
      </c>
      <c r="B16">
        <v>44</v>
      </c>
      <c r="C16" t="s">
        <v>21</v>
      </c>
      <c r="D16" t="s">
        <v>35</v>
      </c>
      <c r="E16" t="s">
        <v>31</v>
      </c>
      <c r="F16" t="s">
        <v>23</v>
      </c>
      <c r="G16">
        <v>4217.6899999999996</v>
      </c>
      <c r="H16">
        <v>1809.9</v>
      </c>
      <c r="I16">
        <v>11134.48</v>
      </c>
      <c r="J16" t="s">
        <v>25</v>
      </c>
      <c r="K16" t="s">
        <v>33</v>
      </c>
      <c r="L16">
        <v>100229.28</v>
      </c>
      <c r="M16">
        <v>120</v>
      </c>
      <c r="N16">
        <v>2561.89</v>
      </c>
      <c r="O16">
        <v>28.91</v>
      </c>
      <c r="P16">
        <v>0.61</v>
      </c>
      <c r="Q16">
        <v>463</v>
      </c>
      <c r="R16">
        <v>0.22</v>
      </c>
      <c r="S16" t="s">
        <v>39</v>
      </c>
      <c r="T16" s="1">
        <v>44746</v>
      </c>
      <c r="U16">
        <v>1</v>
      </c>
    </row>
    <row r="17" spans="1:21" x14ac:dyDescent="0.25">
      <c r="A17" t="s">
        <v>62</v>
      </c>
      <c r="B17">
        <v>22</v>
      </c>
      <c r="C17" t="s">
        <v>29</v>
      </c>
      <c r="D17" t="s">
        <v>41</v>
      </c>
      <c r="E17" t="s">
        <v>51</v>
      </c>
      <c r="F17" t="s">
        <v>63</v>
      </c>
      <c r="G17">
        <v>4473.92</v>
      </c>
      <c r="H17">
        <v>1535.68</v>
      </c>
      <c r="I17">
        <v>43241.78</v>
      </c>
      <c r="J17" t="s">
        <v>25</v>
      </c>
      <c r="K17" t="s">
        <v>33</v>
      </c>
      <c r="L17">
        <v>254781.07</v>
      </c>
      <c r="M17">
        <v>300</v>
      </c>
      <c r="N17">
        <v>2785.62</v>
      </c>
      <c r="O17">
        <v>12.54</v>
      </c>
      <c r="P17">
        <v>0.62</v>
      </c>
      <c r="Q17">
        <v>665</v>
      </c>
      <c r="R17">
        <v>0.81</v>
      </c>
      <c r="S17" t="s">
        <v>47</v>
      </c>
      <c r="T17" s="1">
        <v>45116</v>
      </c>
      <c r="U17">
        <v>1</v>
      </c>
    </row>
    <row r="18" spans="1:21" x14ac:dyDescent="0.25">
      <c r="A18" t="s">
        <v>64</v>
      </c>
      <c r="B18">
        <v>21</v>
      </c>
      <c r="C18" t="s">
        <v>29</v>
      </c>
      <c r="D18" t="s">
        <v>35</v>
      </c>
      <c r="E18" t="s">
        <v>31</v>
      </c>
      <c r="F18" t="s">
        <v>52</v>
      </c>
      <c r="G18">
        <v>5568.07</v>
      </c>
      <c r="H18">
        <v>3885.54</v>
      </c>
      <c r="I18">
        <v>7925.2</v>
      </c>
      <c r="J18" t="s">
        <v>25</v>
      </c>
      <c r="K18" t="s">
        <v>54</v>
      </c>
      <c r="L18">
        <v>310175.08</v>
      </c>
      <c r="M18">
        <v>60</v>
      </c>
      <c r="N18">
        <v>6274.4</v>
      </c>
      <c r="O18">
        <v>7.9</v>
      </c>
      <c r="P18">
        <v>1.1299999999999999</v>
      </c>
      <c r="Q18">
        <v>319</v>
      </c>
      <c r="R18">
        <v>0.12</v>
      </c>
      <c r="S18" t="s">
        <v>39</v>
      </c>
      <c r="T18" s="1">
        <v>45561</v>
      </c>
      <c r="U18">
        <v>1</v>
      </c>
    </row>
    <row r="19" spans="1:21" x14ac:dyDescent="0.25">
      <c r="A19" t="s">
        <v>65</v>
      </c>
      <c r="B19">
        <v>38</v>
      </c>
      <c r="C19" t="s">
        <v>29</v>
      </c>
      <c r="D19" t="s">
        <v>41</v>
      </c>
      <c r="E19" t="s">
        <v>23</v>
      </c>
      <c r="F19" t="s">
        <v>23</v>
      </c>
      <c r="G19">
        <v>4779.7700000000004</v>
      </c>
      <c r="H19">
        <v>1700.73</v>
      </c>
      <c r="I19">
        <v>22409.77</v>
      </c>
      <c r="J19" t="s">
        <v>37</v>
      </c>
      <c r="K19" t="s">
        <v>38</v>
      </c>
      <c r="L19">
        <v>0</v>
      </c>
      <c r="M19">
        <v>0</v>
      </c>
      <c r="N19">
        <v>0</v>
      </c>
      <c r="O19">
        <v>0</v>
      </c>
      <c r="P19">
        <v>0</v>
      </c>
      <c r="Q19">
        <v>681</v>
      </c>
      <c r="R19">
        <v>0.39</v>
      </c>
      <c r="S19" t="s">
        <v>30</v>
      </c>
      <c r="T19" s="1">
        <v>45310</v>
      </c>
      <c r="U19">
        <v>0</v>
      </c>
    </row>
    <row r="20" spans="1:21" x14ac:dyDescent="0.25">
      <c r="A20" t="s">
        <v>66</v>
      </c>
      <c r="B20">
        <v>21</v>
      </c>
      <c r="C20" t="s">
        <v>21</v>
      </c>
      <c r="D20" t="s">
        <v>35</v>
      </c>
      <c r="E20" t="s">
        <v>49</v>
      </c>
      <c r="F20" t="s">
        <v>49</v>
      </c>
      <c r="G20">
        <v>3791.1</v>
      </c>
      <c r="H20">
        <v>2944.73</v>
      </c>
      <c r="I20">
        <v>20164.21</v>
      </c>
      <c r="J20" t="s">
        <v>37</v>
      </c>
      <c r="K20" t="s">
        <v>38</v>
      </c>
      <c r="L20">
        <v>0</v>
      </c>
      <c r="M20">
        <v>0</v>
      </c>
      <c r="N20">
        <v>0</v>
      </c>
      <c r="O20">
        <v>0</v>
      </c>
      <c r="P20">
        <v>0</v>
      </c>
      <c r="Q20">
        <v>793</v>
      </c>
      <c r="R20">
        <v>0.44</v>
      </c>
      <c r="S20" t="s">
        <v>27</v>
      </c>
      <c r="T20" s="1">
        <v>45298</v>
      </c>
      <c r="U20">
        <v>0</v>
      </c>
    </row>
    <row r="21" spans="1:21" x14ac:dyDescent="0.25">
      <c r="A21" t="s">
        <v>67</v>
      </c>
      <c r="B21">
        <v>25</v>
      </c>
      <c r="C21" t="s">
        <v>21</v>
      </c>
      <c r="D21" t="s">
        <v>22</v>
      </c>
      <c r="E21" t="s">
        <v>31</v>
      </c>
      <c r="F21" t="s">
        <v>52</v>
      </c>
      <c r="G21">
        <v>1098.58</v>
      </c>
      <c r="H21">
        <v>591.12</v>
      </c>
      <c r="I21">
        <v>7111.4</v>
      </c>
      <c r="J21" t="s">
        <v>25</v>
      </c>
      <c r="K21" t="s">
        <v>26</v>
      </c>
      <c r="L21">
        <v>44459.29</v>
      </c>
      <c r="M21">
        <v>360</v>
      </c>
      <c r="N21">
        <v>930.11</v>
      </c>
      <c r="O21">
        <v>25.09</v>
      </c>
      <c r="P21">
        <v>0.85</v>
      </c>
      <c r="Q21">
        <v>482</v>
      </c>
      <c r="R21">
        <v>0.54</v>
      </c>
      <c r="S21" t="s">
        <v>39</v>
      </c>
      <c r="T21" s="1">
        <v>45101</v>
      </c>
      <c r="U21">
        <v>1</v>
      </c>
    </row>
    <row r="22" spans="1:21" x14ac:dyDescent="0.25">
      <c r="A22" t="s">
        <v>68</v>
      </c>
      <c r="B22">
        <v>43</v>
      </c>
      <c r="C22" t="s">
        <v>29</v>
      </c>
      <c r="D22" t="s">
        <v>41</v>
      </c>
      <c r="E22" t="s">
        <v>51</v>
      </c>
      <c r="F22" t="s">
        <v>24</v>
      </c>
      <c r="G22">
        <v>4876.95</v>
      </c>
      <c r="H22">
        <v>1830.47</v>
      </c>
      <c r="I22">
        <v>15671.51</v>
      </c>
      <c r="J22" t="s">
        <v>37</v>
      </c>
      <c r="K22" t="s">
        <v>38</v>
      </c>
      <c r="L22">
        <v>0</v>
      </c>
      <c r="M22">
        <v>0</v>
      </c>
      <c r="N22">
        <v>0</v>
      </c>
      <c r="O22">
        <v>0</v>
      </c>
      <c r="P22">
        <v>0</v>
      </c>
      <c r="Q22">
        <v>720</v>
      </c>
      <c r="R22">
        <v>0.27</v>
      </c>
      <c r="S22" t="s">
        <v>30</v>
      </c>
      <c r="T22" s="1">
        <v>45302</v>
      </c>
      <c r="U22">
        <v>0</v>
      </c>
    </row>
    <row r="23" spans="1:21" x14ac:dyDescent="0.25">
      <c r="A23" t="s">
        <v>69</v>
      </c>
      <c r="B23">
        <v>25</v>
      </c>
      <c r="C23" t="s">
        <v>29</v>
      </c>
      <c r="D23" t="s">
        <v>22</v>
      </c>
      <c r="E23" t="s">
        <v>31</v>
      </c>
      <c r="F23" t="s">
        <v>44</v>
      </c>
      <c r="G23">
        <v>4836.8</v>
      </c>
      <c r="H23">
        <v>4214.46</v>
      </c>
      <c r="I23">
        <v>30180.51</v>
      </c>
      <c r="J23" t="s">
        <v>25</v>
      </c>
      <c r="K23" t="s">
        <v>26</v>
      </c>
      <c r="L23">
        <v>474655.1</v>
      </c>
      <c r="M23">
        <v>360</v>
      </c>
      <c r="N23">
        <v>3003.27</v>
      </c>
      <c r="O23">
        <v>6.51</v>
      </c>
      <c r="P23">
        <v>0.62</v>
      </c>
      <c r="Q23">
        <v>401</v>
      </c>
      <c r="R23">
        <v>0.52</v>
      </c>
      <c r="S23" t="s">
        <v>39</v>
      </c>
      <c r="T23" s="1">
        <v>44551</v>
      </c>
      <c r="U23">
        <v>1</v>
      </c>
    </row>
    <row r="24" spans="1:21" x14ac:dyDescent="0.25">
      <c r="A24" t="s">
        <v>70</v>
      </c>
      <c r="B24">
        <v>20</v>
      </c>
      <c r="C24" t="s">
        <v>29</v>
      </c>
      <c r="D24" t="s">
        <v>41</v>
      </c>
      <c r="E24" t="s">
        <v>31</v>
      </c>
      <c r="F24" t="s">
        <v>42</v>
      </c>
      <c r="G24">
        <v>5557.87</v>
      </c>
      <c r="H24">
        <v>2949.08</v>
      </c>
      <c r="I24">
        <v>23304.02</v>
      </c>
      <c r="J24" t="s">
        <v>37</v>
      </c>
      <c r="K24" t="s">
        <v>38</v>
      </c>
      <c r="L24">
        <v>0</v>
      </c>
      <c r="M24">
        <v>0</v>
      </c>
      <c r="N24">
        <v>0</v>
      </c>
      <c r="O24">
        <v>0</v>
      </c>
      <c r="P24">
        <v>0</v>
      </c>
      <c r="Q24">
        <v>787</v>
      </c>
      <c r="R24">
        <v>0.35</v>
      </c>
      <c r="S24" t="s">
        <v>27</v>
      </c>
      <c r="T24" s="1">
        <v>44754</v>
      </c>
      <c r="U24">
        <v>0</v>
      </c>
    </row>
    <row r="25" spans="1:21" x14ac:dyDescent="0.25">
      <c r="A25" t="s">
        <v>71</v>
      </c>
      <c r="B25">
        <v>19</v>
      </c>
      <c r="C25" t="s">
        <v>29</v>
      </c>
      <c r="D25" t="s">
        <v>41</v>
      </c>
      <c r="E25" t="s">
        <v>51</v>
      </c>
      <c r="F25" t="s">
        <v>63</v>
      </c>
      <c r="G25">
        <v>7985.03</v>
      </c>
      <c r="H25">
        <v>6881.25</v>
      </c>
      <c r="I25">
        <v>70299.839999999997</v>
      </c>
      <c r="J25" t="s">
        <v>37</v>
      </c>
      <c r="K25" t="s">
        <v>38</v>
      </c>
      <c r="L25">
        <v>0</v>
      </c>
      <c r="M25">
        <v>0</v>
      </c>
      <c r="N25">
        <v>0</v>
      </c>
      <c r="O25">
        <v>0</v>
      </c>
      <c r="P25">
        <v>0</v>
      </c>
      <c r="Q25">
        <v>811</v>
      </c>
      <c r="R25">
        <v>0.73</v>
      </c>
      <c r="S25" t="s">
        <v>72</v>
      </c>
      <c r="T25" s="1">
        <v>44674</v>
      </c>
      <c r="U25">
        <v>0</v>
      </c>
    </row>
    <row r="26" spans="1:21" x14ac:dyDescent="0.25">
      <c r="A26" t="s">
        <v>73</v>
      </c>
      <c r="B26">
        <v>22</v>
      </c>
      <c r="C26" t="s">
        <v>21</v>
      </c>
      <c r="D26" t="s">
        <v>22</v>
      </c>
      <c r="E26" t="s">
        <v>31</v>
      </c>
      <c r="F26" t="s">
        <v>49</v>
      </c>
      <c r="G26">
        <v>4439.57</v>
      </c>
      <c r="H26">
        <v>1903.77</v>
      </c>
      <c r="I26">
        <v>40788.199999999997</v>
      </c>
      <c r="J26" t="s">
        <v>37</v>
      </c>
      <c r="K26" t="s">
        <v>38</v>
      </c>
      <c r="L26">
        <v>0</v>
      </c>
      <c r="M26">
        <v>0</v>
      </c>
      <c r="N26">
        <v>0</v>
      </c>
      <c r="O26">
        <v>0</v>
      </c>
      <c r="P26">
        <v>0</v>
      </c>
      <c r="Q26">
        <v>748</v>
      </c>
      <c r="R26">
        <v>0.77</v>
      </c>
      <c r="S26" t="s">
        <v>47</v>
      </c>
      <c r="T26" s="1">
        <v>45175</v>
      </c>
      <c r="U26">
        <v>0</v>
      </c>
    </row>
    <row r="27" spans="1:21" x14ac:dyDescent="0.25">
      <c r="A27" t="s">
        <v>74</v>
      </c>
      <c r="B27">
        <v>29</v>
      </c>
      <c r="C27" t="s">
        <v>29</v>
      </c>
      <c r="D27" t="s">
        <v>35</v>
      </c>
      <c r="E27" t="s">
        <v>31</v>
      </c>
      <c r="F27" t="s">
        <v>36</v>
      </c>
      <c r="G27">
        <v>5159.71</v>
      </c>
      <c r="H27">
        <v>2161.1799999999998</v>
      </c>
      <c r="I27">
        <v>46459.18</v>
      </c>
      <c r="J27" t="s">
        <v>37</v>
      </c>
      <c r="K27" t="s">
        <v>38</v>
      </c>
      <c r="L27">
        <v>0</v>
      </c>
      <c r="M27">
        <v>0</v>
      </c>
      <c r="N27">
        <v>0</v>
      </c>
      <c r="O27">
        <v>0</v>
      </c>
      <c r="P27">
        <v>0</v>
      </c>
      <c r="Q27">
        <v>368</v>
      </c>
      <c r="R27">
        <v>0.75</v>
      </c>
      <c r="S27" t="s">
        <v>47</v>
      </c>
      <c r="T27" s="1">
        <v>44600</v>
      </c>
      <c r="U27">
        <v>0</v>
      </c>
    </row>
    <row r="28" spans="1:21" x14ac:dyDescent="0.25">
      <c r="A28" t="s">
        <v>75</v>
      </c>
      <c r="B28">
        <v>58</v>
      </c>
      <c r="C28" t="s">
        <v>21</v>
      </c>
      <c r="D28" t="s">
        <v>22</v>
      </c>
      <c r="E28" t="s">
        <v>31</v>
      </c>
      <c r="F28" t="s">
        <v>36</v>
      </c>
      <c r="G28">
        <v>1650.32</v>
      </c>
      <c r="H28">
        <v>869.23</v>
      </c>
      <c r="I28">
        <v>14143.19</v>
      </c>
      <c r="J28" t="s">
        <v>25</v>
      </c>
      <c r="K28" t="s">
        <v>26</v>
      </c>
      <c r="L28">
        <v>83860.210000000006</v>
      </c>
      <c r="M28">
        <v>36</v>
      </c>
      <c r="N28">
        <v>3149.54</v>
      </c>
      <c r="O28">
        <v>20.77</v>
      </c>
      <c r="P28">
        <v>1.91</v>
      </c>
      <c r="Q28">
        <v>572</v>
      </c>
      <c r="R28">
        <v>0.71</v>
      </c>
      <c r="S28" t="s">
        <v>72</v>
      </c>
      <c r="T28" s="1">
        <v>45524</v>
      </c>
      <c r="U28">
        <v>1</v>
      </c>
    </row>
    <row r="29" spans="1:21" x14ac:dyDescent="0.25">
      <c r="A29" t="s">
        <v>76</v>
      </c>
      <c r="B29">
        <v>38</v>
      </c>
      <c r="C29" t="s">
        <v>21</v>
      </c>
      <c r="D29" t="s">
        <v>41</v>
      </c>
      <c r="E29" t="s">
        <v>31</v>
      </c>
      <c r="F29" t="s">
        <v>52</v>
      </c>
      <c r="G29">
        <v>7983.11</v>
      </c>
      <c r="H29">
        <v>4219.6400000000003</v>
      </c>
      <c r="I29">
        <v>61329.21</v>
      </c>
      <c r="J29" t="s">
        <v>37</v>
      </c>
      <c r="K29" t="s">
        <v>38</v>
      </c>
      <c r="L29">
        <v>0</v>
      </c>
      <c r="M29">
        <v>0</v>
      </c>
      <c r="N29">
        <v>0</v>
      </c>
      <c r="O29">
        <v>0</v>
      </c>
      <c r="P29">
        <v>0</v>
      </c>
      <c r="Q29">
        <v>721</v>
      </c>
      <c r="R29">
        <v>0.64</v>
      </c>
      <c r="S29" t="s">
        <v>30</v>
      </c>
      <c r="T29" s="1">
        <v>45353</v>
      </c>
      <c r="U29">
        <v>0</v>
      </c>
    </row>
    <row r="30" spans="1:21" x14ac:dyDescent="0.25">
      <c r="A30" t="s">
        <v>77</v>
      </c>
      <c r="B30">
        <v>38</v>
      </c>
      <c r="C30" t="s">
        <v>21</v>
      </c>
      <c r="D30" t="s">
        <v>30</v>
      </c>
      <c r="E30" t="s">
        <v>31</v>
      </c>
      <c r="F30" t="s">
        <v>32</v>
      </c>
      <c r="G30">
        <v>6205.86</v>
      </c>
      <c r="H30">
        <v>2550.0100000000002</v>
      </c>
      <c r="I30">
        <v>51377.99</v>
      </c>
      <c r="J30" t="s">
        <v>37</v>
      </c>
      <c r="K30" t="s">
        <v>38</v>
      </c>
      <c r="L30">
        <v>0</v>
      </c>
      <c r="M30">
        <v>0</v>
      </c>
      <c r="N30">
        <v>0</v>
      </c>
      <c r="O30">
        <v>0</v>
      </c>
      <c r="P30">
        <v>0</v>
      </c>
      <c r="Q30">
        <v>352</v>
      </c>
      <c r="R30">
        <v>0.69</v>
      </c>
      <c r="S30" t="s">
        <v>72</v>
      </c>
      <c r="T30" s="1">
        <v>45181</v>
      </c>
      <c r="U30">
        <v>0</v>
      </c>
    </row>
    <row r="31" spans="1:21" x14ac:dyDescent="0.25">
      <c r="A31" t="s">
        <v>78</v>
      </c>
      <c r="B31">
        <v>58</v>
      </c>
      <c r="C31" t="s">
        <v>29</v>
      </c>
      <c r="D31" t="s">
        <v>41</v>
      </c>
      <c r="E31" t="s">
        <v>31</v>
      </c>
      <c r="F31" t="s">
        <v>63</v>
      </c>
      <c r="G31">
        <v>7794.58</v>
      </c>
      <c r="H31">
        <v>3725.56</v>
      </c>
      <c r="I31">
        <v>80828.850000000006</v>
      </c>
      <c r="J31" t="s">
        <v>25</v>
      </c>
      <c r="K31" t="s">
        <v>33</v>
      </c>
      <c r="L31">
        <v>398445.71</v>
      </c>
      <c r="M31">
        <v>360</v>
      </c>
      <c r="N31">
        <v>2780.54</v>
      </c>
      <c r="O31">
        <v>7.48</v>
      </c>
      <c r="P31">
        <v>0.36</v>
      </c>
      <c r="Q31">
        <v>470</v>
      </c>
      <c r="R31">
        <v>0.86</v>
      </c>
      <c r="S31" t="s">
        <v>30</v>
      </c>
      <c r="T31" s="1">
        <v>45432</v>
      </c>
      <c r="U31">
        <v>0</v>
      </c>
    </row>
    <row r="32" spans="1:21" x14ac:dyDescent="0.25">
      <c r="A32" t="s">
        <v>79</v>
      </c>
      <c r="B32">
        <v>35</v>
      </c>
      <c r="C32" t="s">
        <v>29</v>
      </c>
      <c r="D32" t="s">
        <v>41</v>
      </c>
      <c r="E32" t="s">
        <v>51</v>
      </c>
      <c r="F32" t="s">
        <v>24</v>
      </c>
      <c r="G32">
        <v>4869.54</v>
      </c>
      <c r="H32">
        <v>3992.31</v>
      </c>
      <c r="I32">
        <v>40332.15</v>
      </c>
      <c r="J32" t="s">
        <v>37</v>
      </c>
      <c r="K32" t="s">
        <v>38</v>
      </c>
      <c r="L32">
        <v>0</v>
      </c>
      <c r="M32">
        <v>0</v>
      </c>
      <c r="N32">
        <v>0</v>
      </c>
      <c r="O32">
        <v>0</v>
      </c>
      <c r="P32">
        <v>0</v>
      </c>
      <c r="Q32">
        <v>426</v>
      </c>
      <c r="R32">
        <v>0.69</v>
      </c>
      <c r="S32" t="s">
        <v>72</v>
      </c>
      <c r="T32" s="1">
        <v>45111</v>
      </c>
      <c r="U32">
        <v>0</v>
      </c>
    </row>
    <row r="33" spans="1:21" x14ac:dyDescent="0.25">
      <c r="A33" t="s">
        <v>80</v>
      </c>
      <c r="B33">
        <v>69</v>
      </c>
      <c r="C33" t="s">
        <v>29</v>
      </c>
      <c r="D33" t="s">
        <v>35</v>
      </c>
      <c r="E33" t="s">
        <v>49</v>
      </c>
      <c r="F33" t="s">
        <v>44</v>
      </c>
      <c r="G33">
        <v>2163.75</v>
      </c>
      <c r="H33">
        <v>1708.6</v>
      </c>
      <c r="I33">
        <v>7466.48</v>
      </c>
      <c r="J33" t="s">
        <v>37</v>
      </c>
      <c r="K33" t="s">
        <v>38</v>
      </c>
      <c r="L33">
        <v>0</v>
      </c>
      <c r="M33">
        <v>0</v>
      </c>
      <c r="N33">
        <v>0</v>
      </c>
      <c r="O33">
        <v>0</v>
      </c>
      <c r="P33">
        <v>0</v>
      </c>
      <c r="Q33">
        <v>488</v>
      </c>
      <c r="R33">
        <v>0.28999999999999998</v>
      </c>
      <c r="S33" t="s">
        <v>39</v>
      </c>
      <c r="T33" s="1">
        <v>45843</v>
      </c>
      <c r="U33">
        <v>0</v>
      </c>
    </row>
    <row r="34" spans="1:21" x14ac:dyDescent="0.25">
      <c r="A34" t="s">
        <v>81</v>
      </c>
      <c r="B34">
        <v>25</v>
      </c>
      <c r="C34" t="s">
        <v>29</v>
      </c>
      <c r="D34" t="s">
        <v>41</v>
      </c>
      <c r="E34" t="s">
        <v>31</v>
      </c>
      <c r="F34" t="s">
        <v>52</v>
      </c>
      <c r="G34">
        <v>500</v>
      </c>
      <c r="H34">
        <v>423.52</v>
      </c>
      <c r="I34">
        <v>2993.16</v>
      </c>
      <c r="J34" t="s">
        <v>37</v>
      </c>
      <c r="K34" t="s">
        <v>38</v>
      </c>
      <c r="L34">
        <v>0</v>
      </c>
      <c r="M34">
        <v>0</v>
      </c>
      <c r="N34">
        <v>0</v>
      </c>
      <c r="O34">
        <v>0</v>
      </c>
      <c r="P34">
        <v>0</v>
      </c>
      <c r="Q34">
        <v>786</v>
      </c>
      <c r="R34">
        <v>0.5</v>
      </c>
      <c r="S34" t="s">
        <v>30</v>
      </c>
      <c r="T34" s="1">
        <v>45572</v>
      </c>
      <c r="U34">
        <v>0</v>
      </c>
    </row>
    <row r="35" spans="1:21" x14ac:dyDescent="0.25">
      <c r="A35" t="s">
        <v>82</v>
      </c>
      <c r="B35">
        <v>62</v>
      </c>
      <c r="C35" t="s">
        <v>29</v>
      </c>
      <c r="D35" t="s">
        <v>35</v>
      </c>
      <c r="E35" t="s">
        <v>31</v>
      </c>
      <c r="F35" t="s">
        <v>44</v>
      </c>
      <c r="G35">
        <v>4417.01</v>
      </c>
      <c r="H35">
        <v>1629.63</v>
      </c>
      <c r="I35">
        <v>7313.92</v>
      </c>
      <c r="J35" t="s">
        <v>37</v>
      </c>
      <c r="K35" t="s">
        <v>38</v>
      </c>
      <c r="L35">
        <v>0</v>
      </c>
      <c r="M35">
        <v>0</v>
      </c>
      <c r="N35">
        <v>0</v>
      </c>
      <c r="O35">
        <v>0</v>
      </c>
      <c r="P35">
        <v>0</v>
      </c>
      <c r="Q35">
        <v>675</v>
      </c>
      <c r="R35">
        <v>0.14000000000000001</v>
      </c>
      <c r="S35" t="s">
        <v>72</v>
      </c>
      <c r="T35" s="1">
        <v>45745</v>
      </c>
      <c r="U35">
        <v>0</v>
      </c>
    </row>
    <row r="36" spans="1:21" x14ac:dyDescent="0.25">
      <c r="A36" t="s">
        <v>83</v>
      </c>
      <c r="B36">
        <v>61</v>
      </c>
      <c r="C36" t="s">
        <v>21</v>
      </c>
      <c r="D36" t="s">
        <v>41</v>
      </c>
      <c r="E36" t="s">
        <v>31</v>
      </c>
      <c r="F36" t="s">
        <v>52</v>
      </c>
      <c r="G36">
        <v>3680.77</v>
      </c>
      <c r="H36">
        <v>3031.39</v>
      </c>
      <c r="I36">
        <v>42507.68</v>
      </c>
      <c r="J36" t="s">
        <v>37</v>
      </c>
      <c r="K36" t="s">
        <v>38</v>
      </c>
      <c r="L36">
        <v>0</v>
      </c>
      <c r="M36">
        <v>0</v>
      </c>
      <c r="N36">
        <v>0</v>
      </c>
      <c r="O36">
        <v>0</v>
      </c>
      <c r="P36">
        <v>0</v>
      </c>
      <c r="Q36">
        <v>453</v>
      </c>
      <c r="R36">
        <v>0.96</v>
      </c>
      <c r="S36" t="s">
        <v>27</v>
      </c>
      <c r="T36" s="1">
        <v>45823</v>
      </c>
      <c r="U36">
        <v>0</v>
      </c>
    </row>
    <row r="37" spans="1:21" x14ac:dyDescent="0.25">
      <c r="A37" t="s">
        <v>84</v>
      </c>
      <c r="B37">
        <v>24</v>
      </c>
      <c r="C37" t="s">
        <v>21</v>
      </c>
      <c r="D37" t="s">
        <v>41</v>
      </c>
      <c r="E37" t="s">
        <v>31</v>
      </c>
      <c r="F37" t="s">
        <v>49</v>
      </c>
      <c r="G37">
        <v>5649.33</v>
      </c>
      <c r="H37">
        <v>3033.87</v>
      </c>
      <c r="I37">
        <v>41184.17</v>
      </c>
      <c r="J37" t="s">
        <v>37</v>
      </c>
      <c r="K37" t="s">
        <v>38</v>
      </c>
      <c r="L37">
        <v>0</v>
      </c>
      <c r="M37">
        <v>0</v>
      </c>
      <c r="N37">
        <v>0</v>
      </c>
      <c r="O37">
        <v>0</v>
      </c>
      <c r="P37">
        <v>0</v>
      </c>
      <c r="Q37">
        <v>763</v>
      </c>
      <c r="R37">
        <v>0.61</v>
      </c>
      <c r="S37" t="s">
        <v>27</v>
      </c>
      <c r="T37" s="1">
        <v>45799</v>
      </c>
      <c r="U37">
        <v>0</v>
      </c>
    </row>
    <row r="38" spans="1:21" x14ac:dyDescent="0.25">
      <c r="A38" t="s">
        <v>85</v>
      </c>
      <c r="B38">
        <v>45</v>
      </c>
      <c r="C38" t="s">
        <v>21</v>
      </c>
      <c r="D38" t="s">
        <v>35</v>
      </c>
      <c r="E38" t="s">
        <v>31</v>
      </c>
      <c r="F38" t="s">
        <v>36</v>
      </c>
      <c r="G38">
        <v>4338</v>
      </c>
      <c r="H38">
        <v>3302.3</v>
      </c>
      <c r="I38">
        <v>37130.01</v>
      </c>
      <c r="J38" t="s">
        <v>37</v>
      </c>
      <c r="K38" t="s">
        <v>38</v>
      </c>
      <c r="L38">
        <v>0</v>
      </c>
      <c r="M38">
        <v>0</v>
      </c>
      <c r="N38">
        <v>0</v>
      </c>
      <c r="O38">
        <v>0</v>
      </c>
      <c r="P38">
        <v>0</v>
      </c>
      <c r="Q38">
        <v>356</v>
      </c>
      <c r="R38">
        <v>0.71</v>
      </c>
      <c r="S38" t="s">
        <v>47</v>
      </c>
      <c r="T38" s="1">
        <v>44524</v>
      </c>
      <c r="U38">
        <v>0</v>
      </c>
    </row>
    <row r="39" spans="1:21" x14ac:dyDescent="0.25">
      <c r="A39" t="s">
        <v>86</v>
      </c>
      <c r="B39">
        <v>19</v>
      </c>
      <c r="C39" t="s">
        <v>21</v>
      </c>
      <c r="D39" t="s">
        <v>30</v>
      </c>
      <c r="E39" t="s">
        <v>31</v>
      </c>
      <c r="F39" t="s">
        <v>49</v>
      </c>
      <c r="G39">
        <v>3602.63</v>
      </c>
      <c r="H39">
        <v>2582.91</v>
      </c>
      <c r="I39">
        <v>8838.9599999999991</v>
      </c>
      <c r="J39" t="s">
        <v>25</v>
      </c>
      <c r="K39" t="s">
        <v>54</v>
      </c>
      <c r="L39">
        <v>288256.96000000002</v>
      </c>
      <c r="M39">
        <v>240</v>
      </c>
      <c r="N39">
        <v>4606.82</v>
      </c>
      <c r="O39">
        <v>18.71</v>
      </c>
      <c r="P39">
        <v>1.28</v>
      </c>
      <c r="Q39">
        <v>487</v>
      </c>
      <c r="R39">
        <v>0.2</v>
      </c>
      <c r="S39" t="s">
        <v>39</v>
      </c>
      <c r="T39" s="1">
        <v>45167</v>
      </c>
      <c r="U39">
        <v>1</v>
      </c>
    </row>
    <row r="40" spans="1:21" x14ac:dyDescent="0.25">
      <c r="A40" t="s">
        <v>87</v>
      </c>
      <c r="B40">
        <v>38</v>
      </c>
      <c r="C40" t="s">
        <v>21</v>
      </c>
      <c r="D40" t="s">
        <v>22</v>
      </c>
      <c r="E40" t="s">
        <v>23</v>
      </c>
      <c r="F40" t="s">
        <v>63</v>
      </c>
      <c r="G40">
        <v>4796.8900000000003</v>
      </c>
      <c r="H40">
        <v>2354.04</v>
      </c>
      <c r="I40">
        <v>10758.14</v>
      </c>
      <c r="J40" t="s">
        <v>25</v>
      </c>
      <c r="K40" t="s">
        <v>26</v>
      </c>
      <c r="L40">
        <v>442734.2</v>
      </c>
      <c r="M40">
        <v>360</v>
      </c>
      <c r="N40">
        <v>6506.34</v>
      </c>
      <c r="O40">
        <v>17.54</v>
      </c>
      <c r="P40">
        <v>1.36</v>
      </c>
      <c r="Q40">
        <v>583</v>
      </c>
      <c r="R40">
        <v>0.19</v>
      </c>
      <c r="S40" t="s">
        <v>72</v>
      </c>
      <c r="T40" s="1">
        <v>45466</v>
      </c>
      <c r="U40">
        <v>1</v>
      </c>
    </row>
    <row r="41" spans="1:21" x14ac:dyDescent="0.25">
      <c r="A41" t="s">
        <v>88</v>
      </c>
      <c r="B41">
        <v>38</v>
      </c>
      <c r="C41" t="s">
        <v>21</v>
      </c>
      <c r="D41" t="s">
        <v>41</v>
      </c>
      <c r="E41" t="s">
        <v>51</v>
      </c>
      <c r="F41" t="s">
        <v>49</v>
      </c>
      <c r="G41">
        <v>5209.18</v>
      </c>
      <c r="H41">
        <v>1762.48</v>
      </c>
      <c r="I41">
        <v>52253.03</v>
      </c>
      <c r="J41" t="s">
        <v>25</v>
      </c>
      <c r="K41" t="s">
        <v>54</v>
      </c>
      <c r="L41">
        <v>152306.67000000001</v>
      </c>
      <c r="M41">
        <v>240</v>
      </c>
      <c r="N41">
        <v>2858.79</v>
      </c>
      <c r="O41">
        <v>22.25</v>
      </c>
      <c r="P41">
        <v>0.55000000000000004</v>
      </c>
      <c r="Q41">
        <v>497</v>
      </c>
      <c r="R41">
        <v>0.84</v>
      </c>
      <c r="S41" t="s">
        <v>72</v>
      </c>
      <c r="T41" s="1">
        <v>45205</v>
      </c>
      <c r="U41">
        <v>1</v>
      </c>
    </row>
    <row r="42" spans="1:21" x14ac:dyDescent="0.25">
      <c r="A42" t="s">
        <v>89</v>
      </c>
      <c r="B42">
        <v>58</v>
      </c>
      <c r="C42" t="s">
        <v>21</v>
      </c>
      <c r="D42" t="s">
        <v>22</v>
      </c>
      <c r="E42" t="s">
        <v>51</v>
      </c>
      <c r="F42" t="s">
        <v>52</v>
      </c>
      <c r="G42">
        <v>2999.9</v>
      </c>
      <c r="H42">
        <v>2015.48</v>
      </c>
      <c r="I42">
        <v>31188.44</v>
      </c>
      <c r="J42" t="s">
        <v>37</v>
      </c>
      <c r="K42" t="s">
        <v>38</v>
      </c>
      <c r="L42">
        <v>0</v>
      </c>
      <c r="M42">
        <v>0</v>
      </c>
      <c r="N42">
        <v>0</v>
      </c>
      <c r="O42">
        <v>0</v>
      </c>
      <c r="P42">
        <v>0</v>
      </c>
      <c r="Q42">
        <v>424</v>
      </c>
      <c r="R42">
        <v>0.87</v>
      </c>
      <c r="S42" t="s">
        <v>72</v>
      </c>
      <c r="T42" s="1">
        <v>44406</v>
      </c>
      <c r="U42">
        <v>0</v>
      </c>
    </row>
    <row r="43" spans="1:21" x14ac:dyDescent="0.25">
      <c r="A43" t="s">
        <v>90</v>
      </c>
      <c r="B43">
        <v>40</v>
      </c>
      <c r="C43" t="s">
        <v>21</v>
      </c>
      <c r="D43" t="s">
        <v>22</v>
      </c>
      <c r="E43" t="s">
        <v>31</v>
      </c>
      <c r="F43" t="s">
        <v>44</v>
      </c>
      <c r="G43">
        <v>2395.15</v>
      </c>
      <c r="H43">
        <v>1412.85</v>
      </c>
      <c r="I43">
        <v>20852.54</v>
      </c>
      <c r="J43" t="s">
        <v>37</v>
      </c>
      <c r="K43" t="s">
        <v>38</v>
      </c>
      <c r="L43">
        <v>0</v>
      </c>
      <c r="M43">
        <v>0</v>
      </c>
      <c r="N43">
        <v>0</v>
      </c>
      <c r="O43">
        <v>0</v>
      </c>
      <c r="P43">
        <v>0</v>
      </c>
      <c r="Q43">
        <v>682</v>
      </c>
      <c r="R43">
        <v>0.73</v>
      </c>
      <c r="S43" t="s">
        <v>39</v>
      </c>
      <c r="T43" s="1">
        <v>45638</v>
      </c>
      <c r="U43">
        <v>0</v>
      </c>
    </row>
    <row r="44" spans="1:21" x14ac:dyDescent="0.25">
      <c r="A44" t="s">
        <v>91</v>
      </c>
      <c r="B44">
        <v>51</v>
      </c>
      <c r="C44" t="s">
        <v>29</v>
      </c>
      <c r="D44" t="s">
        <v>22</v>
      </c>
      <c r="E44" t="s">
        <v>31</v>
      </c>
      <c r="F44" t="s">
        <v>23</v>
      </c>
      <c r="G44">
        <v>1880.99</v>
      </c>
      <c r="H44">
        <v>902.73</v>
      </c>
      <c r="I44">
        <v>9944.98</v>
      </c>
      <c r="J44" t="s">
        <v>37</v>
      </c>
      <c r="K44" t="s">
        <v>38</v>
      </c>
      <c r="L44">
        <v>0</v>
      </c>
      <c r="M44">
        <v>0</v>
      </c>
      <c r="N44">
        <v>0</v>
      </c>
      <c r="O44">
        <v>0</v>
      </c>
      <c r="P44">
        <v>0</v>
      </c>
      <c r="Q44">
        <v>707</v>
      </c>
      <c r="R44">
        <v>0.44</v>
      </c>
      <c r="S44" t="s">
        <v>30</v>
      </c>
      <c r="T44" s="1">
        <v>45218</v>
      </c>
      <c r="U44">
        <v>0</v>
      </c>
    </row>
    <row r="45" spans="1:21" x14ac:dyDescent="0.25">
      <c r="A45" t="s">
        <v>92</v>
      </c>
      <c r="B45">
        <v>56</v>
      </c>
      <c r="C45" t="s">
        <v>29</v>
      </c>
      <c r="D45" t="s">
        <v>35</v>
      </c>
      <c r="E45" t="s">
        <v>49</v>
      </c>
      <c r="F45" t="s">
        <v>23</v>
      </c>
      <c r="G45">
        <v>1359.62</v>
      </c>
      <c r="H45">
        <v>654.57000000000005</v>
      </c>
      <c r="I45">
        <v>9837.32</v>
      </c>
      <c r="J45" t="s">
        <v>37</v>
      </c>
      <c r="K45" t="s">
        <v>38</v>
      </c>
      <c r="L45">
        <v>0</v>
      </c>
      <c r="M45">
        <v>0</v>
      </c>
      <c r="N45">
        <v>0</v>
      </c>
      <c r="O45">
        <v>0</v>
      </c>
      <c r="P45">
        <v>0</v>
      </c>
      <c r="Q45">
        <v>525</v>
      </c>
      <c r="R45">
        <v>0.6</v>
      </c>
      <c r="S45" t="s">
        <v>72</v>
      </c>
      <c r="T45" s="1">
        <v>45480</v>
      </c>
      <c r="U45">
        <v>0</v>
      </c>
    </row>
    <row r="46" spans="1:21" x14ac:dyDescent="0.25">
      <c r="A46" t="s">
        <v>93</v>
      </c>
      <c r="B46">
        <v>21</v>
      </c>
      <c r="C46" t="s">
        <v>29</v>
      </c>
      <c r="D46" t="s">
        <v>35</v>
      </c>
      <c r="E46" t="s">
        <v>31</v>
      </c>
      <c r="F46" t="s">
        <v>42</v>
      </c>
      <c r="G46">
        <v>6096.97</v>
      </c>
      <c r="H46">
        <v>3357.14</v>
      </c>
      <c r="I46">
        <v>60253.36</v>
      </c>
      <c r="J46" t="s">
        <v>25</v>
      </c>
      <c r="K46" t="s">
        <v>45</v>
      </c>
      <c r="L46">
        <v>349234.33</v>
      </c>
      <c r="M46">
        <v>240</v>
      </c>
      <c r="N46">
        <v>5119.92</v>
      </c>
      <c r="O46">
        <v>16.989999999999998</v>
      </c>
      <c r="P46">
        <v>0.84</v>
      </c>
      <c r="Q46">
        <v>530</v>
      </c>
      <c r="R46">
        <v>0.82</v>
      </c>
      <c r="S46" t="s">
        <v>27</v>
      </c>
      <c r="T46" s="1">
        <v>44485</v>
      </c>
      <c r="U46">
        <v>1</v>
      </c>
    </row>
    <row r="47" spans="1:21" x14ac:dyDescent="0.25">
      <c r="A47" t="s">
        <v>94</v>
      </c>
      <c r="B47">
        <v>59</v>
      </c>
      <c r="C47" t="s">
        <v>21</v>
      </c>
      <c r="D47" t="s">
        <v>41</v>
      </c>
      <c r="E47" t="s">
        <v>51</v>
      </c>
      <c r="F47" t="s">
        <v>44</v>
      </c>
      <c r="G47">
        <v>6757.34</v>
      </c>
      <c r="H47">
        <v>5568.16</v>
      </c>
      <c r="I47">
        <v>56084.29</v>
      </c>
      <c r="J47" t="s">
        <v>37</v>
      </c>
      <c r="K47" t="s">
        <v>38</v>
      </c>
      <c r="L47">
        <v>0</v>
      </c>
      <c r="M47">
        <v>0</v>
      </c>
      <c r="N47">
        <v>0</v>
      </c>
      <c r="O47">
        <v>0</v>
      </c>
      <c r="P47">
        <v>0</v>
      </c>
      <c r="Q47">
        <v>803</v>
      </c>
      <c r="R47">
        <v>0.69</v>
      </c>
      <c r="S47" t="s">
        <v>30</v>
      </c>
      <c r="T47" s="1">
        <v>45380</v>
      </c>
      <c r="U47">
        <v>0</v>
      </c>
    </row>
    <row r="48" spans="1:21" x14ac:dyDescent="0.25">
      <c r="A48" t="s">
        <v>95</v>
      </c>
      <c r="B48">
        <v>22</v>
      </c>
      <c r="C48" t="s">
        <v>21</v>
      </c>
      <c r="D48" t="s">
        <v>22</v>
      </c>
      <c r="E48" t="s">
        <v>51</v>
      </c>
      <c r="F48" t="s">
        <v>36</v>
      </c>
      <c r="G48">
        <v>4359.16</v>
      </c>
      <c r="H48">
        <v>2638.21</v>
      </c>
      <c r="I48">
        <v>33565.72</v>
      </c>
      <c r="J48" t="s">
        <v>37</v>
      </c>
      <c r="K48" t="s">
        <v>38</v>
      </c>
      <c r="L48">
        <v>0</v>
      </c>
      <c r="M48">
        <v>0</v>
      </c>
      <c r="N48">
        <v>0</v>
      </c>
      <c r="O48">
        <v>0</v>
      </c>
      <c r="P48">
        <v>0</v>
      </c>
      <c r="Q48">
        <v>686</v>
      </c>
      <c r="R48">
        <v>0.64</v>
      </c>
      <c r="S48" t="s">
        <v>39</v>
      </c>
      <c r="T48" s="1">
        <v>45136</v>
      </c>
      <c r="U48">
        <v>0</v>
      </c>
    </row>
    <row r="49" spans="1:21" x14ac:dyDescent="0.25">
      <c r="A49" t="s">
        <v>96</v>
      </c>
      <c r="B49">
        <v>50</v>
      </c>
      <c r="C49" t="s">
        <v>29</v>
      </c>
      <c r="D49" t="s">
        <v>35</v>
      </c>
      <c r="E49" t="s">
        <v>49</v>
      </c>
      <c r="F49" t="s">
        <v>23</v>
      </c>
      <c r="G49">
        <v>6017.96</v>
      </c>
      <c r="H49">
        <v>4973.51</v>
      </c>
      <c r="I49">
        <v>36020.01</v>
      </c>
      <c r="J49" t="s">
        <v>37</v>
      </c>
      <c r="K49" t="s">
        <v>38</v>
      </c>
      <c r="L49">
        <v>0</v>
      </c>
      <c r="M49">
        <v>0</v>
      </c>
      <c r="N49">
        <v>0</v>
      </c>
      <c r="O49">
        <v>0</v>
      </c>
      <c r="P49">
        <v>0</v>
      </c>
      <c r="Q49">
        <v>545</v>
      </c>
      <c r="R49">
        <v>0.5</v>
      </c>
      <c r="S49" t="s">
        <v>30</v>
      </c>
      <c r="T49" s="1">
        <v>44769</v>
      </c>
      <c r="U49">
        <v>0</v>
      </c>
    </row>
    <row r="50" spans="1:21" x14ac:dyDescent="0.25">
      <c r="A50" t="s">
        <v>97</v>
      </c>
      <c r="B50">
        <v>46</v>
      </c>
      <c r="C50" t="s">
        <v>21</v>
      </c>
      <c r="D50" t="s">
        <v>35</v>
      </c>
      <c r="E50" t="s">
        <v>31</v>
      </c>
      <c r="F50" t="s">
        <v>42</v>
      </c>
      <c r="G50">
        <v>5457.04</v>
      </c>
      <c r="H50">
        <v>2451.4899999999998</v>
      </c>
      <c r="I50">
        <v>16595.900000000001</v>
      </c>
      <c r="J50" t="s">
        <v>25</v>
      </c>
      <c r="K50" t="s">
        <v>54</v>
      </c>
      <c r="L50">
        <v>96569.14</v>
      </c>
      <c r="M50">
        <v>240</v>
      </c>
      <c r="N50">
        <v>563.54</v>
      </c>
      <c r="O50">
        <v>3.57</v>
      </c>
      <c r="P50">
        <v>0.1</v>
      </c>
      <c r="Q50">
        <v>699</v>
      </c>
      <c r="R50">
        <v>0.25</v>
      </c>
      <c r="S50" t="s">
        <v>39</v>
      </c>
      <c r="T50" s="1">
        <v>45437</v>
      </c>
      <c r="U50">
        <v>0</v>
      </c>
    </row>
    <row r="51" spans="1:21" x14ac:dyDescent="0.25">
      <c r="A51" t="s">
        <v>98</v>
      </c>
      <c r="B51">
        <v>65</v>
      </c>
      <c r="C51" t="s">
        <v>29</v>
      </c>
      <c r="D51" t="s">
        <v>35</v>
      </c>
      <c r="E51" t="s">
        <v>51</v>
      </c>
      <c r="F51" t="s">
        <v>36</v>
      </c>
      <c r="G51">
        <v>3235.15</v>
      </c>
      <c r="H51">
        <v>2781.14</v>
      </c>
      <c r="I51">
        <v>33986.07</v>
      </c>
      <c r="J51" t="s">
        <v>37</v>
      </c>
      <c r="K51" t="s">
        <v>38</v>
      </c>
      <c r="L51">
        <v>0</v>
      </c>
      <c r="M51">
        <v>0</v>
      </c>
      <c r="N51">
        <v>0</v>
      </c>
      <c r="O51">
        <v>0</v>
      </c>
      <c r="P51">
        <v>0</v>
      </c>
      <c r="Q51">
        <v>651</v>
      </c>
      <c r="R51">
        <v>0.88</v>
      </c>
      <c r="S51" t="s">
        <v>39</v>
      </c>
      <c r="T51" s="1">
        <v>45806</v>
      </c>
      <c r="U51">
        <v>0</v>
      </c>
    </row>
    <row r="52" spans="1:21" x14ac:dyDescent="0.25">
      <c r="A52" t="s">
        <v>99</v>
      </c>
      <c r="B52">
        <v>40</v>
      </c>
      <c r="C52" t="s">
        <v>29</v>
      </c>
      <c r="D52" t="s">
        <v>22</v>
      </c>
      <c r="E52" t="s">
        <v>31</v>
      </c>
      <c r="F52" t="s">
        <v>63</v>
      </c>
      <c r="G52">
        <v>5378.87</v>
      </c>
      <c r="H52">
        <v>3498.18</v>
      </c>
      <c r="I52">
        <v>59130.31</v>
      </c>
      <c r="J52" t="s">
        <v>37</v>
      </c>
      <c r="K52" t="s">
        <v>38</v>
      </c>
      <c r="L52">
        <v>0</v>
      </c>
      <c r="M52">
        <v>0</v>
      </c>
      <c r="N52">
        <v>0</v>
      </c>
      <c r="O52">
        <v>0</v>
      </c>
      <c r="P52">
        <v>0</v>
      </c>
      <c r="Q52">
        <v>577</v>
      </c>
      <c r="R52">
        <v>0.92</v>
      </c>
      <c r="S52" t="s">
        <v>39</v>
      </c>
      <c r="T52" s="1">
        <v>45679</v>
      </c>
      <c r="U52">
        <v>0</v>
      </c>
    </row>
    <row r="53" spans="1:21" x14ac:dyDescent="0.25">
      <c r="A53" t="s">
        <v>100</v>
      </c>
      <c r="B53">
        <v>51</v>
      </c>
      <c r="C53" t="s">
        <v>29</v>
      </c>
      <c r="D53" t="s">
        <v>35</v>
      </c>
      <c r="E53" t="s">
        <v>51</v>
      </c>
      <c r="F53" t="s">
        <v>49</v>
      </c>
      <c r="G53">
        <v>4325.72</v>
      </c>
      <c r="H53">
        <v>2610.11</v>
      </c>
      <c r="I53">
        <v>44835.01</v>
      </c>
      <c r="J53" t="s">
        <v>25</v>
      </c>
      <c r="K53" t="s">
        <v>45</v>
      </c>
      <c r="L53">
        <v>52875.73</v>
      </c>
      <c r="M53">
        <v>120</v>
      </c>
      <c r="N53">
        <v>1279.74</v>
      </c>
      <c r="O53">
        <v>27.04</v>
      </c>
      <c r="P53">
        <v>0.3</v>
      </c>
      <c r="Q53">
        <v>491</v>
      </c>
      <c r="R53">
        <v>0.86</v>
      </c>
      <c r="S53" t="s">
        <v>72</v>
      </c>
      <c r="T53" s="1">
        <v>44454</v>
      </c>
      <c r="U53">
        <v>0</v>
      </c>
    </row>
    <row r="54" spans="1:21" x14ac:dyDescent="0.25">
      <c r="A54" t="s">
        <v>101</v>
      </c>
      <c r="B54">
        <v>62</v>
      </c>
      <c r="C54" t="s">
        <v>30</v>
      </c>
      <c r="D54" t="s">
        <v>41</v>
      </c>
      <c r="E54" t="s">
        <v>49</v>
      </c>
      <c r="F54" t="s">
        <v>42</v>
      </c>
      <c r="G54">
        <v>500</v>
      </c>
      <c r="H54">
        <v>318.48</v>
      </c>
      <c r="I54">
        <v>4944.67</v>
      </c>
      <c r="J54" t="s">
        <v>37</v>
      </c>
      <c r="K54" t="s">
        <v>38</v>
      </c>
      <c r="L54">
        <v>0</v>
      </c>
      <c r="M54">
        <v>0</v>
      </c>
      <c r="N54">
        <v>0</v>
      </c>
      <c r="O54">
        <v>0</v>
      </c>
      <c r="P54">
        <v>0</v>
      </c>
      <c r="Q54">
        <v>309</v>
      </c>
      <c r="R54">
        <v>0.82</v>
      </c>
      <c r="S54" t="s">
        <v>39</v>
      </c>
      <c r="T54" s="1">
        <v>45331</v>
      </c>
      <c r="U54">
        <v>0</v>
      </c>
    </row>
    <row r="55" spans="1:21" x14ac:dyDescent="0.25">
      <c r="A55" t="s">
        <v>102</v>
      </c>
      <c r="B55">
        <v>48</v>
      </c>
      <c r="C55" t="s">
        <v>21</v>
      </c>
      <c r="D55" t="s">
        <v>41</v>
      </c>
      <c r="E55" t="s">
        <v>31</v>
      </c>
      <c r="F55" t="s">
        <v>36</v>
      </c>
      <c r="G55">
        <v>3840.18</v>
      </c>
      <c r="H55">
        <v>1586.11</v>
      </c>
      <c r="I55">
        <v>30268.71</v>
      </c>
      <c r="J55" t="s">
        <v>25</v>
      </c>
      <c r="K55" t="s">
        <v>33</v>
      </c>
      <c r="L55">
        <v>117794.83</v>
      </c>
      <c r="M55">
        <v>240</v>
      </c>
      <c r="N55">
        <v>2748.82</v>
      </c>
      <c r="O55">
        <v>27.89</v>
      </c>
      <c r="P55">
        <v>0.72</v>
      </c>
      <c r="Q55">
        <v>772</v>
      </c>
      <c r="R55">
        <v>0.66</v>
      </c>
      <c r="S55" t="s">
        <v>72</v>
      </c>
      <c r="T55" s="1">
        <v>45303</v>
      </c>
      <c r="U55">
        <v>1</v>
      </c>
    </row>
    <row r="56" spans="1:21" x14ac:dyDescent="0.25">
      <c r="A56" t="s">
        <v>103</v>
      </c>
      <c r="B56">
        <v>45</v>
      </c>
      <c r="C56" t="s">
        <v>21</v>
      </c>
      <c r="D56" t="s">
        <v>41</v>
      </c>
      <c r="E56" t="s">
        <v>31</v>
      </c>
      <c r="F56" t="s">
        <v>24</v>
      </c>
      <c r="G56">
        <v>5503.04</v>
      </c>
      <c r="H56">
        <v>4075.2</v>
      </c>
      <c r="I56">
        <v>42632.19</v>
      </c>
      <c r="J56" t="s">
        <v>37</v>
      </c>
      <c r="K56" t="s">
        <v>38</v>
      </c>
      <c r="L56">
        <v>0</v>
      </c>
      <c r="M56">
        <v>0</v>
      </c>
      <c r="N56">
        <v>0</v>
      </c>
      <c r="O56">
        <v>0</v>
      </c>
      <c r="P56">
        <v>0</v>
      </c>
      <c r="Q56">
        <v>322</v>
      </c>
      <c r="R56">
        <v>0.65</v>
      </c>
      <c r="S56" t="s">
        <v>27</v>
      </c>
      <c r="T56" s="1">
        <v>45655</v>
      </c>
      <c r="U56">
        <v>0</v>
      </c>
    </row>
    <row r="57" spans="1:21" x14ac:dyDescent="0.25">
      <c r="A57" t="s">
        <v>104</v>
      </c>
      <c r="B57">
        <v>56</v>
      </c>
      <c r="C57" t="s">
        <v>21</v>
      </c>
      <c r="D57" t="s">
        <v>35</v>
      </c>
      <c r="E57" t="s">
        <v>49</v>
      </c>
      <c r="F57" t="s">
        <v>36</v>
      </c>
      <c r="G57">
        <v>5893.53</v>
      </c>
      <c r="H57">
        <v>2446.5500000000002</v>
      </c>
      <c r="I57">
        <v>49933.16</v>
      </c>
      <c r="J57" t="s">
        <v>37</v>
      </c>
      <c r="K57" t="s">
        <v>38</v>
      </c>
      <c r="L57">
        <v>0</v>
      </c>
      <c r="M57">
        <v>0</v>
      </c>
      <c r="N57">
        <v>0</v>
      </c>
      <c r="O57">
        <v>0</v>
      </c>
      <c r="P57">
        <v>0</v>
      </c>
      <c r="Q57">
        <v>789</v>
      </c>
      <c r="R57">
        <v>0.71</v>
      </c>
      <c r="S57" t="s">
        <v>39</v>
      </c>
      <c r="T57" s="1">
        <v>45321</v>
      </c>
      <c r="U57">
        <v>0</v>
      </c>
    </row>
    <row r="58" spans="1:21" x14ac:dyDescent="0.25">
      <c r="A58" t="s">
        <v>105</v>
      </c>
      <c r="B58">
        <v>53</v>
      </c>
      <c r="C58" t="s">
        <v>21</v>
      </c>
      <c r="D58" t="s">
        <v>41</v>
      </c>
      <c r="E58" t="s">
        <v>49</v>
      </c>
      <c r="F58" t="s">
        <v>52</v>
      </c>
      <c r="G58">
        <v>1982.29</v>
      </c>
      <c r="H58">
        <v>1388.42</v>
      </c>
      <c r="I58">
        <v>12704.51</v>
      </c>
      <c r="J58" t="s">
        <v>25</v>
      </c>
      <c r="K58" t="s">
        <v>33</v>
      </c>
      <c r="L58">
        <v>65244.85</v>
      </c>
      <c r="M58">
        <v>180</v>
      </c>
      <c r="N58">
        <v>1502.44</v>
      </c>
      <c r="O58">
        <v>27.14</v>
      </c>
      <c r="P58">
        <v>0.76</v>
      </c>
      <c r="Q58">
        <v>528</v>
      </c>
      <c r="R58">
        <v>0.53</v>
      </c>
      <c r="S58" t="s">
        <v>30</v>
      </c>
      <c r="T58" s="1">
        <v>45577</v>
      </c>
      <c r="U58">
        <v>1</v>
      </c>
    </row>
    <row r="59" spans="1:21" x14ac:dyDescent="0.25">
      <c r="A59" t="s">
        <v>106</v>
      </c>
      <c r="B59">
        <v>34</v>
      </c>
      <c r="C59" t="s">
        <v>21</v>
      </c>
      <c r="D59" t="s">
        <v>22</v>
      </c>
      <c r="E59" t="s">
        <v>51</v>
      </c>
      <c r="F59" t="s">
        <v>36</v>
      </c>
      <c r="G59">
        <v>5401.13</v>
      </c>
      <c r="H59">
        <v>3701.76</v>
      </c>
      <c r="I59">
        <v>31096.21</v>
      </c>
      <c r="J59" t="s">
        <v>37</v>
      </c>
      <c r="K59" t="s">
        <v>38</v>
      </c>
      <c r="L59">
        <v>0</v>
      </c>
      <c r="M59">
        <v>0</v>
      </c>
      <c r="N59">
        <v>0</v>
      </c>
      <c r="O59">
        <v>0</v>
      </c>
      <c r="P59">
        <v>0</v>
      </c>
      <c r="Q59">
        <v>368</v>
      </c>
      <c r="R59">
        <v>0.48</v>
      </c>
      <c r="S59" t="s">
        <v>39</v>
      </c>
      <c r="T59" s="1">
        <v>45492</v>
      </c>
      <c r="U59">
        <v>0</v>
      </c>
    </row>
    <row r="60" spans="1:21" x14ac:dyDescent="0.25">
      <c r="A60" t="s">
        <v>107</v>
      </c>
      <c r="B60">
        <v>30</v>
      </c>
      <c r="C60" t="s">
        <v>30</v>
      </c>
      <c r="D60" t="s">
        <v>35</v>
      </c>
      <c r="E60" t="s">
        <v>51</v>
      </c>
      <c r="F60" t="s">
        <v>63</v>
      </c>
      <c r="G60">
        <v>4447.1499999999996</v>
      </c>
      <c r="H60">
        <v>1465.32</v>
      </c>
      <c r="I60">
        <v>21744.59</v>
      </c>
      <c r="J60" t="s">
        <v>37</v>
      </c>
      <c r="K60" t="s">
        <v>38</v>
      </c>
      <c r="L60">
        <v>0</v>
      </c>
      <c r="M60">
        <v>0</v>
      </c>
      <c r="N60">
        <v>0</v>
      </c>
      <c r="O60">
        <v>0</v>
      </c>
      <c r="P60">
        <v>0</v>
      </c>
      <c r="Q60">
        <v>777</v>
      </c>
      <c r="R60">
        <v>0.41</v>
      </c>
      <c r="S60" t="s">
        <v>72</v>
      </c>
      <c r="T60" s="1">
        <v>45858</v>
      </c>
      <c r="U60">
        <v>0</v>
      </c>
    </row>
    <row r="61" spans="1:21" x14ac:dyDescent="0.25">
      <c r="A61" t="s">
        <v>108</v>
      </c>
      <c r="B61">
        <v>41</v>
      </c>
      <c r="C61" t="s">
        <v>21</v>
      </c>
      <c r="D61" t="s">
        <v>35</v>
      </c>
      <c r="E61" t="s">
        <v>31</v>
      </c>
      <c r="F61" t="s">
        <v>63</v>
      </c>
      <c r="G61">
        <v>6039.55</v>
      </c>
      <c r="H61">
        <v>1990.51</v>
      </c>
      <c r="I61">
        <v>8931.77</v>
      </c>
      <c r="J61" t="s">
        <v>25</v>
      </c>
      <c r="K61" t="s">
        <v>33</v>
      </c>
      <c r="L61">
        <v>223938.15</v>
      </c>
      <c r="M61">
        <v>60</v>
      </c>
      <c r="N61">
        <v>4321.03</v>
      </c>
      <c r="O61">
        <v>5.92</v>
      </c>
      <c r="P61">
        <v>0.72</v>
      </c>
      <c r="Q61">
        <v>695</v>
      </c>
      <c r="R61">
        <v>0.12</v>
      </c>
      <c r="S61" t="s">
        <v>47</v>
      </c>
      <c r="T61" s="1">
        <v>45808</v>
      </c>
      <c r="U61">
        <v>1</v>
      </c>
    </row>
    <row r="62" spans="1:21" x14ac:dyDescent="0.25">
      <c r="A62" t="s">
        <v>109</v>
      </c>
      <c r="B62">
        <v>24</v>
      </c>
      <c r="C62" t="s">
        <v>29</v>
      </c>
      <c r="D62" t="s">
        <v>41</v>
      </c>
      <c r="E62" t="s">
        <v>23</v>
      </c>
      <c r="F62" t="s">
        <v>52</v>
      </c>
      <c r="G62">
        <v>5288.15</v>
      </c>
      <c r="H62">
        <v>2328.92</v>
      </c>
      <c r="I62">
        <v>59361.01</v>
      </c>
      <c r="J62" t="s">
        <v>25</v>
      </c>
      <c r="K62" t="s">
        <v>45</v>
      </c>
      <c r="L62">
        <v>453018.85</v>
      </c>
      <c r="M62">
        <v>240</v>
      </c>
      <c r="N62">
        <v>3553.15</v>
      </c>
      <c r="O62">
        <v>7.15</v>
      </c>
      <c r="P62">
        <v>0.67</v>
      </c>
      <c r="Q62">
        <v>800</v>
      </c>
      <c r="R62">
        <v>0.94</v>
      </c>
      <c r="S62" t="s">
        <v>39</v>
      </c>
      <c r="T62" s="1">
        <v>45265</v>
      </c>
      <c r="U62">
        <v>1</v>
      </c>
    </row>
    <row r="63" spans="1:21" x14ac:dyDescent="0.25">
      <c r="A63" t="s">
        <v>110</v>
      </c>
      <c r="B63">
        <v>29</v>
      </c>
      <c r="C63" t="s">
        <v>21</v>
      </c>
      <c r="D63" t="s">
        <v>35</v>
      </c>
      <c r="E63" t="s">
        <v>31</v>
      </c>
      <c r="F63" t="s">
        <v>23</v>
      </c>
      <c r="G63">
        <v>3073.71</v>
      </c>
      <c r="H63">
        <v>2426.38</v>
      </c>
      <c r="I63">
        <v>26591.88</v>
      </c>
      <c r="J63" t="s">
        <v>37</v>
      </c>
      <c r="K63" t="s">
        <v>38</v>
      </c>
      <c r="L63">
        <v>0</v>
      </c>
      <c r="M63">
        <v>0</v>
      </c>
      <c r="N63">
        <v>0</v>
      </c>
      <c r="O63">
        <v>0</v>
      </c>
      <c r="P63">
        <v>0</v>
      </c>
      <c r="Q63">
        <v>328</v>
      </c>
      <c r="R63">
        <v>0.72</v>
      </c>
      <c r="S63" t="s">
        <v>27</v>
      </c>
      <c r="T63" s="1">
        <v>45033</v>
      </c>
      <c r="U63">
        <v>0</v>
      </c>
    </row>
    <row r="64" spans="1:21" x14ac:dyDescent="0.25">
      <c r="A64" t="s">
        <v>111</v>
      </c>
      <c r="B64">
        <v>46</v>
      </c>
      <c r="C64" t="s">
        <v>29</v>
      </c>
      <c r="D64" t="s">
        <v>35</v>
      </c>
      <c r="E64" t="s">
        <v>31</v>
      </c>
      <c r="F64" t="s">
        <v>24</v>
      </c>
      <c r="G64">
        <v>8884.67</v>
      </c>
      <c r="H64">
        <v>4787.5200000000004</v>
      </c>
      <c r="I64">
        <v>38576.28</v>
      </c>
      <c r="J64" t="s">
        <v>25</v>
      </c>
      <c r="K64" t="s">
        <v>33</v>
      </c>
      <c r="L64">
        <v>13544.72</v>
      </c>
      <c r="M64">
        <v>36</v>
      </c>
      <c r="N64">
        <v>449.17</v>
      </c>
      <c r="O64">
        <v>11.89</v>
      </c>
      <c r="P64">
        <v>0.05</v>
      </c>
      <c r="Q64">
        <v>798</v>
      </c>
      <c r="R64">
        <v>0.36</v>
      </c>
      <c r="S64" t="s">
        <v>72</v>
      </c>
      <c r="T64" s="1">
        <v>44959</v>
      </c>
      <c r="U64">
        <v>0</v>
      </c>
    </row>
    <row r="65" spans="1:21" x14ac:dyDescent="0.25">
      <c r="A65" t="s">
        <v>112</v>
      </c>
      <c r="B65">
        <v>44</v>
      </c>
      <c r="C65" t="s">
        <v>21</v>
      </c>
      <c r="D65" t="s">
        <v>22</v>
      </c>
      <c r="E65" t="s">
        <v>31</v>
      </c>
      <c r="F65" t="s">
        <v>36</v>
      </c>
      <c r="G65">
        <v>2040.32</v>
      </c>
      <c r="H65">
        <v>1152.25</v>
      </c>
      <c r="I65">
        <v>18203.93</v>
      </c>
      <c r="J65" t="s">
        <v>37</v>
      </c>
      <c r="K65" t="s">
        <v>38</v>
      </c>
      <c r="L65">
        <v>0</v>
      </c>
      <c r="M65">
        <v>0</v>
      </c>
      <c r="N65">
        <v>0</v>
      </c>
      <c r="O65">
        <v>0</v>
      </c>
      <c r="P65">
        <v>0</v>
      </c>
      <c r="Q65">
        <v>635</v>
      </c>
      <c r="R65">
        <v>0.74</v>
      </c>
      <c r="S65" t="s">
        <v>47</v>
      </c>
      <c r="T65" s="1">
        <v>45284</v>
      </c>
      <c r="U65">
        <v>0</v>
      </c>
    </row>
    <row r="66" spans="1:21" x14ac:dyDescent="0.25">
      <c r="A66" t="s">
        <v>113</v>
      </c>
      <c r="B66">
        <v>22</v>
      </c>
      <c r="C66" t="s">
        <v>21</v>
      </c>
      <c r="D66" t="s">
        <v>35</v>
      </c>
      <c r="E66" t="s">
        <v>31</v>
      </c>
      <c r="F66" t="s">
        <v>49</v>
      </c>
      <c r="G66">
        <v>3072.76</v>
      </c>
      <c r="H66">
        <v>2005.35</v>
      </c>
      <c r="I66">
        <v>27066.01</v>
      </c>
      <c r="J66" t="s">
        <v>37</v>
      </c>
      <c r="K66" t="s">
        <v>38</v>
      </c>
      <c r="L66">
        <v>0</v>
      </c>
      <c r="M66">
        <v>0</v>
      </c>
      <c r="N66">
        <v>0</v>
      </c>
      <c r="O66">
        <v>0</v>
      </c>
      <c r="P66">
        <v>0</v>
      </c>
      <c r="Q66">
        <v>839</v>
      </c>
      <c r="R66">
        <v>0.73</v>
      </c>
      <c r="S66" t="s">
        <v>30</v>
      </c>
      <c r="T66" s="1">
        <v>45704</v>
      </c>
      <c r="U66">
        <v>0</v>
      </c>
    </row>
    <row r="67" spans="1:21" x14ac:dyDescent="0.25">
      <c r="A67" t="s">
        <v>114</v>
      </c>
      <c r="B67">
        <v>36</v>
      </c>
      <c r="C67" t="s">
        <v>21</v>
      </c>
      <c r="D67" t="s">
        <v>35</v>
      </c>
      <c r="E67" t="s">
        <v>51</v>
      </c>
      <c r="F67" t="s">
        <v>52</v>
      </c>
      <c r="G67">
        <v>3633.95</v>
      </c>
      <c r="H67">
        <v>1968.25</v>
      </c>
      <c r="I67">
        <v>4945.9399999999996</v>
      </c>
      <c r="J67" t="s">
        <v>37</v>
      </c>
      <c r="K67" t="s">
        <v>38</v>
      </c>
      <c r="L67">
        <v>0</v>
      </c>
      <c r="M67">
        <v>0</v>
      </c>
      <c r="N67">
        <v>0</v>
      </c>
      <c r="O67">
        <v>0</v>
      </c>
      <c r="P67">
        <v>0</v>
      </c>
      <c r="Q67">
        <v>329</v>
      </c>
      <c r="R67">
        <v>0.11</v>
      </c>
      <c r="S67" t="s">
        <v>27</v>
      </c>
      <c r="T67" s="1">
        <v>45763</v>
      </c>
      <c r="U67">
        <v>0</v>
      </c>
    </row>
    <row r="68" spans="1:21" x14ac:dyDescent="0.25">
      <c r="A68" t="s">
        <v>115</v>
      </c>
      <c r="B68">
        <v>21</v>
      </c>
      <c r="C68" t="s">
        <v>29</v>
      </c>
      <c r="D68" t="s">
        <v>41</v>
      </c>
      <c r="E68" t="s">
        <v>51</v>
      </c>
      <c r="F68" t="s">
        <v>24</v>
      </c>
      <c r="G68">
        <v>7742.15</v>
      </c>
      <c r="H68">
        <v>3548.1</v>
      </c>
      <c r="I68">
        <v>20392.11</v>
      </c>
      <c r="J68" t="s">
        <v>37</v>
      </c>
      <c r="K68" t="s">
        <v>38</v>
      </c>
      <c r="L68">
        <v>0</v>
      </c>
      <c r="M68">
        <v>0</v>
      </c>
      <c r="N68">
        <v>0</v>
      </c>
      <c r="O68">
        <v>0</v>
      </c>
      <c r="P68">
        <v>0</v>
      </c>
      <c r="Q68">
        <v>764</v>
      </c>
      <c r="R68">
        <v>0.22</v>
      </c>
      <c r="S68" t="s">
        <v>27</v>
      </c>
      <c r="T68" s="1">
        <v>45265</v>
      </c>
      <c r="U68">
        <v>0</v>
      </c>
    </row>
    <row r="69" spans="1:21" x14ac:dyDescent="0.25">
      <c r="A69" t="s">
        <v>116</v>
      </c>
      <c r="B69">
        <v>23</v>
      </c>
      <c r="C69" t="s">
        <v>29</v>
      </c>
      <c r="D69" t="s">
        <v>41</v>
      </c>
      <c r="E69" t="s">
        <v>31</v>
      </c>
      <c r="F69" t="s">
        <v>63</v>
      </c>
      <c r="G69">
        <v>4189.0600000000004</v>
      </c>
      <c r="H69">
        <v>3628.31</v>
      </c>
      <c r="I69">
        <v>25869.08</v>
      </c>
      <c r="J69" t="s">
        <v>37</v>
      </c>
      <c r="K69" t="s">
        <v>38</v>
      </c>
      <c r="L69">
        <v>0</v>
      </c>
      <c r="M69">
        <v>0</v>
      </c>
      <c r="N69">
        <v>0</v>
      </c>
      <c r="O69">
        <v>0</v>
      </c>
      <c r="P69">
        <v>0</v>
      </c>
      <c r="Q69">
        <v>672</v>
      </c>
      <c r="R69">
        <v>0.51</v>
      </c>
      <c r="S69" t="s">
        <v>30</v>
      </c>
      <c r="T69" s="1">
        <v>45172</v>
      </c>
      <c r="U69">
        <v>0</v>
      </c>
    </row>
    <row r="70" spans="1:21" x14ac:dyDescent="0.25">
      <c r="A70" t="s">
        <v>117</v>
      </c>
      <c r="B70">
        <v>25</v>
      </c>
      <c r="C70" t="s">
        <v>21</v>
      </c>
      <c r="D70" t="s">
        <v>22</v>
      </c>
      <c r="E70" t="s">
        <v>31</v>
      </c>
      <c r="F70" t="s">
        <v>23</v>
      </c>
      <c r="G70">
        <v>4875.6499999999996</v>
      </c>
      <c r="H70">
        <v>2093.5300000000002</v>
      </c>
      <c r="I70">
        <v>54392.43</v>
      </c>
      <c r="J70" t="s">
        <v>37</v>
      </c>
      <c r="K70" t="s">
        <v>38</v>
      </c>
      <c r="L70">
        <v>0</v>
      </c>
      <c r="M70">
        <v>0</v>
      </c>
      <c r="N70">
        <v>0</v>
      </c>
      <c r="O70">
        <v>0</v>
      </c>
      <c r="P70">
        <v>0</v>
      </c>
      <c r="Q70">
        <v>779</v>
      </c>
      <c r="R70">
        <v>0.93</v>
      </c>
      <c r="S70" t="s">
        <v>47</v>
      </c>
      <c r="T70" s="1">
        <v>45457</v>
      </c>
      <c r="U70">
        <v>0</v>
      </c>
    </row>
    <row r="71" spans="1:21" x14ac:dyDescent="0.25">
      <c r="A71" t="s">
        <v>118</v>
      </c>
      <c r="B71">
        <v>20</v>
      </c>
      <c r="C71" t="s">
        <v>21</v>
      </c>
      <c r="D71" t="s">
        <v>56</v>
      </c>
      <c r="E71" t="s">
        <v>31</v>
      </c>
      <c r="F71" t="s">
        <v>63</v>
      </c>
      <c r="G71">
        <v>6583.36</v>
      </c>
      <c r="H71">
        <v>3425.35</v>
      </c>
      <c r="I71">
        <v>22666.83</v>
      </c>
      <c r="J71" t="s">
        <v>25</v>
      </c>
      <c r="K71" t="s">
        <v>26</v>
      </c>
      <c r="L71">
        <v>64113.65</v>
      </c>
      <c r="M71">
        <v>24</v>
      </c>
      <c r="N71">
        <v>3319.14</v>
      </c>
      <c r="O71">
        <v>21.78</v>
      </c>
      <c r="P71">
        <v>0.5</v>
      </c>
      <c r="Q71">
        <v>334</v>
      </c>
      <c r="R71">
        <v>0.28999999999999998</v>
      </c>
      <c r="S71" t="s">
        <v>47</v>
      </c>
      <c r="T71" s="1">
        <v>44861</v>
      </c>
      <c r="U71">
        <v>1</v>
      </c>
    </row>
    <row r="72" spans="1:21" x14ac:dyDescent="0.25">
      <c r="A72" t="s">
        <v>119</v>
      </c>
      <c r="B72">
        <v>64</v>
      </c>
      <c r="C72" t="s">
        <v>30</v>
      </c>
      <c r="D72" t="s">
        <v>35</v>
      </c>
      <c r="E72" t="s">
        <v>31</v>
      </c>
      <c r="F72" t="s">
        <v>52</v>
      </c>
      <c r="G72">
        <v>5452.32</v>
      </c>
      <c r="H72">
        <v>3996.04</v>
      </c>
      <c r="I72">
        <v>63625.5</v>
      </c>
      <c r="J72" t="s">
        <v>37</v>
      </c>
      <c r="K72" t="s">
        <v>38</v>
      </c>
      <c r="L72">
        <v>0</v>
      </c>
      <c r="M72">
        <v>0</v>
      </c>
      <c r="N72">
        <v>0</v>
      </c>
      <c r="O72">
        <v>0</v>
      </c>
      <c r="P72">
        <v>0</v>
      </c>
      <c r="Q72">
        <v>335</v>
      </c>
      <c r="R72">
        <v>0.97</v>
      </c>
      <c r="S72" t="s">
        <v>30</v>
      </c>
      <c r="T72" s="1">
        <v>44686</v>
      </c>
      <c r="U72">
        <v>0</v>
      </c>
    </row>
    <row r="73" spans="1:21" x14ac:dyDescent="0.25">
      <c r="A73" t="s">
        <v>120</v>
      </c>
      <c r="B73">
        <v>64</v>
      </c>
      <c r="C73" t="s">
        <v>21</v>
      </c>
      <c r="D73" t="s">
        <v>35</v>
      </c>
      <c r="E73" t="s">
        <v>31</v>
      </c>
      <c r="F73" t="s">
        <v>32</v>
      </c>
      <c r="G73">
        <v>5967.85</v>
      </c>
      <c r="H73">
        <v>2857.33</v>
      </c>
      <c r="I73">
        <v>15577.97</v>
      </c>
      <c r="J73" t="s">
        <v>25</v>
      </c>
      <c r="K73" t="s">
        <v>45</v>
      </c>
      <c r="L73">
        <v>357823.11</v>
      </c>
      <c r="M73">
        <v>240</v>
      </c>
      <c r="N73">
        <v>5368.61</v>
      </c>
      <c r="O73">
        <v>17.440000000000001</v>
      </c>
      <c r="P73">
        <v>0.9</v>
      </c>
      <c r="Q73">
        <v>818</v>
      </c>
      <c r="R73">
        <v>0.22</v>
      </c>
      <c r="S73" t="s">
        <v>72</v>
      </c>
      <c r="T73" s="1">
        <v>45636</v>
      </c>
      <c r="U73">
        <v>1</v>
      </c>
    </row>
    <row r="74" spans="1:21" x14ac:dyDescent="0.25">
      <c r="A74" t="s">
        <v>121</v>
      </c>
      <c r="B74">
        <v>42</v>
      </c>
      <c r="C74" t="s">
        <v>29</v>
      </c>
      <c r="D74" t="s">
        <v>22</v>
      </c>
      <c r="E74" t="s">
        <v>31</v>
      </c>
      <c r="F74" t="s">
        <v>23</v>
      </c>
      <c r="G74">
        <v>6058.36</v>
      </c>
      <c r="H74">
        <v>3517.98</v>
      </c>
      <c r="I74">
        <v>58278.75</v>
      </c>
      <c r="J74" t="s">
        <v>37</v>
      </c>
      <c r="K74" t="s">
        <v>38</v>
      </c>
      <c r="L74">
        <v>0</v>
      </c>
      <c r="M74">
        <v>0</v>
      </c>
      <c r="N74">
        <v>0</v>
      </c>
      <c r="O74">
        <v>0</v>
      </c>
      <c r="P74">
        <v>0</v>
      </c>
      <c r="Q74">
        <v>315</v>
      </c>
      <c r="R74">
        <v>0.8</v>
      </c>
      <c r="S74" t="s">
        <v>30</v>
      </c>
      <c r="T74" s="1">
        <v>45257</v>
      </c>
      <c r="U74">
        <v>0</v>
      </c>
    </row>
    <row r="75" spans="1:21" x14ac:dyDescent="0.25">
      <c r="A75" t="s">
        <v>122</v>
      </c>
      <c r="B75">
        <v>18</v>
      </c>
      <c r="C75" t="s">
        <v>21</v>
      </c>
      <c r="D75" t="s">
        <v>22</v>
      </c>
      <c r="E75" t="s">
        <v>31</v>
      </c>
      <c r="F75" t="s">
        <v>49</v>
      </c>
      <c r="G75">
        <v>6500.57</v>
      </c>
      <c r="H75">
        <v>4847.43</v>
      </c>
      <c r="I75">
        <v>47073.56</v>
      </c>
      <c r="J75" t="s">
        <v>25</v>
      </c>
      <c r="K75" t="s">
        <v>33</v>
      </c>
      <c r="L75">
        <v>203296.58</v>
      </c>
      <c r="M75">
        <v>36</v>
      </c>
      <c r="N75">
        <v>6267.92</v>
      </c>
      <c r="O75">
        <v>6.9</v>
      </c>
      <c r="P75">
        <v>0.96</v>
      </c>
      <c r="Q75">
        <v>512</v>
      </c>
      <c r="R75">
        <v>0.6</v>
      </c>
      <c r="S75" t="s">
        <v>30</v>
      </c>
      <c r="T75" s="1">
        <v>45595</v>
      </c>
      <c r="U75">
        <v>1</v>
      </c>
    </row>
    <row r="76" spans="1:21" x14ac:dyDescent="0.25">
      <c r="A76" t="s">
        <v>123</v>
      </c>
      <c r="B76">
        <v>34</v>
      </c>
      <c r="C76" t="s">
        <v>29</v>
      </c>
      <c r="D76" t="s">
        <v>22</v>
      </c>
      <c r="E76" t="s">
        <v>23</v>
      </c>
      <c r="F76" t="s">
        <v>52</v>
      </c>
      <c r="G76">
        <v>1573.26</v>
      </c>
      <c r="H76">
        <v>848.15</v>
      </c>
      <c r="I76">
        <v>5471.39</v>
      </c>
      <c r="J76" t="s">
        <v>37</v>
      </c>
      <c r="K76" t="s">
        <v>38</v>
      </c>
      <c r="L76">
        <v>0</v>
      </c>
      <c r="M76">
        <v>0</v>
      </c>
      <c r="N76">
        <v>0</v>
      </c>
      <c r="O76">
        <v>0</v>
      </c>
      <c r="P76">
        <v>0</v>
      </c>
      <c r="Q76">
        <v>589</v>
      </c>
      <c r="R76">
        <v>0.28999999999999998</v>
      </c>
      <c r="S76" t="s">
        <v>30</v>
      </c>
      <c r="T76" s="1">
        <v>45021</v>
      </c>
      <c r="U76">
        <v>0</v>
      </c>
    </row>
    <row r="77" spans="1:21" x14ac:dyDescent="0.25">
      <c r="A77" t="s">
        <v>124</v>
      </c>
      <c r="B77">
        <v>59</v>
      </c>
      <c r="C77" t="s">
        <v>29</v>
      </c>
      <c r="D77" t="s">
        <v>22</v>
      </c>
      <c r="E77" t="s">
        <v>31</v>
      </c>
      <c r="F77" t="s">
        <v>24</v>
      </c>
      <c r="G77">
        <v>4430.46</v>
      </c>
      <c r="H77">
        <v>1347.18</v>
      </c>
      <c r="I77">
        <v>28189.25</v>
      </c>
      <c r="J77" t="s">
        <v>37</v>
      </c>
      <c r="K77" t="s">
        <v>38</v>
      </c>
      <c r="L77">
        <v>0</v>
      </c>
      <c r="M77">
        <v>0</v>
      </c>
      <c r="N77">
        <v>0</v>
      </c>
      <c r="O77">
        <v>0</v>
      </c>
      <c r="P77">
        <v>0</v>
      </c>
      <c r="Q77">
        <v>370</v>
      </c>
      <c r="R77">
        <v>0.53</v>
      </c>
      <c r="S77" t="s">
        <v>30</v>
      </c>
      <c r="T77" s="1">
        <v>44469</v>
      </c>
      <c r="U77">
        <v>0</v>
      </c>
    </row>
    <row r="78" spans="1:21" x14ac:dyDescent="0.25">
      <c r="A78" t="s">
        <v>125</v>
      </c>
      <c r="B78">
        <v>41</v>
      </c>
      <c r="C78" t="s">
        <v>29</v>
      </c>
      <c r="D78" t="s">
        <v>41</v>
      </c>
      <c r="E78" t="s">
        <v>31</v>
      </c>
      <c r="F78" t="s">
        <v>49</v>
      </c>
      <c r="G78">
        <v>5281.9</v>
      </c>
      <c r="H78">
        <v>4551.3500000000004</v>
      </c>
      <c r="I78">
        <v>40790.53</v>
      </c>
      <c r="J78" t="s">
        <v>37</v>
      </c>
      <c r="K78" t="s">
        <v>38</v>
      </c>
      <c r="L78">
        <v>0</v>
      </c>
      <c r="M78">
        <v>0</v>
      </c>
      <c r="N78">
        <v>0</v>
      </c>
      <c r="O78">
        <v>0</v>
      </c>
      <c r="P78">
        <v>0</v>
      </c>
      <c r="Q78">
        <v>773</v>
      </c>
      <c r="R78">
        <v>0.64</v>
      </c>
      <c r="S78" t="s">
        <v>47</v>
      </c>
      <c r="T78" s="1">
        <v>44451</v>
      </c>
      <c r="U78">
        <v>0</v>
      </c>
    </row>
    <row r="79" spans="1:21" x14ac:dyDescent="0.25">
      <c r="A79" t="s">
        <v>126</v>
      </c>
      <c r="B79">
        <v>67</v>
      </c>
      <c r="C79" t="s">
        <v>21</v>
      </c>
      <c r="D79" t="s">
        <v>56</v>
      </c>
      <c r="E79" t="s">
        <v>51</v>
      </c>
      <c r="F79" t="s">
        <v>44</v>
      </c>
      <c r="G79">
        <v>4470.2700000000004</v>
      </c>
      <c r="H79">
        <v>3849.49</v>
      </c>
      <c r="I79">
        <v>11612.39</v>
      </c>
      <c r="J79" t="s">
        <v>37</v>
      </c>
      <c r="K79" t="s">
        <v>38</v>
      </c>
      <c r="L79">
        <v>0</v>
      </c>
      <c r="M79">
        <v>0</v>
      </c>
      <c r="N79">
        <v>0</v>
      </c>
      <c r="O79">
        <v>0</v>
      </c>
      <c r="P79">
        <v>0</v>
      </c>
      <c r="Q79">
        <v>577</v>
      </c>
      <c r="R79">
        <v>0.22</v>
      </c>
      <c r="S79" t="s">
        <v>72</v>
      </c>
      <c r="T79" s="1">
        <v>45587</v>
      </c>
      <c r="U79">
        <v>0</v>
      </c>
    </row>
    <row r="80" spans="1:21" x14ac:dyDescent="0.25">
      <c r="A80" t="s">
        <v>127</v>
      </c>
      <c r="B80">
        <v>63</v>
      </c>
      <c r="C80" t="s">
        <v>21</v>
      </c>
      <c r="D80" t="s">
        <v>41</v>
      </c>
      <c r="E80" t="s">
        <v>31</v>
      </c>
      <c r="F80" t="s">
        <v>23</v>
      </c>
      <c r="G80">
        <v>3621.73</v>
      </c>
      <c r="H80">
        <v>2629.44</v>
      </c>
      <c r="I80">
        <v>12961.43</v>
      </c>
      <c r="J80" t="s">
        <v>37</v>
      </c>
      <c r="K80" t="s">
        <v>38</v>
      </c>
      <c r="L80">
        <v>0</v>
      </c>
      <c r="M80">
        <v>0</v>
      </c>
      <c r="N80">
        <v>0</v>
      </c>
      <c r="O80">
        <v>0</v>
      </c>
      <c r="P80">
        <v>0</v>
      </c>
      <c r="Q80">
        <v>447</v>
      </c>
      <c r="R80">
        <v>0.3</v>
      </c>
      <c r="S80" t="s">
        <v>72</v>
      </c>
      <c r="T80" s="1">
        <v>44853</v>
      </c>
      <c r="U80">
        <v>0</v>
      </c>
    </row>
    <row r="81" spans="1:21" x14ac:dyDescent="0.25">
      <c r="A81" t="s">
        <v>128</v>
      </c>
      <c r="B81">
        <v>37</v>
      </c>
      <c r="C81" t="s">
        <v>29</v>
      </c>
      <c r="D81" t="s">
        <v>35</v>
      </c>
      <c r="E81" t="s">
        <v>31</v>
      </c>
      <c r="F81" t="s">
        <v>63</v>
      </c>
      <c r="G81">
        <v>4775.09</v>
      </c>
      <c r="H81">
        <v>3016.42</v>
      </c>
      <c r="I81">
        <v>19920.72</v>
      </c>
      <c r="J81" t="s">
        <v>37</v>
      </c>
      <c r="K81" t="s">
        <v>38</v>
      </c>
      <c r="L81">
        <v>0</v>
      </c>
      <c r="M81">
        <v>0</v>
      </c>
      <c r="N81">
        <v>0</v>
      </c>
      <c r="O81">
        <v>0</v>
      </c>
      <c r="P81">
        <v>0</v>
      </c>
      <c r="Q81">
        <v>706</v>
      </c>
      <c r="R81">
        <v>0.35</v>
      </c>
      <c r="S81" t="s">
        <v>72</v>
      </c>
      <c r="T81" s="1">
        <v>44879</v>
      </c>
      <c r="U81">
        <v>0</v>
      </c>
    </row>
    <row r="82" spans="1:21" x14ac:dyDescent="0.25">
      <c r="A82" t="s">
        <v>129</v>
      </c>
      <c r="B82">
        <v>59</v>
      </c>
      <c r="C82" t="s">
        <v>21</v>
      </c>
      <c r="D82" t="s">
        <v>41</v>
      </c>
      <c r="E82" t="s">
        <v>31</v>
      </c>
      <c r="F82" t="s">
        <v>52</v>
      </c>
      <c r="G82">
        <v>3460.52</v>
      </c>
      <c r="H82">
        <v>2776.53</v>
      </c>
      <c r="I82">
        <v>31613.56</v>
      </c>
      <c r="J82" t="s">
        <v>37</v>
      </c>
      <c r="K82" t="s">
        <v>38</v>
      </c>
      <c r="L82">
        <v>0</v>
      </c>
      <c r="M82">
        <v>0</v>
      </c>
      <c r="N82">
        <v>0</v>
      </c>
      <c r="O82">
        <v>0</v>
      </c>
      <c r="P82">
        <v>0</v>
      </c>
      <c r="Q82">
        <v>546</v>
      </c>
      <c r="R82">
        <v>0.76</v>
      </c>
      <c r="S82" t="s">
        <v>27</v>
      </c>
      <c r="T82" s="1">
        <v>45401</v>
      </c>
      <c r="U82">
        <v>0</v>
      </c>
    </row>
    <row r="83" spans="1:21" x14ac:dyDescent="0.25">
      <c r="A83" t="s">
        <v>130</v>
      </c>
      <c r="B83">
        <v>39</v>
      </c>
      <c r="C83" t="s">
        <v>21</v>
      </c>
      <c r="D83" t="s">
        <v>56</v>
      </c>
      <c r="E83" t="s">
        <v>31</v>
      </c>
      <c r="F83" t="s">
        <v>63</v>
      </c>
      <c r="G83">
        <v>5687.94</v>
      </c>
      <c r="H83">
        <v>4855.28</v>
      </c>
      <c r="I83">
        <v>8628.48</v>
      </c>
      <c r="J83" t="s">
        <v>37</v>
      </c>
      <c r="K83" t="s">
        <v>38</v>
      </c>
      <c r="L83">
        <v>0</v>
      </c>
      <c r="M83">
        <v>0</v>
      </c>
      <c r="N83">
        <v>0</v>
      </c>
      <c r="O83">
        <v>0</v>
      </c>
      <c r="P83">
        <v>0</v>
      </c>
      <c r="Q83">
        <v>607</v>
      </c>
      <c r="R83">
        <v>0.13</v>
      </c>
      <c r="S83" t="s">
        <v>47</v>
      </c>
      <c r="T83" s="1">
        <v>44870</v>
      </c>
      <c r="U83">
        <v>0</v>
      </c>
    </row>
    <row r="84" spans="1:21" x14ac:dyDescent="0.25">
      <c r="A84" t="s">
        <v>131</v>
      </c>
      <c r="B84">
        <v>32</v>
      </c>
      <c r="C84" t="s">
        <v>21</v>
      </c>
      <c r="D84" t="s">
        <v>35</v>
      </c>
      <c r="E84" t="s">
        <v>31</v>
      </c>
      <c r="F84" t="s">
        <v>23</v>
      </c>
      <c r="G84">
        <v>5554.16</v>
      </c>
      <c r="H84">
        <v>4008.27</v>
      </c>
      <c r="I84">
        <v>34381.83</v>
      </c>
      <c r="J84" t="s">
        <v>37</v>
      </c>
      <c r="K84" t="s">
        <v>38</v>
      </c>
      <c r="L84">
        <v>0</v>
      </c>
      <c r="M84">
        <v>0</v>
      </c>
      <c r="N84">
        <v>0</v>
      </c>
      <c r="O84">
        <v>0</v>
      </c>
      <c r="P84">
        <v>0</v>
      </c>
      <c r="Q84">
        <v>551</v>
      </c>
      <c r="R84">
        <v>0.52</v>
      </c>
      <c r="S84" t="s">
        <v>72</v>
      </c>
      <c r="T84" s="1">
        <v>44748</v>
      </c>
      <c r="U84">
        <v>0</v>
      </c>
    </row>
    <row r="85" spans="1:21" x14ac:dyDescent="0.25">
      <c r="A85" t="s">
        <v>132</v>
      </c>
      <c r="B85">
        <v>62</v>
      </c>
      <c r="C85" t="s">
        <v>29</v>
      </c>
      <c r="D85" t="s">
        <v>22</v>
      </c>
      <c r="E85" t="s">
        <v>51</v>
      </c>
      <c r="F85" t="s">
        <v>24</v>
      </c>
      <c r="G85">
        <v>5986.51</v>
      </c>
      <c r="H85">
        <v>3801.64</v>
      </c>
      <c r="I85">
        <v>29298.23</v>
      </c>
      <c r="J85" t="s">
        <v>37</v>
      </c>
      <c r="K85" t="s">
        <v>38</v>
      </c>
      <c r="L85">
        <v>0</v>
      </c>
      <c r="M85">
        <v>0</v>
      </c>
      <c r="N85">
        <v>0</v>
      </c>
      <c r="O85">
        <v>0</v>
      </c>
      <c r="P85">
        <v>0</v>
      </c>
      <c r="Q85">
        <v>566</v>
      </c>
      <c r="R85">
        <v>0.41</v>
      </c>
      <c r="S85" t="s">
        <v>27</v>
      </c>
      <c r="T85" s="1">
        <v>45438</v>
      </c>
      <c r="U85">
        <v>0</v>
      </c>
    </row>
    <row r="86" spans="1:21" x14ac:dyDescent="0.25">
      <c r="A86" t="s">
        <v>133</v>
      </c>
      <c r="B86">
        <v>34</v>
      </c>
      <c r="C86" t="s">
        <v>29</v>
      </c>
      <c r="D86" t="s">
        <v>41</v>
      </c>
      <c r="E86" t="s">
        <v>23</v>
      </c>
      <c r="F86" t="s">
        <v>24</v>
      </c>
      <c r="G86">
        <v>6164.37</v>
      </c>
      <c r="H86">
        <v>3328.14</v>
      </c>
      <c r="I86">
        <v>32328.959999999999</v>
      </c>
      <c r="J86" t="s">
        <v>37</v>
      </c>
      <c r="K86" t="s">
        <v>38</v>
      </c>
      <c r="L86">
        <v>0</v>
      </c>
      <c r="M86">
        <v>0</v>
      </c>
      <c r="N86">
        <v>0</v>
      </c>
      <c r="O86">
        <v>0</v>
      </c>
      <c r="P86">
        <v>0</v>
      </c>
      <c r="Q86">
        <v>574</v>
      </c>
      <c r="R86">
        <v>0.44</v>
      </c>
      <c r="S86" t="s">
        <v>47</v>
      </c>
      <c r="T86" s="1">
        <v>44532</v>
      </c>
      <c r="U86">
        <v>0</v>
      </c>
    </row>
    <row r="87" spans="1:21" x14ac:dyDescent="0.25">
      <c r="A87" t="s">
        <v>134</v>
      </c>
      <c r="B87">
        <v>39</v>
      </c>
      <c r="C87" t="s">
        <v>21</v>
      </c>
      <c r="D87" t="s">
        <v>56</v>
      </c>
      <c r="E87" t="s">
        <v>31</v>
      </c>
      <c r="F87" t="s">
        <v>52</v>
      </c>
      <c r="G87">
        <v>5745.52</v>
      </c>
      <c r="H87">
        <v>4242.63</v>
      </c>
      <c r="I87">
        <v>35791.089999999997</v>
      </c>
      <c r="J87" t="s">
        <v>25</v>
      </c>
      <c r="K87" t="s">
        <v>33</v>
      </c>
      <c r="L87">
        <v>417304.67</v>
      </c>
      <c r="M87">
        <v>240</v>
      </c>
      <c r="N87">
        <v>7398.38</v>
      </c>
      <c r="O87">
        <v>20.94</v>
      </c>
      <c r="P87">
        <v>1.29</v>
      </c>
      <c r="Q87">
        <v>364</v>
      </c>
      <c r="R87">
        <v>0.52</v>
      </c>
      <c r="S87" t="s">
        <v>27</v>
      </c>
      <c r="T87" s="1">
        <v>44882</v>
      </c>
      <c r="U87">
        <v>1</v>
      </c>
    </row>
    <row r="88" spans="1:21" x14ac:dyDescent="0.25">
      <c r="A88" t="s">
        <v>135</v>
      </c>
      <c r="B88">
        <v>31</v>
      </c>
      <c r="C88" t="s">
        <v>30</v>
      </c>
      <c r="D88" t="s">
        <v>41</v>
      </c>
      <c r="E88" t="s">
        <v>23</v>
      </c>
      <c r="F88" t="s">
        <v>44</v>
      </c>
      <c r="G88">
        <v>3171.39</v>
      </c>
      <c r="H88">
        <v>2050.8000000000002</v>
      </c>
      <c r="I88">
        <v>28345.82</v>
      </c>
      <c r="J88" t="s">
        <v>37</v>
      </c>
      <c r="K88" t="s">
        <v>38</v>
      </c>
      <c r="L88">
        <v>0</v>
      </c>
      <c r="M88">
        <v>0</v>
      </c>
      <c r="N88">
        <v>0</v>
      </c>
      <c r="O88">
        <v>0</v>
      </c>
      <c r="P88">
        <v>0</v>
      </c>
      <c r="Q88">
        <v>767</v>
      </c>
      <c r="R88">
        <v>0.74</v>
      </c>
      <c r="S88" t="s">
        <v>39</v>
      </c>
      <c r="T88" s="1">
        <v>44925</v>
      </c>
      <c r="U88">
        <v>0</v>
      </c>
    </row>
    <row r="89" spans="1:21" x14ac:dyDescent="0.25">
      <c r="A89" t="s">
        <v>136</v>
      </c>
      <c r="B89">
        <v>27</v>
      </c>
      <c r="C89" t="s">
        <v>21</v>
      </c>
      <c r="D89" t="s">
        <v>41</v>
      </c>
      <c r="E89" t="s">
        <v>31</v>
      </c>
      <c r="F89" t="s">
        <v>36</v>
      </c>
      <c r="G89">
        <v>3456.88</v>
      </c>
      <c r="H89">
        <v>2438.0500000000002</v>
      </c>
      <c r="I89">
        <v>40232.97</v>
      </c>
      <c r="J89" t="s">
        <v>37</v>
      </c>
      <c r="K89" t="s">
        <v>38</v>
      </c>
      <c r="L89">
        <v>0</v>
      </c>
      <c r="M89">
        <v>0</v>
      </c>
      <c r="N89">
        <v>0</v>
      </c>
      <c r="O89">
        <v>0</v>
      </c>
      <c r="P89">
        <v>0</v>
      </c>
      <c r="Q89">
        <v>628</v>
      </c>
      <c r="R89">
        <v>0.97</v>
      </c>
      <c r="S89" t="s">
        <v>72</v>
      </c>
      <c r="T89" s="1">
        <v>44674</v>
      </c>
      <c r="U89">
        <v>0</v>
      </c>
    </row>
    <row r="90" spans="1:21" x14ac:dyDescent="0.25">
      <c r="A90" t="s">
        <v>137</v>
      </c>
      <c r="B90">
        <v>46</v>
      </c>
      <c r="C90" t="s">
        <v>29</v>
      </c>
      <c r="D90" t="s">
        <v>30</v>
      </c>
      <c r="E90" t="s">
        <v>31</v>
      </c>
      <c r="F90" t="s">
        <v>52</v>
      </c>
      <c r="G90">
        <v>6186.72</v>
      </c>
      <c r="H90">
        <v>5386.57</v>
      </c>
      <c r="I90">
        <v>64041.22</v>
      </c>
      <c r="J90" t="s">
        <v>25</v>
      </c>
      <c r="K90" t="s">
        <v>33</v>
      </c>
      <c r="L90">
        <v>73093.37</v>
      </c>
      <c r="M90">
        <v>12</v>
      </c>
      <c r="N90">
        <v>7118.11</v>
      </c>
      <c r="O90">
        <v>29.79</v>
      </c>
      <c r="P90">
        <v>1.1499999999999999</v>
      </c>
      <c r="Q90">
        <v>313</v>
      </c>
      <c r="R90">
        <v>0.86</v>
      </c>
      <c r="S90" t="s">
        <v>72</v>
      </c>
      <c r="T90" s="1">
        <v>45695</v>
      </c>
      <c r="U90">
        <v>1</v>
      </c>
    </row>
    <row r="91" spans="1:21" x14ac:dyDescent="0.25">
      <c r="A91" t="s">
        <v>138</v>
      </c>
      <c r="B91">
        <v>26</v>
      </c>
      <c r="C91" t="s">
        <v>29</v>
      </c>
      <c r="D91" t="s">
        <v>22</v>
      </c>
      <c r="E91" t="s">
        <v>23</v>
      </c>
      <c r="F91" t="s">
        <v>23</v>
      </c>
      <c r="G91">
        <v>1470.82</v>
      </c>
      <c r="H91">
        <v>1111.0999999999999</v>
      </c>
      <c r="I91">
        <v>13633.89</v>
      </c>
      <c r="J91" t="s">
        <v>37</v>
      </c>
      <c r="K91" t="s">
        <v>38</v>
      </c>
      <c r="L91">
        <v>0</v>
      </c>
      <c r="M91">
        <v>0</v>
      </c>
      <c r="N91">
        <v>0</v>
      </c>
      <c r="O91">
        <v>0</v>
      </c>
      <c r="P91">
        <v>0</v>
      </c>
      <c r="Q91">
        <v>495</v>
      </c>
      <c r="R91">
        <v>0.77</v>
      </c>
      <c r="S91" t="s">
        <v>39</v>
      </c>
      <c r="T91" s="1">
        <v>45294</v>
      </c>
      <c r="U91">
        <v>0</v>
      </c>
    </row>
    <row r="92" spans="1:21" x14ac:dyDescent="0.25">
      <c r="A92" t="s">
        <v>139</v>
      </c>
      <c r="B92">
        <v>18</v>
      </c>
      <c r="C92" t="s">
        <v>29</v>
      </c>
      <c r="D92" t="s">
        <v>41</v>
      </c>
      <c r="E92" t="s">
        <v>31</v>
      </c>
      <c r="F92" t="s">
        <v>42</v>
      </c>
      <c r="G92">
        <v>988.34</v>
      </c>
      <c r="H92">
        <v>397.15</v>
      </c>
      <c r="I92">
        <v>1204.53</v>
      </c>
      <c r="J92" t="s">
        <v>37</v>
      </c>
      <c r="K92" t="s">
        <v>38</v>
      </c>
      <c r="L92">
        <v>0</v>
      </c>
      <c r="M92">
        <v>0</v>
      </c>
      <c r="N92">
        <v>0</v>
      </c>
      <c r="O92">
        <v>0</v>
      </c>
      <c r="P92">
        <v>0</v>
      </c>
      <c r="Q92">
        <v>770</v>
      </c>
      <c r="R92">
        <v>0.1</v>
      </c>
      <c r="S92" t="s">
        <v>39</v>
      </c>
      <c r="T92" s="1">
        <v>45457</v>
      </c>
      <c r="U92">
        <v>0</v>
      </c>
    </row>
    <row r="93" spans="1:21" x14ac:dyDescent="0.25">
      <c r="A93" t="s">
        <v>140</v>
      </c>
      <c r="B93">
        <v>57</v>
      </c>
      <c r="C93" t="s">
        <v>29</v>
      </c>
      <c r="D93" t="s">
        <v>30</v>
      </c>
      <c r="E93" t="s">
        <v>31</v>
      </c>
      <c r="F93" t="s">
        <v>32</v>
      </c>
      <c r="G93">
        <v>4452.33</v>
      </c>
      <c r="H93">
        <v>2215.2399999999998</v>
      </c>
      <c r="I93">
        <v>51864.38</v>
      </c>
      <c r="J93" t="s">
        <v>37</v>
      </c>
      <c r="K93" t="s">
        <v>38</v>
      </c>
      <c r="L93">
        <v>0</v>
      </c>
      <c r="M93">
        <v>0</v>
      </c>
      <c r="N93">
        <v>0</v>
      </c>
      <c r="O93">
        <v>0</v>
      </c>
      <c r="P93">
        <v>0</v>
      </c>
      <c r="Q93">
        <v>365</v>
      </c>
      <c r="R93">
        <v>0.97</v>
      </c>
      <c r="S93" t="s">
        <v>47</v>
      </c>
      <c r="T93" s="1">
        <v>44977</v>
      </c>
      <c r="U93">
        <v>0</v>
      </c>
    </row>
    <row r="94" spans="1:21" x14ac:dyDescent="0.25">
      <c r="A94" t="s">
        <v>141</v>
      </c>
      <c r="B94">
        <v>39</v>
      </c>
      <c r="C94" t="s">
        <v>29</v>
      </c>
      <c r="D94" t="s">
        <v>41</v>
      </c>
      <c r="E94" t="s">
        <v>49</v>
      </c>
      <c r="F94" t="s">
        <v>24</v>
      </c>
      <c r="G94">
        <v>5486.26</v>
      </c>
      <c r="H94">
        <v>3700.89</v>
      </c>
      <c r="I94">
        <v>53955.5</v>
      </c>
      <c r="J94" t="s">
        <v>37</v>
      </c>
      <c r="K94" t="s">
        <v>38</v>
      </c>
      <c r="L94">
        <v>0</v>
      </c>
      <c r="M94">
        <v>0</v>
      </c>
      <c r="N94">
        <v>0</v>
      </c>
      <c r="O94">
        <v>0</v>
      </c>
      <c r="P94">
        <v>0</v>
      </c>
      <c r="Q94">
        <v>805</v>
      </c>
      <c r="R94">
        <v>0.82</v>
      </c>
      <c r="S94" t="s">
        <v>27</v>
      </c>
      <c r="T94" s="1">
        <v>45738</v>
      </c>
      <c r="U94">
        <v>0</v>
      </c>
    </row>
    <row r="95" spans="1:21" x14ac:dyDescent="0.25">
      <c r="A95" t="s">
        <v>142</v>
      </c>
      <c r="B95">
        <v>35</v>
      </c>
      <c r="C95" t="s">
        <v>29</v>
      </c>
      <c r="D95" t="s">
        <v>41</v>
      </c>
      <c r="E95" t="s">
        <v>31</v>
      </c>
      <c r="F95" t="s">
        <v>36</v>
      </c>
      <c r="G95">
        <v>2584.34</v>
      </c>
      <c r="H95">
        <v>819.13</v>
      </c>
      <c r="I95">
        <v>7678.95</v>
      </c>
      <c r="J95" t="s">
        <v>25</v>
      </c>
      <c r="K95" t="s">
        <v>26</v>
      </c>
      <c r="L95">
        <v>345413.13</v>
      </c>
      <c r="M95">
        <v>300</v>
      </c>
      <c r="N95">
        <v>4737.2</v>
      </c>
      <c r="O95">
        <v>16.16</v>
      </c>
      <c r="P95">
        <v>1.83</v>
      </c>
      <c r="Q95">
        <v>410</v>
      </c>
      <c r="R95">
        <v>0.25</v>
      </c>
      <c r="S95" t="s">
        <v>72</v>
      </c>
      <c r="T95" s="1">
        <v>45116</v>
      </c>
      <c r="U95">
        <v>1</v>
      </c>
    </row>
    <row r="96" spans="1:21" x14ac:dyDescent="0.25">
      <c r="A96" t="s">
        <v>143</v>
      </c>
      <c r="B96">
        <v>66</v>
      </c>
      <c r="C96" t="s">
        <v>21</v>
      </c>
      <c r="D96" t="s">
        <v>35</v>
      </c>
      <c r="E96" t="s">
        <v>31</v>
      </c>
      <c r="F96" t="s">
        <v>36</v>
      </c>
      <c r="G96">
        <v>2944.19</v>
      </c>
      <c r="H96">
        <v>1002.59</v>
      </c>
      <c r="I96">
        <v>15043.08</v>
      </c>
      <c r="J96" t="s">
        <v>37</v>
      </c>
      <c r="K96" t="s">
        <v>38</v>
      </c>
      <c r="L96">
        <v>0</v>
      </c>
      <c r="M96">
        <v>0</v>
      </c>
      <c r="N96">
        <v>0</v>
      </c>
      <c r="O96">
        <v>0</v>
      </c>
      <c r="P96">
        <v>0</v>
      </c>
      <c r="Q96">
        <v>601</v>
      </c>
      <c r="R96">
        <v>0.43</v>
      </c>
      <c r="S96" t="s">
        <v>30</v>
      </c>
      <c r="T96" s="1">
        <v>45783</v>
      </c>
      <c r="U96">
        <v>0</v>
      </c>
    </row>
    <row r="97" spans="1:21" x14ac:dyDescent="0.25">
      <c r="A97" t="s">
        <v>144</v>
      </c>
      <c r="B97">
        <v>58</v>
      </c>
      <c r="C97" t="s">
        <v>21</v>
      </c>
      <c r="D97" t="s">
        <v>35</v>
      </c>
      <c r="E97" t="s">
        <v>31</v>
      </c>
      <c r="F97" t="s">
        <v>42</v>
      </c>
      <c r="G97">
        <v>1669.6</v>
      </c>
      <c r="H97">
        <v>1135.0999999999999</v>
      </c>
      <c r="I97">
        <v>11963.22</v>
      </c>
      <c r="J97" t="s">
        <v>37</v>
      </c>
      <c r="K97" t="s">
        <v>38</v>
      </c>
      <c r="L97">
        <v>0</v>
      </c>
      <c r="M97">
        <v>0</v>
      </c>
      <c r="N97">
        <v>0</v>
      </c>
      <c r="O97">
        <v>0</v>
      </c>
      <c r="P97">
        <v>0</v>
      </c>
      <c r="Q97">
        <v>314</v>
      </c>
      <c r="R97">
        <v>0.6</v>
      </c>
      <c r="S97" t="s">
        <v>27</v>
      </c>
      <c r="T97" s="1">
        <v>45727</v>
      </c>
      <c r="U97">
        <v>0</v>
      </c>
    </row>
    <row r="98" spans="1:21" x14ac:dyDescent="0.25">
      <c r="A98" t="s">
        <v>145</v>
      </c>
      <c r="B98">
        <v>56</v>
      </c>
      <c r="C98" t="s">
        <v>30</v>
      </c>
      <c r="D98" t="s">
        <v>35</v>
      </c>
      <c r="E98" t="s">
        <v>49</v>
      </c>
      <c r="F98" t="s">
        <v>42</v>
      </c>
      <c r="G98">
        <v>994.19</v>
      </c>
      <c r="H98">
        <v>404.77</v>
      </c>
      <c r="I98">
        <v>1348.3</v>
      </c>
      <c r="J98" t="s">
        <v>37</v>
      </c>
      <c r="K98" t="s">
        <v>38</v>
      </c>
      <c r="L98">
        <v>0</v>
      </c>
      <c r="M98">
        <v>0</v>
      </c>
      <c r="N98">
        <v>0</v>
      </c>
      <c r="O98">
        <v>0</v>
      </c>
      <c r="P98">
        <v>0</v>
      </c>
      <c r="Q98">
        <v>348</v>
      </c>
      <c r="R98">
        <v>0.11</v>
      </c>
      <c r="S98" t="s">
        <v>27</v>
      </c>
      <c r="T98" s="1">
        <v>45533</v>
      </c>
      <c r="U98">
        <v>0</v>
      </c>
    </row>
    <row r="99" spans="1:21" x14ac:dyDescent="0.25">
      <c r="A99" t="s">
        <v>146</v>
      </c>
      <c r="B99">
        <v>48</v>
      </c>
      <c r="C99" t="s">
        <v>21</v>
      </c>
      <c r="D99" t="s">
        <v>35</v>
      </c>
      <c r="E99" t="s">
        <v>31</v>
      </c>
      <c r="F99" t="s">
        <v>36</v>
      </c>
      <c r="G99">
        <v>5230.8900000000003</v>
      </c>
      <c r="H99">
        <v>2921.4</v>
      </c>
      <c r="I99">
        <v>41969.01</v>
      </c>
      <c r="J99" t="s">
        <v>37</v>
      </c>
      <c r="K99" t="s">
        <v>38</v>
      </c>
      <c r="L99">
        <v>0</v>
      </c>
      <c r="M99">
        <v>0</v>
      </c>
      <c r="N99">
        <v>0</v>
      </c>
      <c r="O99">
        <v>0</v>
      </c>
      <c r="P99">
        <v>0</v>
      </c>
      <c r="Q99">
        <v>530</v>
      </c>
      <c r="R99">
        <v>0.67</v>
      </c>
      <c r="S99" t="s">
        <v>27</v>
      </c>
      <c r="T99" s="1">
        <v>44425</v>
      </c>
      <c r="U99">
        <v>0</v>
      </c>
    </row>
    <row r="100" spans="1:21" x14ac:dyDescent="0.25">
      <c r="A100" t="s">
        <v>147</v>
      </c>
      <c r="B100">
        <v>56</v>
      </c>
      <c r="C100" t="s">
        <v>21</v>
      </c>
      <c r="D100" t="s">
        <v>35</v>
      </c>
      <c r="E100" t="s">
        <v>51</v>
      </c>
      <c r="F100" t="s">
        <v>23</v>
      </c>
      <c r="G100">
        <v>3647.27</v>
      </c>
      <c r="H100">
        <v>1642.4</v>
      </c>
      <c r="I100">
        <v>39080.31</v>
      </c>
      <c r="J100" t="s">
        <v>37</v>
      </c>
      <c r="K100" t="s">
        <v>38</v>
      </c>
      <c r="L100">
        <v>0</v>
      </c>
      <c r="M100">
        <v>0</v>
      </c>
      <c r="N100">
        <v>0</v>
      </c>
      <c r="O100">
        <v>0</v>
      </c>
      <c r="P100">
        <v>0</v>
      </c>
      <c r="Q100">
        <v>670</v>
      </c>
      <c r="R100">
        <v>0.89</v>
      </c>
      <c r="S100" t="s">
        <v>30</v>
      </c>
      <c r="T100" s="1">
        <v>45226</v>
      </c>
      <c r="U100">
        <v>0</v>
      </c>
    </row>
    <row r="101" spans="1:21" x14ac:dyDescent="0.25">
      <c r="A101" t="s">
        <v>148</v>
      </c>
      <c r="B101">
        <v>49</v>
      </c>
      <c r="C101" t="s">
        <v>21</v>
      </c>
      <c r="D101" t="s">
        <v>22</v>
      </c>
      <c r="E101" t="s">
        <v>31</v>
      </c>
      <c r="F101" t="s">
        <v>42</v>
      </c>
      <c r="G101">
        <v>2038.11</v>
      </c>
      <c r="H101">
        <v>1511.44</v>
      </c>
      <c r="I101">
        <v>4345.2</v>
      </c>
      <c r="J101" t="s">
        <v>37</v>
      </c>
      <c r="K101" t="s">
        <v>38</v>
      </c>
      <c r="L101">
        <v>0</v>
      </c>
      <c r="M101">
        <v>0</v>
      </c>
      <c r="N101">
        <v>0</v>
      </c>
      <c r="O101">
        <v>0</v>
      </c>
      <c r="P101">
        <v>0</v>
      </c>
      <c r="Q101">
        <v>607</v>
      </c>
      <c r="R101">
        <v>0.18</v>
      </c>
      <c r="S101" t="s">
        <v>27</v>
      </c>
      <c r="T101" s="1">
        <v>45826</v>
      </c>
      <c r="U101">
        <v>0</v>
      </c>
    </row>
    <row r="102" spans="1:21" x14ac:dyDescent="0.25">
      <c r="A102" t="s">
        <v>149</v>
      </c>
      <c r="B102">
        <v>41</v>
      </c>
      <c r="C102" t="s">
        <v>29</v>
      </c>
      <c r="D102" t="s">
        <v>22</v>
      </c>
      <c r="E102" t="s">
        <v>31</v>
      </c>
      <c r="F102" t="s">
        <v>52</v>
      </c>
      <c r="G102">
        <v>5398.42</v>
      </c>
      <c r="H102">
        <v>2584.0700000000002</v>
      </c>
      <c r="I102">
        <v>42066.1</v>
      </c>
      <c r="J102" t="s">
        <v>25</v>
      </c>
      <c r="K102" t="s">
        <v>26</v>
      </c>
      <c r="L102">
        <v>90125.35</v>
      </c>
      <c r="M102">
        <v>60</v>
      </c>
      <c r="N102">
        <v>2121.91</v>
      </c>
      <c r="O102">
        <v>14.53</v>
      </c>
      <c r="P102">
        <v>0.39</v>
      </c>
      <c r="Q102">
        <v>678</v>
      </c>
      <c r="R102">
        <v>0.65</v>
      </c>
      <c r="S102" t="s">
        <v>27</v>
      </c>
      <c r="T102" s="1">
        <v>45767</v>
      </c>
      <c r="U102">
        <v>0</v>
      </c>
    </row>
    <row r="103" spans="1:21" x14ac:dyDescent="0.25">
      <c r="A103" t="s">
        <v>150</v>
      </c>
      <c r="B103">
        <v>22</v>
      </c>
      <c r="C103" t="s">
        <v>21</v>
      </c>
      <c r="D103" t="s">
        <v>56</v>
      </c>
      <c r="E103" t="s">
        <v>31</v>
      </c>
      <c r="F103" t="s">
        <v>42</v>
      </c>
      <c r="G103">
        <v>5938.41</v>
      </c>
      <c r="H103">
        <v>3208.14</v>
      </c>
      <c r="I103">
        <v>15489.8</v>
      </c>
      <c r="J103" t="s">
        <v>25</v>
      </c>
      <c r="K103" t="s">
        <v>26</v>
      </c>
      <c r="L103">
        <v>400545.71</v>
      </c>
      <c r="M103">
        <v>360</v>
      </c>
      <c r="N103">
        <v>8948.67</v>
      </c>
      <c r="O103">
        <v>26.8</v>
      </c>
      <c r="P103">
        <v>1.51</v>
      </c>
      <c r="Q103">
        <v>418</v>
      </c>
      <c r="R103">
        <v>0.22</v>
      </c>
      <c r="S103" t="s">
        <v>47</v>
      </c>
      <c r="T103" s="1">
        <v>44740</v>
      </c>
      <c r="U103">
        <v>1</v>
      </c>
    </row>
    <row r="104" spans="1:21" x14ac:dyDescent="0.25">
      <c r="A104" t="s">
        <v>151</v>
      </c>
      <c r="B104">
        <v>67</v>
      </c>
      <c r="C104" t="s">
        <v>21</v>
      </c>
      <c r="D104" t="s">
        <v>41</v>
      </c>
      <c r="E104" t="s">
        <v>31</v>
      </c>
      <c r="F104" t="s">
        <v>52</v>
      </c>
      <c r="G104">
        <v>2002.7</v>
      </c>
      <c r="H104">
        <v>1410.01</v>
      </c>
      <c r="I104">
        <v>6768.77</v>
      </c>
      <c r="J104" t="s">
        <v>37</v>
      </c>
      <c r="K104" t="s">
        <v>38</v>
      </c>
      <c r="L104">
        <v>0</v>
      </c>
      <c r="M104">
        <v>0</v>
      </c>
      <c r="N104">
        <v>0</v>
      </c>
      <c r="O104">
        <v>0</v>
      </c>
      <c r="P104">
        <v>0</v>
      </c>
      <c r="Q104">
        <v>314</v>
      </c>
      <c r="R104">
        <v>0.28000000000000003</v>
      </c>
      <c r="S104" t="s">
        <v>47</v>
      </c>
      <c r="T104" s="1">
        <v>44738</v>
      </c>
      <c r="U104">
        <v>0</v>
      </c>
    </row>
    <row r="105" spans="1:21" x14ac:dyDescent="0.25">
      <c r="A105" t="s">
        <v>152</v>
      </c>
      <c r="B105">
        <v>61</v>
      </c>
      <c r="C105" t="s">
        <v>21</v>
      </c>
      <c r="D105" t="s">
        <v>22</v>
      </c>
      <c r="E105" t="s">
        <v>31</v>
      </c>
      <c r="F105" t="s">
        <v>24</v>
      </c>
      <c r="G105">
        <v>3393.77</v>
      </c>
      <c r="H105">
        <v>3050.72</v>
      </c>
      <c r="I105">
        <v>5485.53</v>
      </c>
      <c r="J105" t="s">
        <v>25</v>
      </c>
      <c r="K105" t="s">
        <v>26</v>
      </c>
      <c r="L105">
        <v>91132.96</v>
      </c>
      <c r="M105">
        <v>60</v>
      </c>
      <c r="N105">
        <v>1704.8</v>
      </c>
      <c r="O105">
        <v>4.6399999999999997</v>
      </c>
      <c r="P105">
        <v>0.5</v>
      </c>
      <c r="Q105">
        <v>418</v>
      </c>
      <c r="R105">
        <v>0.13</v>
      </c>
      <c r="S105" t="s">
        <v>72</v>
      </c>
      <c r="T105" s="1">
        <v>44621</v>
      </c>
      <c r="U105">
        <v>1</v>
      </c>
    </row>
    <row r="106" spans="1:21" x14ac:dyDescent="0.25">
      <c r="A106" t="s">
        <v>153</v>
      </c>
      <c r="B106">
        <v>56</v>
      </c>
      <c r="C106" t="s">
        <v>21</v>
      </c>
      <c r="D106" t="s">
        <v>35</v>
      </c>
      <c r="E106" t="s">
        <v>31</v>
      </c>
      <c r="F106" t="s">
        <v>23</v>
      </c>
      <c r="G106">
        <v>3262.87</v>
      </c>
      <c r="H106">
        <v>2102.4299999999998</v>
      </c>
      <c r="I106">
        <v>14448.89</v>
      </c>
      <c r="J106" t="s">
        <v>25</v>
      </c>
      <c r="K106" t="s">
        <v>33</v>
      </c>
      <c r="L106">
        <v>497531.32</v>
      </c>
      <c r="M106">
        <v>180</v>
      </c>
      <c r="N106">
        <v>6145.14</v>
      </c>
      <c r="O106">
        <v>12.54</v>
      </c>
      <c r="P106">
        <v>1.88</v>
      </c>
      <c r="Q106">
        <v>683</v>
      </c>
      <c r="R106">
        <v>0.37</v>
      </c>
      <c r="S106" t="s">
        <v>72</v>
      </c>
      <c r="T106" s="1">
        <v>45631</v>
      </c>
      <c r="U106">
        <v>1</v>
      </c>
    </row>
    <row r="107" spans="1:21" x14ac:dyDescent="0.25">
      <c r="A107" t="s">
        <v>154</v>
      </c>
      <c r="B107">
        <v>54</v>
      </c>
      <c r="C107" t="s">
        <v>21</v>
      </c>
      <c r="D107" t="s">
        <v>22</v>
      </c>
      <c r="E107" t="s">
        <v>31</v>
      </c>
      <c r="F107" t="s">
        <v>52</v>
      </c>
      <c r="G107">
        <v>4865.7</v>
      </c>
      <c r="H107">
        <v>3628.41</v>
      </c>
      <c r="I107">
        <v>19077.32</v>
      </c>
      <c r="J107" t="s">
        <v>37</v>
      </c>
      <c r="K107" t="s">
        <v>38</v>
      </c>
      <c r="L107">
        <v>0</v>
      </c>
      <c r="M107">
        <v>0</v>
      </c>
      <c r="N107">
        <v>0</v>
      </c>
      <c r="O107">
        <v>0</v>
      </c>
      <c r="P107">
        <v>0</v>
      </c>
      <c r="Q107">
        <v>671</v>
      </c>
      <c r="R107">
        <v>0.33</v>
      </c>
      <c r="S107" t="s">
        <v>39</v>
      </c>
      <c r="T107" s="1">
        <v>44967</v>
      </c>
      <c r="U107">
        <v>0</v>
      </c>
    </row>
    <row r="108" spans="1:21" x14ac:dyDescent="0.25">
      <c r="A108" t="s">
        <v>155</v>
      </c>
      <c r="B108">
        <v>52</v>
      </c>
      <c r="C108" t="s">
        <v>29</v>
      </c>
      <c r="D108" t="s">
        <v>35</v>
      </c>
      <c r="E108" t="s">
        <v>49</v>
      </c>
      <c r="F108" t="s">
        <v>36</v>
      </c>
      <c r="G108">
        <v>1707.95</v>
      </c>
      <c r="H108">
        <v>1135.8399999999999</v>
      </c>
      <c r="I108">
        <v>10206.030000000001</v>
      </c>
      <c r="J108" t="s">
        <v>37</v>
      </c>
      <c r="K108" t="s">
        <v>38</v>
      </c>
      <c r="L108">
        <v>0</v>
      </c>
      <c r="M108">
        <v>0</v>
      </c>
      <c r="N108">
        <v>0</v>
      </c>
      <c r="O108">
        <v>0</v>
      </c>
      <c r="P108">
        <v>0</v>
      </c>
      <c r="Q108">
        <v>394</v>
      </c>
      <c r="R108">
        <v>0.5</v>
      </c>
      <c r="S108" t="s">
        <v>27</v>
      </c>
      <c r="T108" s="1">
        <v>44647</v>
      </c>
      <c r="U108">
        <v>0</v>
      </c>
    </row>
    <row r="109" spans="1:21" x14ac:dyDescent="0.25">
      <c r="A109" t="s">
        <v>156</v>
      </c>
      <c r="B109">
        <v>36</v>
      </c>
      <c r="C109" t="s">
        <v>29</v>
      </c>
      <c r="D109" t="s">
        <v>41</v>
      </c>
      <c r="E109" t="s">
        <v>31</v>
      </c>
      <c r="F109" t="s">
        <v>49</v>
      </c>
      <c r="G109">
        <v>6074.33</v>
      </c>
      <c r="H109">
        <v>2402.39</v>
      </c>
      <c r="I109">
        <v>18177.18</v>
      </c>
      <c r="J109" t="s">
        <v>37</v>
      </c>
      <c r="K109" t="s">
        <v>38</v>
      </c>
      <c r="L109">
        <v>0</v>
      </c>
      <c r="M109">
        <v>0</v>
      </c>
      <c r="N109">
        <v>0</v>
      </c>
      <c r="O109">
        <v>0</v>
      </c>
      <c r="P109">
        <v>0</v>
      </c>
      <c r="Q109">
        <v>328</v>
      </c>
      <c r="R109">
        <v>0.25</v>
      </c>
      <c r="S109" t="s">
        <v>27</v>
      </c>
      <c r="T109" s="1">
        <v>44619</v>
      </c>
      <c r="U109">
        <v>0</v>
      </c>
    </row>
    <row r="110" spans="1:21" x14ac:dyDescent="0.25">
      <c r="A110" t="s">
        <v>157</v>
      </c>
      <c r="B110">
        <v>29</v>
      </c>
      <c r="C110" t="s">
        <v>29</v>
      </c>
      <c r="D110" t="s">
        <v>35</v>
      </c>
      <c r="E110" t="s">
        <v>49</v>
      </c>
      <c r="F110" t="s">
        <v>44</v>
      </c>
      <c r="G110">
        <v>6208.96</v>
      </c>
      <c r="H110">
        <v>5312.41</v>
      </c>
      <c r="I110">
        <v>25010.67</v>
      </c>
      <c r="J110" t="s">
        <v>25</v>
      </c>
      <c r="K110" t="s">
        <v>45</v>
      </c>
      <c r="L110">
        <v>24093.66</v>
      </c>
      <c r="M110">
        <v>360</v>
      </c>
      <c r="N110">
        <v>533.88</v>
      </c>
      <c r="O110">
        <v>26.58</v>
      </c>
      <c r="P110">
        <v>0.09</v>
      </c>
      <c r="Q110">
        <v>410</v>
      </c>
      <c r="R110">
        <v>0.34</v>
      </c>
      <c r="S110" t="s">
        <v>72</v>
      </c>
      <c r="T110" s="1">
        <v>45464</v>
      </c>
      <c r="U110">
        <v>0</v>
      </c>
    </row>
    <row r="111" spans="1:21" x14ac:dyDescent="0.25">
      <c r="A111" t="s">
        <v>158</v>
      </c>
      <c r="B111">
        <v>69</v>
      </c>
      <c r="C111" t="s">
        <v>21</v>
      </c>
      <c r="D111" t="s">
        <v>22</v>
      </c>
      <c r="E111" t="s">
        <v>31</v>
      </c>
      <c r="F111" t="s">
        <v>63</v>
      </c>
      <c r="G111">
        <v>2392.37</v>
      </c>
      <c r="H111">
        <v>2081.25</v>
      </c>
      <c r="I111">
        <v>10740.69</v>
      </c>
      <c r="J111" t="s">
        <v>25</v>
      </c>
      <c r="K111" t="s">
        <v>26</v>
      </c>
      <c r="L111">
        <v>225280.14</v>
      </c>
      <c r="M111">
        <v>300</v>
      </c>
      <c r="N111">
        <v>3332.17</v>
      </c>
      <c r="O111">
        <v>17.52</v>
      </c>
      <c r="P111">
        <v>1.39</v>
      </c>
      <c r="Q111">
        <v>634</v>
      </c>
      <c r="R111">
        <v>0.37</v>
      </c>
      <c r="S111" t="s">
        <v>39</v>
      </c>
      <c r="T111" s="1">
        <v>45593</v>
      </c>
      <c r="U111">
        <v>1</v>
      </c>
    </row>
    <row r="112" spans="1:21" x14ac:dyDescent="0.25">
      <c r="A112" t="s">
        <v>159</v>
      </c>
      <c r="B112">
        <v>49</v>
      </c>
      <c r="C112" t="s">
        <v>29</v>
      </c>
      <c r="D112" t="s">
        <v>22</v>
      </c>
      <c r="E112" t="s">
        <v>31</v>
      </c>
      <c r="F112" t="s">
        <v>63</v>
      </c>
      <c r="G112">
        <v>3421.07</v>
      </c>
      <c r="H112">
        <v>2510.67</v>
      </c>
      <c r="I112">
        <v>15932.79</v>
      </c>
      <c r="J112" t="s">
        <v>25</v>
      </c>
      <c r="K112" t="s">
        <v>45</v>
      </c>
      <c r="L112">
        <v>109360.51</v>
      </c>
      <c r="M112">
        <v>300</v>
      </c>
      <c r="N112">
        <v>1397.33</v>
      </c>
      <c r="O112">
        <v>14.96</v>
      </c>
      <c r="P112">
        <v>0.41</v>
      </c>
      <c r="Q112">
        <v>620</v>
      </c>
      <c r="R112">
        <v>0.39</v>
      </c>
      <c r="S112" t="s">
        <v>72</v>
      </c>
      <c r="T112" s="1">
        <v>45517</v>
      </c>
      <c r="U112">
        <v>1</v>
      </c>
    </row>
    <row r="113" spans="1:21" x14ac:dyDescent="0.25">
      <c r="A113" t="s">
        <v>160</v>
      </c>
      <c r="B113">
        <v>32</v>
      </c>
      <c r="C113" t="s">
        <v>21</v>
      </c>
      <c r="D113" t="s">
        <v>22</v>
      </c>
      <c r="E113" t="s">
        <v>49</v>
      </c>
      <c r="F113" t="s">
        <v>36</v>
      </c>
      <c r="G113">
        <v>500</v>
      </c>
      <c r="H113">
        <v>353.28</v>
      </c>
      <c r="I113">
        <v>2882.93</v>
      </c>
      <c r="J113" t="s">
        <v>37</v>
      </c>
      <c r="K113" t="s">
        <v>38</v>
      </c>
      <c r="L113">
        <v>0</v>
      </c>
      <c r="M113">
        <v>0</v>
      </c>
      <c r="N113">
        <v>0</v>
      </c>
      <c r="O113">
        <v>0</v>
      </c>
      <c r="P113">
        <v>0</v>
      </c>
      <c r="Q113">
        <v>577</v>
      </c>
      <c r="R113">
        <v>0.48</v>
      </c>
      <c r="S113" t="s">
        <v>30</v>
      </c>
      <c r="T113" s="1">
        <v>44545</v>
      </c>
      <c r="U113">
        <v>0</v>
      </c>
    </row>
    <row r="114" spans="1:21" x14ac:dyDescent="0.25">
      <c r="A114" t="s">
        <v>161</v>
      </c>
      <c r="B114">
        <v>38</v>
      </c>
      <c r="C114" t="s">
        <v>29</v>
      </c>
      <c r="D114" t="s">
        <v>41</v>
      </c>
      <c r="E114" t="s">
        <v>31</v>
      </c>
      <c r="F114" t="s">
        <v>52</v>
      </c>
      <c r="G114">
        <v>3020.02</v>
      </c>
      <c r="H114">
        <v>2119.15</v>
      </c>
      <c r="I114">
        <v>13200.95</v>
      </c>
      <c r="J114" t="s">
        <v>37</v>
      </c>
      <c r="K114" t="s">
        <v>38</v>
      </c>
      <c r="L114">
        <v>0</v>
      </c>
      <c r="M114">
        <v>0</v>
      </c>
      <c r="N114">
        <v>0</v>
      </c>
      <c r="O114">
        <v>0</v>
      </c>
      <c r="P114">
        <v>0</v>
      </c>
      <c r="Q114">
        <v>530</v>
      </c>
      <c r="R114">
        <v>0.36</v>
      </c>
      <c r="S114" t="s">
        <v>30</v>
      </c>
      <c r="T114" s="1">
        <v>44732</v>
      </c>
      <c r="U114">
        <v>0</v>
      </c>
    </row>
    <row r="115" spans="1:21" x14ac:dyDescent="0.25">
      <c r="A115" t="s">
        <v>162</v>
      </c>
      <c r="B115">
        <v>65</v>
      </c>
      <c r="C115" t="s">
        <v>29</v>
      </c>
      <c r="D115" t="s">
        <v>41</v>
      </c>
      <c r="E115" t="s">
        <v>31</v>
      </c>
      <c r="F115" t="s">
        <v>36</v>
      </c>
      <c r="G115">
        <v>5043.3500000000004</v>
      </c>
      <c r="H115">
        <v>3067.94</v>
      </c>
      <c r="I115">
        <v>12383.31</v>
      </c>
      <c r="J115" t="s">
        <v>37</v>
      </c>
      <c r="K115" t="s">
        <v>38</v>
      </c>
      <c r="L115">
        <v>0</v>
      </c>
      <c r="M115">
        <v>0</v>
      </c>
      <c r="N115">
        <v>0</v>
      </c>
      <c r="O115">
        <v>0</v>
      </c>
      <c r="P115">
        <v>0</v>
      </c>
      <c r="Q115">
        <v>722</v>
      </c>
      <c r="R115">
        <v>0.2</v>
      </c>
      <c r="S115" t="s">
        <v>30</v>
      </c>
      <c r="T115" s="1">
        <v>45402</v>
      </c>
      <c r="U115">
        <v>0</v>
      </c>
    </row>
    <row r="116" spans="1:21" x14ac:dyDescent="0.25">
      <c r="A116" t="s">
        <v>163</v>
      </c>
      <c r="B116">
        <v>67</v>
      </c>
      <c r="C116" t="s">
        <v>21</v>
      </c>
      <c r="D116" t="s">
        <v>22</v>
      </c>
      <c r="E116" t="s">
        <v>31</v>
      </c>
      <c r="F116" t="s">
        <v>36</v>
      </c>
      <c r="G116">
        <v>5285.43</v>
      </c>
      <c r="H116">
        <v>2010.57</v>
      </c>
      <c r="I116">
        <v>61924.43</v>
      </c>
      <c r="J116" t="s">
        <v>37</v>
      </c>
      <c r="K116" t="s">
        <v>38</v>
      </c>
      <c r="L116">
        <v>0</v>
      </c>
      <c r="M116">
        <v>0</v>
      </c>
      <c r="N116">
        <v>0</v>
      </c>
      <c r="O116">
        <v>0</v>
      </c>
      <c r="P116">
        <v>0</v>
      </c>
      <c r="Q116">
        <v>540</v>
      </c>
      <c r="R116">
        <v>0.98</v>
      </c>
      <c r="S116" t="s">
        <v>30</v>
      </c>
      <c r="T116" s="1">
        <v>45230</v>
      </c>
      <c r="U116">
        <v>0</v>
      </c>
    </row>
    <row r="117" spans="1:21" x14ac:dyDescent="0.25">
      <c r="A117" t="s">
        <v>164</v>
      </c>
      <c r="B117">
        <v>69</v>
      </c>
      <c r="C117" t="s">
        <v>21</v>
      </c>
      <c r="D117" t="s">
        <v>41</v>
      </c>
      <c r="E117" t="s">
        <v>49</v>
      </c>
      <c r="F117" t="s">
        <v>52</v>
      </c>
      <c r="G117">
        <v>5894.14</v>
      </c>
      <c r="H117">
        <v>2598.75</v>
      </c>
      <c r="I117">
        <v>58240.18</v>
      </c>
      <c r="J117" t="s">
        <v>37</v>
      </c>
      <c r="K117" t="s">
        <v>38</v>
      </c>
      <c r="L117">
        <v>0</v>
      </c>
      <c r="M117">
        <v>0</v>
      </c>
      <c r="N117">
        <v>0</v>
      </c>
      <c r="O117">
        <v>0</v>
      </c>
      <c r="P117">
        <v>0</v>
      </c>
      <c r="Q117">
        <v>668</v>
      </c>
      <c r="R117">
        <v>0.82</v>
      </c>
      <c r="S117" t="s">
        <v>30</v>
      </c>
      <c r="T117" s="1">
        <v>45417</v>
      </c>
      <c r="U117">
        <v>0</v>
      </c>
    </row>
    <row r="118" spans="1:21" x14ac:dyDescent="0.25">
      <c r="A118" t="s">
        <v>165</v>
      </c>
      <c r="B118">
        <v>37</v>
      </c>
      <c r="C118" t="s">
        <v>21</v>
      </c>
      <c r="D118" t="s">
        <v>41</v>
      </c>
      <c r="E118" t="s">
        <v>51</v>
      </c>
      <c r="F118" t="s">
        <v>23</v>
      </c>
      <c r="G118">
        <v>4647.9399999999996</v>
      </c>
      <c r="H118">
        <v>2226.52</v>
      </c>
      <c r="I118">
        <v>28428.86</v>
      </c>
      <c r="J118" t="s">
        <v>25</v>
      </c>
      <c r="K118" t="s">
        <v>33</v>
      </c>
      <c r="L118">
        <v>75758.33</v>
      </c>
      <c r="M118">
        <v>12</v>
      </c>
      <c r="N118">
        <v>7049.78</v>
      </c>
      <c r="O118">
        <v>20.88</v>
      </c>
      <c r="P118">
        <v>1.52</v>
      </c>
      <c r="Q118">
        <v>402</v>
      </c>
      <c r="R118">
        <v>0.51</v>
      </c>
      <c r="S118" t="s">
        <v>39</v>
      </c>
      <c r="T118" s="1">
        <v>45547</v>
      </c>
      <c r="U118">
        <v>1</v>
      </c>
    </row>
    <row r="119" spans="1:21" x14ac:dyDescent="0.25">
      <c r="A119" t="s">
        <v>166</v>
      </c>
      <c r="B119">
        <v>18</v>
      </c>
      <c r="C119" t="s">
        <v>21</v>
      </c>
      <c r="D119" t="s">
        <v>35</v>
      </c>
      <c r="E119" t="s">
        <v>31</v>
      </c>
      <c r="F119" t="s">
        <v>44</v>
      </c>
      <c r="G119">
        <v>4342.2</v>
      </c>
      <c r="H119">
        <v>3735.68</v>
      </c>
      <c r="I119">
        <v>24478.61</v>
      </c>
      <c r="J119" t="s">
        <v>37</v>
      </c>
      <c r="K119" t="s">
        <v>38</v>
      </c>
      <c r="L119">
        <v>0</v>
      </c>
      <c r="M119">
        <v>0</v>
      </c>
      <c r="N119">
        <v>0</v>
      </c>
      <c r="O119">
        <v>0</v>
      </c>
      <c r="P119">
        <v>0</v>
      </c>
      <c r="Q119">
        <v>538</v>
      </c>
      <c r="R119">
        <v>0.47</v>
      </c>
      <c r="S119" t="s">
        <v>30</v>
      </c>
      <c r="T119" s="1">
        <v>44650</v>
      </c>
      <c r="U119">
        <v>0</v>
      </c>
    </row>
    <row r="120" spans="1:21" x14ac:dyDescent="0.25">
      <c r="A120" t="s">
        <v>167</v>
      </c>
      <c r="B120">
        <v>30</v>
      </c>
      <c r="C120" t="s">
        <v>29</v>
      </c>
      <c r="D120" t="s">
        <v>56</v>
      </c>
      <c r="E120" t="s">
        <v>31</v>
      </c>
      <c r="F120" t="s">
        <v>52</v>
      </c>
      <c r="G120">
        <v>2219.37</v>
      </c>
      <c r="H120">
        <v>1925.33</v>
      </c>
      <c r="I120">
        <v>24855.72</v>
      </c>
      <c r="J120" t="s">
        <v>25</v>
      </c>
      <c r="K120" t="s">
        <v>26</v>
      </c>
      <c r="L120">
        <v>269347.62</v>
      </c>
      <c r="M120">
        <v>360</v>
      </c>
      <c r="N120">
        <v>4059.3</v>
      </c>
      <c r="O120">
        <v>18</v>
      </c>
      <c r="P120">
        <v>1.83</v>
      </c>
      <c r="Q120">
        <v>685</v>
      </c>
      <c r="R120">
        <v>0.93</v>
      </c>
      <c r="S120" t="s">
        <v>27</v>
      </c>
      <c r="T120" s="1">
        <v>44754</v>
      </c>
      <c r="U120">
        <v>1</v>
      </c>
    </row>
    <row r="121" spans="1:21" x14ac:dyDescent="0.25">
      <c r="A121" t="s">
        <v>168</v>
      </c>
      <c r="B121">
        <v>33</v>
      </c>
      <c r="C121" t="s">
        <v>21</v>
      </c>
      <c r="D121" t="s">
        <v>56</v>
      </c>
      <c r="E121" t="s">
        <v>31</v>
      </c>
      <c r="F121" t="s">
        <v>23</v>
      </c>
      <c r="G121">
        <v>3543.29</v>
      </c>
      <c r="H121">
        <v>1749.32</v>
      </c>
      <c r="I121">
        <v>32009.29</v>
      </c>
      <c r="J121" t="s">
        <v>37</v>
      </c>
      <c r="K121" t="s">
        <v>38</v>
      </c>
      <c r="L121">
        <v>0</v>
      </c>
      <c r="M121">
        <v>0</v>
      </c>
      <c r="N121">
        <v>0</v>
      </c>
      <c r="O121">
        <v>0</v>
      </c>
      <c r="P121">
        <v>0</v>
      </c>
      <c r="Q121">
        <v>592</v>
      </c>
      <c r="R121">
        <v>0.75</v>
      </c>
      <c r="S121" t="s">
        <v>39</v>
      </c>
      <c r="T121" s="1">
        <v>45517</v>
      </c>
      <c r="U121">
        <v>0</v>
      </c>
    </row>
    <row r="122" spans="1:21" x14ac:dyDescent="0.25">
      <c r="A122" t="s">
        <v>169</v>
      </c>
      <c r="B122">
        <v>42</v>
      </c>
      <c r="C122" t="s">
        <v>21</v>
      </c>
      <c r="D122" t="s">
        <v>22</v>
      </c>
      <c r="E122" t="s">
        <v>31</v>
      </c>
      <c r="F122" t="s">
        <v>42</v>
      </c>
      <c r="G122">
        <v>3701.42</v>
      </c>
      <c r="H122">
        <v>1566.9</v>
      </c>
      <c r="I122">
        <v>22370.880000000001</v>
      </c>
      <c r="J122" t="s">
        <v>37</v>
      </c>
      <c r="K122" t="s">
        <v>38</v>
      </c>
      <c r="L122">
        <v>0</v>
      </c>
      <c r="M122">
        <v>0</v>
      </c>
      <c r="N122">
        <v>0</v>
      </c>
      <c r="O122">
        <v>0</v>
      </c>
      <c r="P122">
        <v>0</v>
      </c>
      <c r="Q122">
        <v>628</v>
      </c>
      <c r="R122">
        <v>0.5</v>
      </c>
      <c r="S122" t="s">
        <v>27</v>
      </c>
      <c r="T122" s="1">
        <v>45147</v>
      </c>
      <c r="U122">
        <v>0</v>
      </c>
    </row>
    <row r="123" spans="1:21" x14ac:dyDescent="0.25">
      <c r="A123" t="s">
        <v>170</v>
      </c>
      <c r="B123">
        <v>68</v>
      </c>
      <c r="C123" t="s">
        <v>29</v>
      </c>
      <c r="D123" t="s">
        <v>41</v>
      </c>
      <c r="E123" t="s">
        <v>31</v>
      </c>
      <c r="F123" t="s">
        <v>44</v>
      </c>
      <c r="G123">
        <v>4032.77</v>
      </c>
      <c r="H123">
        <v>1723.58</v>
      </c>
      <c r="I123">
        <v>40591.22</v>
      </c>
      <c r="J123" t="s">
        <v>37</v>
      </c>
      <c r="K123" t="s">
        <v>38</v>
      </c>
      <c r="L123">
        <v>0</v>
      </c>
      <c r="M123">
        <v>0</v>
      </c>
      <c r="N123">
        <v>0</v>
      </c>
      <c r="O123">
        <v>0</v>
      </c>
      <c r="P123">
        <v>0</v>
      </c>
      <c r="Q123">
        <v>324</v>
      </c>
      <c r="R123">
        <v>0.84</v>
      </c>
      <c r="S123" t="s">
        <v>39</v>
      </c>
      <c r="T123" s="1">
        <v>45526</v>
      </c>
      <c r="U123">
        <v>0</v>
      </c>
    </row>
    <row r="124" spans="1:21" x14ac:dyDescent="0.25">
      <c r="A124" t="s">
        <v>171</v>
      </c>
      <c r="B124">
        <v>65</v>
      </c>
      <c r="C124" t="s">
        <v>30</v>
      </c>
      <c r="D124" t="s">
        <v>35</v>
      </c>
      <c r="E124" t="s">
        <v>51</v>
      </c>
      <c r="F124" t="s">
        <v>63</v>
      </c>
      <c r="G124">
        <v>4898.9399999999996</v>
      </c>
      <c r="H124">
        <v>3168.36</v>
      </c>
      <c r="I124">
        <v>16061.03</v>
      </c>
      <c r="J124" t="s">
        <v>37</v>
      </c>
      <c r="K124" t="s">
        <v>38</v>
      </c>
      <c r="L124">
        <v>0</v>
      </c>
      <c r="M124">
        <v>0</v>
      </c>
      <c r="N124">
        <v>0</v>
      </c>
      <c r="O124">
        <v>0</v>
      </c>
      <c r="P124">
        <v>0</v>
      </c>
      <c r="Q124">
        <v>829</v>
      </c>
      <c r="R124">
        <v>0.27</v>
      </c>
      <c r="S124" t="s">
        <v>72</v>
      </c>
      <c r="T124" s="1">
        <v>45412</v>
      </c>
      <c r="U124">
        <v>0</v>
      </c>
    </row>
    <row r="125" spans="1:21" x14ac:dyDescent="0.25">
      <c r="A125" t="s">
        <v>172</v>
      </c>
      <c r="B125">
        <v>33</v>
      </c>
      <c r="C125" t="s">
        <v>21</v>
      </c>
      <c r="D125" t="s">
        <v>41</v>
      </c>
      <c r="E125" t="s">
        <v>23</v>
      </c>
      <c r="F125" t="s">
        <v>42</v>
      </c>
      <c r="G125">
        <v>5383.87</v>
      </c>
      <c r="H125">
        <v>3937.18</v>
      </c>
      <c r="I125">
        <v>60437.279999999999</v>
      </c>
      <c r="J125" t="s">
        <v>25</v>
      </c>
      <c r="K125" t="s">
        <v>33</v>
      </c>
      <c r="L125">
        <v>149248.39000000001</v>
      </c>
      <c r="M125">
        <v>60</v>
      </c>
      <c r="N125">
        <v>4180.84</v>
      </c>
      <c r="O125">
        <v>22.69</v>
      </c>
      <c r="P125">
        <v>0.78</v>
      </c>
      <c r="Q125">
        <v>729</v>
      </c>
      <c r="R125">
        <v>0.94</v>
      </c>
      <c r="S125" t="s">
        <v>39</v>
      </c>
      <c r="T125" s="1">
        <v>44704</v>
      </c>
      <c r="U125">
        <v>1</v>
      </c>
    </row>
    <row r="126" spans="1:21" x14ac:dyDescent="0.25">
      <c r="A126" t="s">
        <v>173</v>
      </c>
      <c r="B126">
        <v>31</v>
      </c>
      <c r="C126" t="s">
        <v>21</v>
      </c>
      <c r="D126" t="s">
        <v>41</v>
      </c>
      <c r="E126" t="s">
        <v>31</v>
      </c>
      <c r="F126" t="s">
        <v>24</v>
      </c>
      <c r="G126">
        <v>6257.91</v>
      </c>
      <c r="H126">
        <v>4653.68</v>
      </c>
      <c r="I126">
        <v>64197.93</v>
      </c>
      <c r="J126" t="s">
        <v>37</v>
      </c>
      <c r="K126" t="s">
        <v>38</v>
      </c>
      <c r="L126">
        <v>0</v>
      </c>
      <c r="M126">
        <v>0</v>
      </c>
      <c r="N126">
        <v>0</v>
      </c>
      <c r="O126">
        <v>0</v>
      </c>
      <c r="P126">
        <v>0</v>
      </c>
      <c r="Q126">
        <v>759</v>
      </c>
      <c r="R126">
        <v>0.85</v>
      </c>
      <c r="S126" t="s">
        <v>27</v>
      </c>
      <c r="T126" s="1">
        <v>45066</v>
      </c>
      <c r="U126">
        <v>0</v>
      </c>
    </row>
    <row r="127" spans="1:21" x14ac:dyDescent="0.25">
      <c r="A127" t="s">
        <v>174</v>
      </c>
      <c r="B127">
        <v>63</v>
      </c>
      <c r="C127" t="s">
        <v>29</v>
      </c>
      <c r="D127" t="s">
        <v>41</v>
      </c>
      <c r="E127" t="s">
        <v>51</v>
      </c>
      <c r="F127" t="s">
        <v>32</v>
      </c>
      <c r="G127">
        <v>4091.62</v>
      </c>
      <c r="H127">
        <v>2905.45</v>
      </c>
      <c r="I127">
        <v>41486.839999999997</v>
      </c>
      <c r="J127" t="s">
        <v>37</v>
      </c>
      <c r="K127" t="s">
        <v>38</v>
      </c>
      <c r="L127">
        <v>0</v>
      </c>
      <c r="M127">
        <v>0</v>
      </c>
      <c r="N127">
        <v>0</v>
      </c>
      <c r="O127">
        <v>0</v>
      </c>
      <c r="P127">
        <v>0</v>
      </c>
      <c r="Q127">
        <v>841</v>
      </c>
      <c r="R127">
        <v>0.84</v>
      </c>
      <c r="S127" t="s">
        <v>30</v>
      </c>
      <c r="T127" s="1">
        <v>45175</v>
      </c>
      <c r="U127">
        <v>0</v>
      </c>
    </row>
    <row r="128" spans="1:21" x14ac:dyDescent="0.25">
      <c r="A128" t="s">
        <v>175</v>
      </c>
      <c r="B128">
        <v>33</v>
      </c>
      <c r="C128" t="s">
        <v>29</v>
      </c>
      <c r="D128" t="s">
        <v>41</v>
      </c>
      <c r="E128" t="s">
        <v>31</v>
      </c>
      <c r="F128" t="s">
        <v>63</v>
      </c>
      <c r="G128">
        <v>7248.42</v>
      </c>
      <c r="H128">
        <v>4039.03</v>
      </c>
      <c r="I128">
        <v>76041.960000000006</v>
      </c>
      <c r="J128" t="s">
        <v>25</v>
      </c>
      <c r="K128" t="s">
        <v>54</v>
      </c>
      <c r="L128">
        <v>54250.77</v>
      </c>
      <c r="M128">
        <v>60</v>
      </c>
      <c r="N128">
        <v>1673.14</v>
      </c>
      <c r="O128">
        <v>27.51</v>
      </c>
      <c r="P128">
        <v>0.23</v>
      </c>
      <c r="Q128">
        <v>506</v>
      </c>
      <c r="R128">
        <v>0.87</v>
      </c>
      <c r="S128" t="s">
        <v>47</v>
      </c>
      <c r="T128" s="1">
        <v>44687</v>
      </c>
      <c r="U128">
        <v>0</v>
      </c>
    </row>
    <row r="129" spans="1:21" x14ac:dyDescent="0.25">
      <c r="A129" t="s">
        <v>176</v>
      </c>
      <c r="B129">
        <v>64</v>
      </c>
      <c r="C129" t="s">
        <v>21</v>
      </c>
      <c r="D129" t="s">
        <v>30</v>
      </c>
      <c r="E129" t="s">
        <v>31</v>
      </c>
      <c r="F129" t="s">
        <v>32</v>
      </c>
      <c r="G129">
        <v>4910.42</v>
      </c>
      <c r="H129">
        <v>2061.37</v>
      </c>
      <c r="I129">
        <v>29635.05</v>
      </c>
      <c r="J129" t="s">
        <v>37</v>
      </c>
      <c r="K129" t="s">
        <v>38</v>
      </c>
      <c r="L129">
        <v>0</v>
      </c>
      <c r="M129">
        <v>0</v>
      </c>
      <c r="N129">
        <v>0</v>
      </c>
      <c r="O129">
        <v>0</v>
      </c>
      <c r="P129">
        <v>0</v>
      </c>
      <c r="Q129">
        <v>658</v>
      </c>
      <c r="R129">
        <v>0.5</v>
      </c>
      <c r="S129" t="s">
        <v>30</v>
      </c>
      <c r="T129" s="1">
        <v>44750</v>
      </c>
      <c r="U129">
        <v>0</v>
      </c>
    </row>
    <row r="130" spans="1:21" x14ac:dyDescent="0.25">
      <c r="A130" t="s">
        <v>177</v>
      </c>
      <c r="B130">
        <v>63</v>
      </c>
      <c r="C130" t="s">
        <v>21</v>
      </c>
      <c r="D130" t="s">
        <v>35</v>
      </c>
      <c r="E130" t="s">
        <v>31</v>
      </c>
      <c r="F130" t="s">
        <v>32</v>
      </c>
      <c r="G130">
        <v>4898.16</v>
      </c>
      <c r="H130">
        <v>2170.15</v>
      </c>
      <c r="I130">
        <v>7045.69</v>
      </c>
      <c r="J130" t="s">
        <v>37</v>
      </c>
      <c r="K130" t="s">
        <v>38</v>
      </c>
      <c r="L130">
        <v>0</v>
      </c>
      <c r="M130">
        <v>0</v>
      </c>
      <c r="N130">
        <v>0</v>
      </c>
      <c r="O130">
        <v>0</v>
      </c>
      <c r="P130">
        <v>0</v>
      </c>
      <c r="Q130">
        <v>617</v>
      </c>
      <c r="R130">
        <v>0.12</v>
      </c>
      <c r="S130" t="s">
        <v>27</v>
      </c>
      <c r="T130" s="1">
        <v>44549</v>
      </c>
      <c r="U130">
        <v>0</v>
      </c>
    </row>
    <row r="131" spans="1:21" x14ac:dyDescent="0.25">
      <c r="A131" t="s">
        <v>178</v>
      </c>
      <c r="B131">
        <v>35</v>
      </c>
      <c r="C131" t="s">
        <v>21</v>
      </c>
      <c r="D131" t="s">
        <v>41</v>
      </c>
      <c r="E131" t="s">
        <v>31</v>
      </c>
      <c r="F131" t="s">
        <v>42</v>
      </c>
      <c r="G131">
        <v>500</v>
      </c>
      <c r="H131">
        <v>171.78</v>
      </c>
      <c r="I131">
        <v>986.17</v>
      </c>
      <c r="J131" t="s">
        <v>37</v>
      </c>
      <c r="K131" t="s">
        <v>38</v>
      </c>
      <c r="L131">
        <v>0</v>
      </c>
      <c r="M131">
        <v>0</v>
      </c>
      <c r="N131">
        <v>0</v>
      </c>
      <c r="O131">
        <v>0</v>
      </c>
      <c r="P131">
        <v>0</v>
      </c>
      <c r="Q131">
        <v>485</v>
      </c>
      <c r="R131">
        <v>0.16</v>
      </c>
      <c r="S131" t="s">
        <v>27</v>
      </c>
      <c r="T131" s="1">
        <v>45620</v>
      </c>
      <c r="U131">
        <v>0</v>
      </c>
    </row>
    <row r="132" spans="1:21" x14ac:dyDescent="0.25">
      <c r="A132" t="s">
        <v>179</v>
      </c>
      <c r="B132">
        <v>52</v>
      </c>
      <c r="C132" t="s">
        <v>29</v>
      </c>
      <c r="D132" t="s">
        <v>22</v>
      </c>
      <c r="E132" t="s">
        <v>31</v>
      </c>
      <c r="F132" t="s">
        <v>36</v>
      </c>
      <c r="G132">
        <v>4632.1499999999996</v>
      </c>
      <c r="H132">
        <v>2478.02</v>
      </c>
      <c r="I132">
        <v>46744.54</v>
      </c>
      <c r="J132" t="s">
        <v>37</v>
      </c>
      <c r="K132" t="s">
        <v>38</v>
      </c>
      <c r="L132">
        <v>0</v>
      </c>
      <c r="M132">
        <v>0</v>
      </c>
      <c r="N132">
        <v>0</v>
      </c>
      <c r="O132">
        <v>0</v>
      </c>
      <c r="P132">
        <v>0</v>
      </c>
      <c r="Q132">
        <v>311</v>
      </c>
      <c r="R132">
        <v>0.84</v>
      </c>
      <c r="S132" t="s">
        <v>72</v>
      </c>
      <c r="T132" s="1">
        <v>45470</v>
      </c>
      <c r="U132">
        <v>0</v>
      </c>
    </row>
    <row r="133" spans="1:21" x14ac:dyDescent="0.25">
      <c r="A133" t="s">
        <v>180</v>
      </c>
      <c r="B133">
        <v>62</v>
      </c>
      <c r="C133" t="s">
        <v>29</v>
      </c>
      <c r="D133" t="s">
        <v>41</v>
      </c>
      <c r="E133" t="s">
        <v>31</v>
      </c>
      <c r="F133" t="s">
        <v>63</v>
      </c>
      <c r="G133">
        <v>500</v>
      </c>
      <c r="H133">
        <v>243.41</v>
      </c>
      <c r="I133">
        <v>1804.05</v>
      </c>
      <c r="J133" t="s">
        <v>37</v>
      </c>
      <c r="K133" t="s">
        <v>38</v>
      </c>
      <c r="L133">
        <v>0</v>
      </c>
      <c r="M133">
        <v>0</v>
      </c>
      <c r="N133">
        <v>0</v>
      </c>
      <c r="O133">
        <v>0</v>
      </c>
      <c r="P133">
        <v>0</v>
      </c>
      <c r="Q133">
        <v>394</v>
      </c>
      <c r="R133">
        <v>0.3</v>
      </c>
      <c r="S133" t="s">
        <v>72</v>
      </c>
      <c r="T133" s="1">
        <v>45338</v>
      </c>
      <c r="U133">
        <v>0</v>
      </c>
    </row>
    <row r="134" spans="1:21" x14ac:dyDescent="0.25">
      <c r="A134" t="s">
        <v>181</v>
      </c>
      <c r="B134">
        <v>57</v>
      </c>
      <c r="C134" t="s">
        <v>21</v>
      </c>
      <c r="D134" t="s">
        <v>41</v>
      </c>
      <c r="E134" t="s">
        <v>31</v>
      </c>
      <c r="F134" t="s">
        <v>23</v>
      </c>
      <c r="G134">
        <v>5816.45</v>
      </c>
      <c r="H134">
        <v>3290.45</v>
      </c>
      <c r="I134">
        <v>63829.14</v>
      </c>
      <c r="J134" t="s">
        <v>37</v>
      </c>
      <c r="K134" t="s">
        <v>38</v>
      </c>
      <c r="L134">
        <v>0</v>
      </c>
      <c r="M134">
        <v>0</v>
      </c>
      <c r="N134">
        <v>0</v>
      </c>
      <c r="O134">
        <v>0</v>
      </c>
      <c r="P134">
        <v>0</v>
      </c>
      <c r="Q134">
        <v>462</v>
      </c>
      <c r="R134">
        <v>0.91</v>
      </c>
      <c r="S134" t="s">
        <v>27</v>
      </c>
      <c r="T134" s="1">
        <v>44607</v>
      </c>
      <c r="U134">
        <v>0</v>
      </c>
    </row>
    <row r="135" spans="1:21" x14ac:dyDescent="0.25">
      <c r="A135" t="s">
        <v>182</v>
      </c>
      <c r="B135">
        <v>35</v>
      </c>
      <c r="C135" t="s">
        <v>29</v>
      </c>
      <c r="D135" t="s">
        <v>35</v>
      </c>
      <c r="E135" t="s">
        <v>51</v>
      </c>
      <c r="F135" t="s">
        <v>24</v>
      </c>
      <c r="G135">
        <v>1717.95</v>
      </c>
      <c r="H135">
        <v>558.61</v>
      </c>
      <c r="I135">
        <v>14933.44</v>
      </c>
      <c r="J135" t="s">
        <v>37</v>
      </c>
      <c r="K135" t="s">
        <v>38</v>
      </c>
      <c r="L135">
        <v>0</v>
      </c>
      <c r="M135">
        <v>0</v>
      </c>
      <c r="N135">
        <v>0</v>
      </c>
      <c r="O135">
        <v>0</v>
      </c>
      <c r="P135">
        <v>0</v>
      </c>
      <c r="Q135">
        <v>713</v>
      </c>
      <c r="R135">
        <v>0.72</v>
      </c>
      <c r="S135" t="s">
        <v>72</v>
      </c>
      <c r="T135" s="1">
        <v>45005</v>
      </c>
      <c r="U135">
        <v>0</v>
      </c>
    </row>
    <row r="136" spans="1:21" x14ac:dyDescent="0.25">
      <c r="A136" t="s">
        <v>183</v>
      </c>
      <c r="B136">
        <v>49</v>
      </c>
      <c r="C136" t="s">
        <v>29</v>
      </c>
      <c r="D136" t="s">
        <v>35</v>
      </c>
      <c r="E136" t="s">
        <v>31</v>
      </c>
      <c r="F136" t="s">
        <v>42</v>
      </c>
      <c r="G136">
        <v>6712.09</v>
      </c>
      <c r="H136">
        <v>4399.53</v>
      </c>
      <c r="I136">
        <v>74738.899999999994</v>
      </c>
      <c r="J136" t="s">
        <v>37</v>
      </c>
      <c r="K136" t="s">
        <v>38</v>
      </c>
      <c r="L136">
        <v>0</v>
      </c>
      <c r="M136">
        <v>0</v>
      </c>
      <c r="N136">
        <v>0</v>
      </c>
      <c r="O136">
        <v>0</v>
      </c>
      <c r="P136">
        <v>0</v>
      </c>
      <c r="Q136">
        <v>844</v>
      </c>
      <c r="R136">
        <v>0.93</v>
      </c>
      <c r="S136" t="s">
        <v>30</v>
      </c>
      <c r="T136" s="1">
        <v>45778</v>
      </c>
      <c r="U136">
        <v>0</v>
      </c>
    </row>
    <row r="137" spans="1:21" x14ac:dyDescent="0.25">
      <c r="A137" t="s">
        <v>184</v>
      </c>
      <c r="B137">
        <v>68</v>
      </c>
      <c r="C137" t="s">
        <v>29</v>
      </c>
      <c r="D137" t="s">
        <v>35</v>
      </c>
      <c r="E137" t="s">
        <v>31</v>
      </c>
      <c r="F137" t="s">
        <v>63</v>
      </c>
      <c r="G137">
        <v>6799.79</v>
      </c>
      <c r="H137">
        <v>5765.78</v>
      </c>
      <c r="I137">
        <v>32158.560000000001</v>
      </c>
      <c r="J137" t="s">
        <v>25</v>
      </c>
      <c r="K137" t="s">
        <v>54</v>
      </c>
      <c r="L137">
        <v>71783.06</v>
      </c>
      <c r="M137">
        <v>12</v>
      </c>
      <c r="N137">
        <v>6851.86</v>
      </c>
      <c r="O137">
        <v>25.84</v>
      </c>
      <c r="P137">
        <v>1.01</v>
      </c>
      <c r="Q137">
        <v>545</v>
      </c>
      <c r="R137">
        <v>0.39</v>
      </c>
      <c r="S137" t="s">
        <v>30</v>
      </c>
      <c r="T137" s="1">
        <v>45680</v>
      </c>
      <c r="U137">
        <v>1</v>
      </c>
    </row>
    <row r="138" spans="1:21" x14ac:dyDescent="0.25">
      <c r="A138" t="s">
        <v>185</v>
      </c>
      <c r="B138">
        <v>50</v>
      </c>
      <c r="C138" t="s">
        <v>21</v>
      </c>
      <c r="D138" t="s">
        <v>22</v>
      </c>
      <c r="E138" t="s">
        <v>31</v>
      </c>
      <c r="F138" t="s">
        <v>52</v>
      </c>
      <c r="G138">
        <v>4422.25</v>
      </c>
      <c r="H138">
        <v>2747.54</v>
      </c>
      <c r="I138">
        <v>13941.6</v>
      </c>
      <c r="J138" t="s">
        <v>25</v>
      </c>
      <c r="K138" t="s">
        <v>45</v>
      </c>
      <c r="L138">
        <v>380036.85</v>
      </c>
      <c r="M138">
        <v>300</v>
      </c>
      <c r="N138">
        <v>7799.09</v>
      </c>
      <c r="O138">
        <v>24.57</v>
      </c>
      <c r="P138">
        <v>1.76</v>
      </c>
      <c r="Q138">
        <v>402</v>
      </c>
      <c r="R138">
        <v>0.26</v>
      </c>
      <c r="S138" t="s">
        <v>30</v>
      </c>
      <c r="T138" s="1">
        <v>45398</v>
      </c>
      <c r="U138">
        <v>1</v>
      </c>
    </row>
    <row r="139" spans="1:21" x14ac:dyDescent="0.25">
      <c r="A139" t="s">
        <v>186</v>
      </c>
      <c r="B139">
        <v>50</v>
      </c>
      <c r="C139" t="s">
        <v>29</v>
      </c>
      <c r="D139" t="s">
        <v>35</v>
      </c>
      <c r="E139" t="s">
        <v>51</v>
      </c>
      <c r="F139" t="s">
        <v>42</v>
      </c>
      <c r="G139">
        <v>941.14</v>
      </c>
      <c r="H139">
        <v>800.03</v>
      </c>
      <c r="I139">
        <v>10243.31</v>
      </c>
      <c r="J139" t="s">
        <v>37</v>
      </c>
      <c r="K139" t="s">
        <v>38</v>
      </c>
      <c r="L139">
        <v>0</v>
      </c>
      <c r="M139">
        <v>0</v>
      </c>
      <c r="N139">
        <v>0</v>
      </c>
      <c r="O139">
        <v>0</v>
      </c>
      <c r="P139">
        <v>0</v>
      </c>
      <c r="Q139">
        <v>454</v>
      </c>
      <c r="R139">
        <v>0.91</v>
      </c>
      <c r="S139" t="s">
        <v>30</v>
      </c>
      <c r="T139" s="1">
        <v>45291</v>
      </c>
      <c r="U139">
        <v>0</v>
      </c>
    </row>
    <row r="140" spans="1:21" x14ac:dyDescent="0.25">
      <c r="A140" t="s">
        <v>187</v>
      </c>
      <c r="B140">
        <v>35</v>
      </c>
      <c r="C140" t="s">
        <v>29</v>
      </c>
      <c r="D140" t="s">
        <v>35</v>
      </c>
      <c r="E140" t="s">
        <v>23</v>
      </c>
      <c r="F140" t="s">
        <v>63</v>
      </c>
      <c r="G140">
        <v>3555.51</v>
      </c>
      <c r="H140">
        <v>2443.21</v>
      </c>
      <c r="I140">
        <v>27490.66</v>
      </c>
      <c r="J140" t="s">
        <v>25</v>
      </c>
      <c r="K140" t="s">
        <v>54</v>
      </c>
      <c r="L140">
        <v>127420.83</v>
      </c>
      <c r="M140">
        <v>60</v>
      </c>
      <c r="N140">
        <v>4092.8</v>
      </c>
      <c r="O140">
        <v>29.62</v>
      </c>
      <c r="P140">
        <v>1.1499999999999999</v>
      </c>
      <c r="Q140">
        <v>451</v>
      </c>
      <c r="R140">
        <v>0.64</v>
      </c>
      <c r="S140" t="s">
        <v>72</v>
      </c>
      <c r="T140" s="1">
        <v>45608</v>
      </c>
      <c r="U140">
        <v>1</v>
      </c>
    </row>
    <row r="141" spans="1:21" x14ac:dyDescent="0.25">
      <c r="A141" t="s">
        <v>188</v>
      </c>
      <c r="B141">
        <v>31</v>
      </c>
      <c r="C141" t="s">
        <v>21</v>
      </c>
      <c r="D141" t="s">
        <v>41</v>
      </c>
      <c r="E141" t="s">
        <v>31</v>
      </c>
      <c r="F141" t="s">
        <v>32</v>
      </c>
      <c r="G141">
        <v>6401.42</v>
      </c>
      <c r="H141">
        <v>4845.04</v>
      </c>
      <c r="I141">
        <v>68912.460000000006</v>
      </c>
      <c r="J141" t="s">
        <v>37</v>
      </c>
      <c r="K141" t="s">
        <v>38</v>
      </c>
      <c r="L141">
        <v>0</v>
      </c>
      <c r="M141">
        <v>0</v>
      </c>
      <c r="N141">
        <v>0</v>
      </c>
      <c r="O141">
        <v>0</v>
      </c>
      <c r="P141">
        <v>0</v>
      </c>
      <c r="Q141">
        <v>395</v>
      </c>
      <c r="R141">
        <v>0.9</v>
      </c>
      <c r="S141" t="s">
        <v>72</v>
      </c>
      <c r="T141" s="1">
        <v>45065</v>
      </c>
      <c r="U141">
        <v>0</v>
      </c>
    </row>
    <row r="142" spans="1:21" x14ac:dyDescent="0.25">
      <c r="A142" t="s">
        <v>189</v>
      </c>
      <c r="B142">
        <v>69</v>
      </c>
      <c r="C142" t="s">
        <v>21</v>
      </c>
      <c r="D142" t="s">
        <v>41</v>
      </c>
      <c r="E142" t="s">
        <v>31</v>
      </c>
      <c r="F142" t="s">
        <v>49</v>
      </c>
      <c r="G142">
        <v>4267.3599999999997</v>
      </c>
      <c r="H142">
        <v>3444.4</v>
      </c>
      <c r="I142">
        <v>10024.450000000001</v>
      </c>
      <c r="J142" t="s">
        <v>25</v>
      </c>
      <c r="K142" t="s">
        <v>33</v>
      </c>
      <c r="L142">
        <v>205375.88</v>
      </c>
      <c r="M142">
        <v>360</v>
      </c>
      <c r="N142">
        <v>3685.82</v>
      </c>
      <c r="O142">
        <v>21.5</v>
      </c>
      <c r="P142">
        <v>0.86</v>
      </c>
      <c r="Q142">
        <v>479</v>
      </c>
      <c r="R142">
        <v>0.2</v>
      </c>
      <c r="S142" t="s">
        <v>72</v>
      </c>
      <c r="T142" s="1">
        <v>44802</v>
      </c>
      <c r="U142">
        <v>1</v>
      </c>
    </row>
    <row r="143" spans="1:21" x14ac:dyDescent="0.25">
      <c r="A143" t="s">
        <v>190</v>
      </c>
      <c r="B143">
        <v>53</v>
      </c>
      <c r="C143" t="s">
        <v>21</v>
      </c>
      <c r="D143" t="s">
        <v>22</v>
      </c>
      <c r="E143" t="s">
        <v>31</v>
      </c>
      <c r="F143" t="s">
        <v>23</v>
      </c>
      <c r="G143">
        <v>4278.8999999999996</v>
      </c>
      <c r="H143">
        <v>3645.66</v>
      </c>
      <c r="I143">
        <v>28723.56</v>
      </c>
      <c r="J143" t="s">
        <v>25</v>
      </c>
      <c r="K143" t="s">
        <v>54</v>
      </c>
      <c r="L143">
        <v>199845.36</v>
      </c>
      <c r="M143">
        <v>60</v>
      </c>
      <c r="N143">
        <v>4166.91</v>
      </c>
      <c r="O143">
        <v>9.19</v>
      </c>
      <c r="P143">
        <v>0.97</v>
      </c>
      <c r="Q143">
        <v>775</v>
      </c>
      <c r="R143">
        <v>0.56000000000000005</v>
      </c>
      <c r="S143" t="s">
        <v>47</v>
      </c>
      <c r="T143" s="1">
        <v>45379</v>
      </c>
      <c r="U143">
        <v>1</v>
      </c>
    </row>
    <row r="144" spans="1:21" x14ac:dyDescent="0.25">
      <c r="A144" t="s">
        <v>191</v>
      </c>
      <c r="B144">
        <v>27</v>
      </c>
      <c r="C144" t="s">
        <v>29</v>
      </c>
      <c r="D144" t="s">
        <v>41</v>
      </c>
      <c r="E144" t="s">
        <v>31</v>
      </c>
      <c r="F144" t="s">
        <v>49</v>
      </c>
      <c r="G144">
        <v>1832.67</v>
      </c>
      <c r="H144">
        <v>945.09</v>
      </c>
      <c r="I144">
        <v>16013.52</v>
      </c>
      <c r="J144" t="s">
        <v>37</v>
      </c>
      <c r="K144" t="s">
        <v>38</v>
      </c>
      <c r="L144">
        <v>0</v>
      </c>
      <c r="M144">
        <v>0</v>
      </c>
      <c r="N144">
        <v>0</v>
      </c>
      <c r="O144">
        <v>0</v>
      </c>
      <c r="P144">
        <v>0</v>
      </c>
      <c r="Q144">
        <v>656</v>
      </c>
      <c r="R144">
        <v>0.73</v>
      </c>
      <c r="S144" t="s">
        <v>39</v>
      </c>
      <c r="T144" s="1">
        <v>45843</v>
      </c>
      <c r="U144">
        <v>0</v>
      </c>
    </row>
    <row r="145" spans="1:21" x14ac:dyDescent="0.25">
      <c r="A145" t="s">
        <v>192</v>
      </c>
      <c r="B145">
        <v>60</v>
      </c>
      <c r="C145" t="s">
        <v>21</v>
      </c>
      <c r="D145" t="s">
        <v>22</v>
      </c>
      <c r="E145" t="s">
        <v>51</v>
      </c>
      <c r="F145" t="s">
        <v>24</v>
      </c>
      <c r="G145">
        <v>2596.4499999999998</v>
      </c>
      <c r="H145">
        <v>1529.96</v>
      </c>
      <c r="I145">
        <v>16955.48</v>
      </c>
      <c r="J145" t="s">
        <v>37</v>
      </c>
      <c r="K145" t="s">
        <v>38</v>
      </c>
      <c r="L145">
        <v>0</v>
      </c>
      <c r="M145">
        <v>0</v>
      </c>
      <c r="N145">
        <v>0</v>
      </c>
      <c r="O145">
        <v>0</v>
      </c>
      <c r="P145">
        <v>0</v>
      </c>
      <c r="Q145">
        <v>648</v>
      </c>
      <c r="R145">
        <v>0.54</v>
      </c>
      <c r="S145" t="s">
        <v>30</v>
      </c>
      <c r="T145" s="1">
        <v>44750</v>
      </c>
      <c r="U145">
        <v>0</v>
      </c>
    </row>
    <row r="146" spans="1:21" x14ac:dyDescent="0.25">
      <c r="A146" t="s">
        <v>193</v>
      </c>
      <c r="B146">
        <v>50</v>
      </c>
      <c r="C146" t="s">
        <v>21</v>
      </c>
      <c r="D146" t="s">
        <v>35</v>
      </c>
      <c r="E146" t="s">
        <v>31</v>
      </c>
      <c r="F146" t="s">
        <v>23</v>
      </c>
      <c r="G146">
        <v>6814.17</v>
      </c>
      <c r="H146">
        <v>4841.46</v>
      </c>
      <c r="I146">
        <v>44165.67</v>
      </c>
      <c r="J146" t="s">
        <v>37</v>
      </c>
      <c r="K146" t="s">
        <v>38</v>
      </c>
      <c r="L146">
        <v>0</v>
      </c>
      <c r="M146">
        <v>0</v>
      </c>
      <c r="N146">
        <v>0</v>
      </c>
      <c r="O146">
        <v>0</v>
      </c>
      <c r="P146">
        <v>0</v>
      </c>
      <c r="Q146">
        <v>449</v>
      </c>
      <c r="R146">
        <v>0.54</v>
      </c>
      <c r="S146" t="s">
        <v>39</v>
      </c>
      <c r="T146" s="1">
        <v>45538</v>
      </c>
      <c r="U146">
        <v>0</v>
      </c>
    </row>
    <row r="147" spans="1:21" x14ac:dyDescent="0.25">
      <c r="A147" t="s">
        <v>194</v>
      </c>
      <c r="B147">
        <v>55</v>
      </c>
      <c r="C147" t="s">
        <v>30</v>
      </c>
      <c r="D147" t="s">
        <v>22</v>
      </c>
      <c r="E147" t="s">
        <v>31</v>
      </c>
      <c r="F147" t="s">
        <v>36</v>
      </c>
      <c r="G147">
        <v>6462.61</v>
      </c>
      <c r="H147">
        <v>2203.2600000000002</v>
      </c>
      <c r="I147">
        <v>67868.490000000005</v>
      </c>
      <c r="J147" t="s">
        <v>37</v>
      </c>
      <c r="K147" t="s">
        <v>38</v>
      </c>
      <c r="L147">
        <v>0</v>
      </c>
      <c r="M147">
        <v>0</v>
      </c>
      <c r="N147">
        <v>0</v>
      </c>
      <c r="O147">
        <v>0</v>
      </c>
      <c r="P147">
        <v>0</v>
      </c>
      <c r="Q147">
        <v>432</v>
      </c>
      <c r="R147">
        <v>0.88</v>
      </c>
      <c r="S147" t="s">
        <v>39</v>
      </c>
      <c r="T147" s="1">
        <v>45722</v>
      </c>
      <c r="U147">
        <v>0</v>
      </c>
    </row>
    <row r="148" spans="1:21" x14ac:dyDescent="0.25">
      <c r="A148" t="s">
        <v>195</v>
      </c>
      <c r="B148">
        <v>58</v>
      </c>
      <c r="C148" t="s">
        <v>29</v>
      </c>
      <c r="D148" t="s">
        <v>35</v>
      </c>
      <c r="E148" t="s">
        <v>31</v>
      </c>
      <c r="F148" t="s">
        <v>36</v>
      </c>
      <c r="G148">
        <v>4833.1099999999997</v>
      </c>
      <c r="H148">
        <v>3405.17</v>
      </c>
      <c r="I148">
        <v>9715.56</v>
      </c>
      <c r="J148" t="s">
        <v>37</v>
      </c>
      <c r="K148" t="s">
        <v>38</v>
      </c>
      <c r="L148">
        <v>0</v>
      </c>
      <c r="M148">
        <v>0</v>
      </c>
      <c r="N148">
        <v>0</v>
      </c>
      <c r="O148">
        <v>0</v>
      </c>
      <c r="P148">
        <v>0</v>
      </c>
      <c r="Q148">
        <v>373</v>
      </c>
      <c r="R148">
        <v>0.17</v>
      </c>
      <c r="S148" t="s">
        <v>72</v>
      </c>
      <c r="T148" s="1">
        <v>45521</v>
      </c>
      <c r="U148">
        <v>0</v>
      </c>
    </row>
    <row r="149" spans="1:21" x14ac:dyDescent="0.25">
      <c r="A149" t="s">
        <v>196</v>
      </c>
      <c r="B149">
        <v>69</v>
      </c>
      <c r="C149" t="s">
        <v>21</v>
      </c>
      <c r="D149" t="s">
        <v>41</v>
      </c>
      <c r="E149" t="s">
        <v>31</v>
      </c>
      <c r="F149" t="s">
        <v>44</v>
      </c>
      <c r="G149">
        <v>5218.38</v>
      </c>
      <c r="H149">
        <v>3501.47</v>
      </c>
      <c r="I149">
        <v>49675.11</v>
      </c>
      <c r="J149" t="s">
        <v>37</v>
      </c>
      <c r="K149" t="s">
        <v>38</v>
      </c>
      <c r="L149">
        <v>0</v>
      </c>
      <c r="M149">
        <v>0</v>
      </c>
      <c r="N149">
        <v>0</v>
      </c>
      <c r="O149">
        <v>0</v>
      </c>
      <c r="P149">
        <v>0</v>
      </c>
      <c r="Q149">
        <v>810</v>
      </c>
      <c r="R149">
        <v>0.79</v>
      </c>
      <c r="S149" t="s">
        <v>47</v>
      </c>
      <c r="T149" s="1">
        <v>44408</v>
      </c>
      <c r="U149">
        <v>0</v>
      </c>
    </row>
    <row r="150" spans="1:21" x14ac:dyDescent="0.25">
      <c r="A150" t="s">
        <v>197</v>
      </c>
      <c r="B150">
        <v>46</v>
      </c>
      <c r="C150" t="s">
        <v>29</v>
      </c>
      <c r="D150" t="s">
        <v>41</v>
      </c>
      <c r="E150" t="s">
        <v>31</v>
      </c>
      <c r="F150" t="s">
        <v>52</v>
      </c>
      <c r="G150">
        <v>1646.9</v>
      </c>
      <c r="H150">
        <v>1434.33</v>
      </c>
      <c r="I150">
        <v>13547.01</v>
      </c>
      <c r="J150" t="s">
        <v>37</v>
      </c>
      <c r="K150" t="s">
        <v>38</v>
      </c>
      <c r="L150">
        <v>0</v>
      </c>
      <c r="M150">
        <v>0</v>
      </c>
      <c r="N150">
        <v>0</v>
      </c>
      <c r="O150">
        <v>0</v>
      </c>
      <c r="P150">
        <v>0</v>
      </c>
      <c r="Q150">
        <v>698</v>
      </c>
      <c r="R150">
        <v>0.69</v>
      </c>
      <c r="S150" t="s">
        <v>30</v>
      </c>
      <c r="T150" s="1">
        <v>45388</v>
      </c>
      <c r="U150">
        <v>0</v>
      </c>
    </row>
    <row r="151" spans="1:21" x14ac:dyDescent="0.25">
      <c r="A151" t="s">
        <v>198</v>
      </c>
      <c r="B151">
        <v>44</v>
      </c>
      <c r="C151" t="s">
        <v>21</v>
      </c>
      <c r="D151" t="s">
        <v>35</v>
      </c>
      <c r="E151" t="s">
        <v>31</v>
      </c>
      <c r="F151" t="s">
        <v>32</v>
      </c>
      <c r="G151">
        <v>5562.86</v>
      </c>
      <c r="H151">
        <v>2331.5300000000002</v>
      </c>
      <c r="I151">
        <v>8967.6200000000008</v>
      </c>
      <c r="J151" t="s">
        <v>37</v>
      </c>
      <c r="K151" t="s">
        <v>38</v>
      </c>
      <c r="L151">
        <v>0</v>
      </c>
      <c r="M151">
        <v>0</v>
      </c>
      <c r="N151">
        <v>0</v>
      </c>
      <c r="O151">
        <v>0</v>
      </c>
      <c r="P151">
        <v>0</v>
      </c>
      <c r="Q151">
        <v>503</v>
      </c>
      <c r="R151">
        <v>0.13</v>
      </c>
      <c r="S151" t="s">
        <v>72</v>
      </c>
      <c r="T151" s="1">
        <v>45131</v>
      </c>
      <c r="U151">
        <v>0</v>
      </c>
    </row>
    <row r="152" spans="1:21" x14ac:dyDescent="0.25">
      <c r="A152" t="s">
        <v>199</v>
      </c>
      <c r="B152">
        <v>35</v>
      </c>
      <c r="C152" t="s">
        <v>29</v>
      </c>
      <c r="D152" t="s">
        <v>35</v>
      </c>
      <c r="E152" t="s">
        <v>31</v>
      </c>
      <c r="F152" t="s">
        <v>36</v>
      </c>
      <c r="G152">
        <v>2018.6</v>
      </c>
      <c r="H152">
        <v>1556.66</v>
      </c>
      <c r="I152">
        <v>22813.93</v>
      </c>
      <c r="J152" t="s">
        <v>37</v>
      </c>
      <c r="K152" t="s">
        <v>38</v>
      </c>
      <c r="L152">
        <v>0</v>
      </c>
      <c r="M152">
        <v>0</v>
      </c>
      <c r="N152">
        <v>0</v>
      </c>
      <c r="O152">
        <v>0</v>
      </c>
      <c r="P152">
        <v>0</v>
      </c>
      <c r="Q152">
        <v>568</v>
      </c>
      <c r="R152">
        <v>0.94</v>
      </c>
      <c r="S152" t="s">
        <v>39</v>
      </c>
      <c r="T152" s="1">
        <v>45004</v>
      </c>
      <c r="U152">
        <v>0</v>
      </c>
    </row>
    <row r="153" spans="1:21" x14ac:dyDescent="0.25">
      <c r="A153" t="s">
        <v>200</v>
      </c>
      <c r="B153">
        <v>68</v>
      </c>
      <c r="C153" t="s">
        <v>21</v>
      </c>
      <c r="D153" t="s">
        <v>41</v>
      </c>
      <c r="E153" t="s">
        <v>31</v>
      </c>
      <c r="F153" t="s">
        <v>32</v>
      </c>
      <c r="G153">
        <v>1323.34</v>
      </c>
      <c r="H153">
        <v>856.08</v>
      </c>
      <c r="I153">
        <v>11254.63</v>
      </c>
      <c r="J153" t="s">
        <v>37</v>
      </c>
      <c r="K153" t="s">
        <v>38</v>
      </c>
      <c r="L153">
        <v>0</v>
      </c>
      <c r="M153">
        <v>0</v>
      </c>
      <c r="N153">
        <v>0</v>
      </c>
      <c r="O153">
        <v>0</v>
      </c>
      <c r="P153">
        <v>0</v>
      </c>
      <c r="Q153">
        <v>544</v>
      </c>
      <c r="R153">
        <v>0.71</v>
      </c>
      <c r="S153" t="s">
        <v>27</v>
      </c>
      <c r="T153" s="1">
        <v>45026</v>
      </c>
      <c r="U153">
        <v>0</v>
      </c>
    </row>
    <row r="154" spans="1:21" x14ac:dyDescent="0.25">
      <c r="A154" t="s">
        <v>201</v>
      </c>
      <c r="B154">
        <v>43</v>
      </c>
      <c r="C154" t="s">
        <v>29</v>
      </c>
      <c r="D154" t="s">
        <v>41</v>
      </c>
      <c r="E154" t="s">
        <v>31</v>
      </c>
      <c r="F154" t="s">
        <v>49</v>
      </c>
      <c r="G154">
        <v>5315.79</v>
      </c>
      <c r="H154">
        <v>3913.3</v>
      </c>
      <c r="I154">
        <v>13879.46</v>
      </c>
      <c r="J154" t="s">
        <v>25</v>
      </c>
      <c r="K154" t="s">
        <v>54</v>
      </c>
      <c r="L154">
        <v>377514.45</v>
      </c>
      <c r="M154">
        <v>180</v>
      </c>
      <c r="N154">
        <v>2741.63</v>
      </c>
      <c r="O154">
        <v>3.73</v>
      </c>
      <c r="P154">
        <v>0.52</v>
      </c>
      <c r="Q154">
        <v>743</v>
      </c>
      <c r="R154">
        <v>0.22</v>
      </c>
      <c r="S154" t="s">
        <v>47</v>
      </c>
      <c r="T154" s="1">
        <v>45124</v>
      </c>
      <c r="U154">
        <v>1</v>
      </c>
    </row>
    <row r="155" spans="1:21" x14ac:dyDescent="0.25">
      <c r="A155" t="s">
        <v>202</v>
      </c>
      <c r="B155">
        <v>22</v>
      </c>
      <c r="C155" t="s">
        <v>21</v>
      </c>
      <c r="D155" t="s">
        <v>30</v>
      </c>
      <c r="E155" t="s">
        <v>31</v>
      </c>
      <c r="F155" t="s">
        <v>42</v>
      </c>
      <c r="G155">
        <v>3731.91</v>
      </c>
      <c r="H155">
        <v>1156.31</v>
      </c>
      <c r="I155">
        <v>40993.620000000003</v>
      </c>
      <c r="J155" t="s">
        <v>25</v>
      </c>
      <c r="K155" t="s">
        <v>26</v>
      </c>
      <c r="L155">
        <v>355844.46</v>
      </c>
      <c r="M155">
        <v>120</v>
      </c>
      <c r="N155">
        <v>6482.98</v>
      </c>
      <c r="O155">
        <v>18.309999999999999</v>
      </c>
      <c r="P155">
        <v>1.74</v>
      </c>
      <c r="Q155">
        <v>615</v>
      </c>
      <c r="R155">
        <v>0.92</v>
      </c>
      <c r="S155" t="s">
        <v>72</v>
      </c>
      <c r="T155" s="1">
        <v>45594</v>
      </c>
      <c r="U155">
        <v>1</v>
      </c>
    </row>
    <row r="156" spans="1:21" x14ac:dyDescent="0.25">
      <c r="A156" t="s">
        <v>203</v>
      </c>
      <c r="B156">
        <v>29</v>
      </c>
      <c r="C156" t="s">
        <v>29</v>
      </c>
      <c r="D156" t="s">
        <v>22</v>
      </c>
      <c r="E156" t="s">
        <v>49</v>
      </c>
      <c r="F156" t="s">
        <v>32</v>
      </c>
      <c r="G156">
        <v>3962.64</v>
      </c>
      <c r="H156">
        <v>3084.51</v>
      </c>
      <c r="I156">
        <v>33585.599999999999</v>
      </c>
      <c r="J156" t="s">
        <v>37</v>
      </c>
      <c r="K156" t="s">
        <v>38</v>
      </c>
      <c r="L156">
        <v>0</v>
      </c>
      <c r="M156">
        <v>0</v>
      </c>
      <c r="N156">
        <v>0</v>
      </c>
      <c r="O156">
        <v>0</v>
      </c>
      <c r="P156">
        <v>0</v>
      </c>
      <c r="Q156">
        <v>678</v>
      </c>
      <c r="R156">
        <v>0.71</v>
      </c>
      <c r="S156" t="s">
        <v>30</v>
      </c>
      <c r="T156" s="1">
        <v>45807</v>
      </c>
      <c r="U156">
        <v>0</v>
      </c>
    </row>
    <row r="157" spans="1:21" x14ac:dyDescent="0.25">
      <c r="A157" t="s">
        <v>204</v>
      </c>
      <c r="B157">
        <v>39</v>
      </c>
      <c r="C157" t="s">
        <v>21</v>
      </c>
      <c r="D157" t="s">
        <v>35</v>
      </c>
      <c r="E157" t="s">
        <v>31</v>
      </c>
      <c r="F157" t="s">
        <v>63</v>
      </c>
      <c r="G157">
        <v>3511.81</v>
      </c>
      <c r="H157">
        <v>1410.67</v>
      </c>
      <c r="I157">
        <v>4627.9799999999996</v>
      </c>
      <c r="J157" t="s">
        <v>37</v>
      </c>
      <c r="K157" t="s">
        <v>38</v>
      </c>
      <c r="L157">
        <v>0</v>
      </c>
      <c r="M157">
        <v>0</v>
      </c>
      <c r="N157">
        <v>0</v>
      </c>
      <c r="O157">
        <v>0</v>
      </c>
      <c r="P157">
        <v>0</v>
      </c>
      <c r="Q157">
        <v>419</v>
      </c>
      <c r="R157">
        <v>0.11</v>
      </c>
      <c r="S157" t="s">
        <v>39</v>
      </c>
      <c r="T157" s="1">
        <v>44744</v>
      </c>
      <c r="U157">
        <v>0</v>
      </c>
    </row>
    <row r="158" spans="1:21" x14ac:dyDescent="0.25">
      <c r="A158" t="s">
        <v>205</v>
      </c>
      <c r="B158">
        <v>45</v>
      </c>
      <c r="C158" t="s">
        <v>29</v>
      </c>
      <c r="D158" t="s">
        <v>41</v>
      </c>
      <c r="E158" t="s">
        <v>49</v>
      </c>
      <c r="F158" t="s">
        <v>44</v>
      </c>
      <c r="G158">
        <v>5349.01</v>
      </c>
      <c r="H158">
        <v>3868.27</v>
      </c>
      <c r="I158">
        <v>48911.28</v>
      </c>
      <c r="J158" t="s">
        <v>37</v>
      </c>
      <c r="K158" t="s">
        <v>38</v>
      </c>
      <c r="L158">
        <v>0</v>
      </c>
      <c r="M158">
        <v>0</v>
      </c>
      <c r="N158">
        <v>0</v>
      </c>
      <c r="O158">
        <v>0</v>
      </c>
      <c r="P158">
        <v>0</v>
      </c>
      <c r="Q158">
        <v>511</v>
      </c>
      <c r="R158">
        <v>0.76</v>
      </c>
      <c r="S158" t="s">
        <v>72</v>
      </c>
      <c r="T158" s="1">
        <v>45278</v>
      </c>
      <c r="U158">
        <v>0</v>
      </c>
    </row>
    <row r="159" spans="1:21" x14ac:dyDescent="0.25">
      <c r="A159" t="s">
        <v>206</v>
      </c>
      <c r="B159">
        <v>68</v>
      </c>
      <c r="C159" t="s">
        <v>21</v>
      </c>
      <c r="D159" t="s">
        <v>41</v>
      </c>
      <c r="E159" t="s">
        <v>23</v>
      </c>
      <c r="F159" t="s">
        <v>32</v>
      </c>
      <c r="G159">
        <v>2183.1799999999998</v>
      </c>
      <c r="H159">
        <v>1689.99</v>
      </c>
      <c r="I159">
        <v>23243.53</v>
      </c>
      <c r="J159" t="s">
        <v>25</v>
      </c>
      <c r="K159" t="s">
        <v>26</v>
      </c>
      <c r="L159">
        <v>243425.86</v>
      </c>
      <c r="M159">
        <v>300</v>
      </c>
      <c r="N159">
        <v>2303.6</v>
      </c>
      <c r="O159">
        <v>10.53</v>
      </c>
      <c r="P159">
        <v>1.06</v>
      </c>
      <c r="Q159">
        <v>409</v>
      </c>
      <c r="R159">
        <v>0.89</v>
      </c>
      <c r="S159" t="s">
        <v>47</v>
      </c>
      <c r="T159" s="1">
        <v>45785</v>
      </c>
      <c r="U159">
        <v>1</v>
      </c>
    </row>
    <row r="160" spans="1:21" x14ac:dyDescent="0.25">
      <c r="A160" t="s">
        <v>207</v>
      </c>
      <c r="B160">
        <v>54</v>
      </c>
      <c r="C160" t="s">
        <v>21</v>
      </c>
      <c r="D160" t="s">
        <v>35</v>
      </c>
      <c r="E160" t="s">
        <v>31</v>
      </c>
      <c r="F160" t="s">
        <v>49</v>
      </c>
      <c r="G160">
        <v>6866.43</v>
      </c>
      <c r="H160">
        <v>3565.55</v>
      </c>
      <c r="I160">
        <v>67002.53</v>
      </c>
      <c r="J160" t="s">
        <v>25</v>
      </c>
      <c r="K160" t="s">
        <v>45</v>
      </c>
      <c r="L160">
        <v>274965.93</v>
      </c>
      <c r="M160">
        <v>360</v>
      </c>
      <c r="N160">
        <v>6659.97</v>
      </c>
      <c r="O160">
        <v>29.06</v>
      </c>
      <c r="P160">
        <v>0.97</v>
      </c>
      <c r="Q160">
        <v>528</v>
      </c>
      <c r="R160">
        <v>0.81</v>
      </c>
      <c r="S160" t="s">
        <v>72</v>
      </c>
      <c r="T160" s="1">
        <v>44554</v>
      </c>
      <c r="U160">
        <v>1</v>
      </c>
    </row>
    <row r="161" spans="1:21" x14ac:dyDescent="0.25">
      <c r="A161" t="s">
        <v>208</v>
      </c>
      <c r="B161">
        <v>35</v>
      </c>
      <c r="C161" t="s">
        <v>29</v>
      </c>
      <c r="D161" t="s">
        <v>41</v>
      </c>
      <c r="E161" t="s">
        <v>49</v>
      </c>
      <c r="F161" t="s">
        <v>63</v>
      </c>
      <c r="G161">
        <v>4395.34</v>
      </c>
      <c r="H161">
        <v>2400.67</v>
      </c>
      <c r="I161">
        <v>10962.12</v>
      </c>
      <c r="J161" t="s">
        <v>37</v>
      </c>
      <c r="K161" t="s">
        <v>38</v>
      </c>
      <c r="L161">
        <v>0</v>
      </c>
      <c r="M161">
        <v>0</v>
      </c>
      <c r="N161">
        <v>0</v>
      </c>
      <c r="O161">
        <v>0</v>
      </c>
      <c r="P161">
        <v>0</v>
      </c>
      <c r="Q161">
        <v>546</v>
      </c>
      <c r="R161">
        <v>0.21</v>
      </c>
      <c r="S161" t="s">
        <v>39</v>
      </c>
      <c r="T161" s="1">
        <v>45293</v>
      </c>
      <c r="U161">
        <v>0</v>
      </c>
    </row>
    <row r="162" spans="1:21" x14ac:dyDescent="0.25">
      <c r="A162" t="s">
        <v>209</v>
      </c>
      <c r="B162">
        <v>69</v>
      </c>
      <c r="C162" t="s">
        <v>21</v>
      </c>
      <c r="D162" t="s">
        <v>41</v>
      </c>
      <c r="E162" t="s">
        <v>31</v>
      </c>
      <c r="F162" t="s">
        <v>49</v>
      </c>
      <c r="G162">
        <v>3258.32</v>
      </c>
      <c r="H162">
        <v>1579.23</v>
      </c>
      <c r="I162">
        <v>5491.49</v>
      </c>
      <c r="J162" t="s">
        <v>25</v>
      </c>
      <c r="K162" t="s">
        <v>33</v>
      </c>
      <c r="L162">
        <v>199385.44</v>
      </c>
      <c r="M162">
        <v>360</v>
      </c>
      <c r="N162">
        <v>1506.33</v>
      </c>
      <c r="O162">
        <v>8.31</v>
      </c>
      <c r="P162">
        <v>0.46</v>
      </c>
      <c r="Q162">
        <v>346</v>
      </c>
      <c r="R162">
        <v>0.14000000000000001</v>
      </c>
      <c r="S162" t="s">
        <v>72</v>
      </c>
      <c r="T162" s="1">
        <v>44664</v>
      </c>
      <c r="U162">
        <v>1</v>
      </c>
    </row>
    <row r="163" spans="1:21" x14ac:dyDescent="0.25">
      <c r="A163" t="s">
        <v>210</v>
      </c>
      <c r="B163">
        <v>25</v>
      </c>
      <c r="C163" t="s">
        <v>29</v>
      </c>
      <c r="D163" t="s">
        <v>41</v>
      </c>
      <c r="E163" t="s">
        <v>31</v>
      </c>
      <c r="F163" t="s">
        <v>44</v>
      </c>
      <c r="G163">
        <v>5005.33</v>
      </c>
      <c r="H163">
        <v>2430.4699999999998</v>
      </c>
      <c r="I163">
        <v>41643.019999999997</v>
      </c>
      <c r="J163" t="s">
        <v>25</v>
      </c>
      <c r="K163" t="s">
        <v>54</v>
      </c>
      <c r="L163">
        <v>15653.78</v>
      </c>
      <c r="M163">
        <v>180</v>
      </c>
      <c r="N163">
        <v>162.13999999999999</v>
      </c>
      <c r="O163">
        <v>9.36</v>
      </c>
      <c r="P163">
        <v>0.03</v>
      </c>
      <c r="Q163">
        <v>837</v>
      </c>
      <c r="R163">
        <v>0.69</v>
      </c>
      <c r="S163" t="s">
        <v>27</v>
      </c>
      <c r="T163" s="1">
        <v>44491</v>
      </c>
      <c r="U163">
        <v>0</v>
      </c>
    </row>
    <row r="164" spans="1:21" x14ac:dyDescent="0.25">
      <c r="A164" t="s">
        <v>211</v>
      </c>
      <c r="B164">
        <v>64</v>
      </c>
      <c r="C164" t="s">
        <v>29</v>
      </c>
      <c r="D164" t="s">
        <v>22</v>
      </c>
      <c r="E164" t="s">
        <v>31</v>
      </c>
      <c r="F164" t="s">
        <v>49</v>
      </c>
      <c r="G164">
        <v>3213.83</v>
      </c>
      <c r="H164">
        <v>1334.45</v>
      </c>
      <c r="I164">
        <v>16138.02</v>
      </c>
      <c r="J164" t="s">
        <v>25</v>
      </c>
      <c r="K164" t="s">
        <v>54</v>
      </c>
      <c r="L164">
        <v>114395.17</v>
      </c>
      <c r="M164">
        <v>36</v>
      </c>
      <c r="N164">
        <v>4058.6</v>
      </c>
      <c r="O164">
        <v>16.649999999999999</v>
      </c>
      <c r="P164">
        <v>1.26</v>
      </c>
      <c r="Q164">
        <v>849</v>
      </c>
      <c r="R164">
        <v>0.42</v>
      </c>
      <c r="S164" t="s">
        <v>39</v>
      </c>
      <c r="T164" s="1">
        <v>44724</v>
      </c>
      <c r="U164">
        <v>1</v>
      </c>
    </row>
    <row r="165" spans="1:21" x14ac:dyDescent="0.25">
      <c r="A165" t="s">
        <v>212</v>
      </c>
      <c r="B165">
        <v>54</v>
      </c>
      <c r="C165" t="s">
        <v>29</v>
      </c>
      <c r="D165" t="s">
        <v>41</v>
      </c>
      <c r="E165" t="s">
        <v>31</v>
      </c>
      <c r="F165" t="s">
        <v>52</v>
      </c>
      <c r="G165">
        <v>500</v>
      </c>
      <c r="H165">
        <v>217.49</v>
      </c>
      <c r="I165">
        <v>3047.8</v>
      </c>
      <c r="J165" t="s">
        <v>37</v>
      </c>
      <c r="K165" t="s">
        <v>38</v>
      </c>
      <c r="L165">
        <v>0</v>
      </c>
      <c r="M165">
        <v>0</v>
      </c>
      <c r="N165">
        <v>0</v>
      </c>
      <c r="O165">
        <v>0</v>
      </c>
      <c r="P165">
        <v>0</v>
      </c>
      <c r="Q165">
        <v>483</v>
      </c>
      <c r="R165">
        <v>0.51</v>
      </c>
      <c r="S165" t="s">
        <v>30</v>
      </c>
      <c r="T165" s="1">
        <v>44526</v>
      </c>
      <c r="U165">
        <v>0</v>
      </c>
    </row>
    <row r="166" spans="1:21" x14ac:dyDescent="0.25">
      <c r="A166" t="s">
        <v>213</v>
      </c>
      <c r="B166">
        <v>68</v>
      </c>
      <c r="C166" t="s">
        <v>29</v>
      </c>
      <c r="D166" t="s">
        <v>22</v>
      </c>
      <c r="E166" t="s">
        <v>31</v>
      </c>
      <c r="F166" t="s">
        <v>24</v>
      </c>
      <c r="G166">
        <v>3291.84</v>
      </c>
      <c r="H166">
        <v>2059.75</v>
      </c>
      <c r="I166">
        <v>28763.360000000001</v>
      </c>
      <c r="J166" t="s">
        <v>37</v>
      </c>
      <c r="K166" t="s">
        <v>38</v>
      </c>
      <c r="L166">
        <v>0</v>
      </c>
      <c r="M166">
        <v>0</v>
      </c>
      <c r="N166">
        <v>0</v>
      </c>
      <c r="O166">
        <v>0</v>
      </c>
      <c r="P166">
        <v>0</v>
      </c>
      <c r="Q166">
        <v>310</v>
      </c>
      <c r="R166">
        <v>0.73</v>
      </c>
      <c r="S166" t="s">
        <v>39</v>
      </c>
      <c r="T166" s="1">
        <v>45492</v>
      </c>
      <c r="U166">
        <v>0</v>
      </c>
    </row>
    <row r="167" spans="1:21" x14ac:dyDescent="0.25">
      <c r="A167" t="s">
        <v>214</v>
      </c>
      <c r="B167">
        <v>36</v>
      </c>
      <c r="C167" t="s">
        <v>21</v>
      </c>
      <c r="D167" t="s">
        <v>41</v>
      </c>
      <c r="E167" t="s">
        <v>23</v>
      </c>
      <c r="F167" t="s">
        <v>44</v>
      </c>
      <c r="G167">
        <v>3524.02</v>
      </c>
      <c r="H167">
        <v>1474.38</v>
      </c>
      <c r="I167">
        <v>24395.18</v>
      </c>
      <c r="J167" t="s">
        <v>37</v>
      </c>
      <c r="K167" t="s">
        <v>38</v>
      </c>
      <c r="L167">
        <v>0</v>
      </c>
      <c r="M167">
        <v>0</v>
      </c>
      <c r="N167">
        <v>0</v>
      </c>
      <c r="O167">
        <v>0</v>
      </c>
      <c r="P167">
        <v>0</v>
      </c>
      <c r="Q167">
        <v>342</v>
      </c>
      <c r="R167">
        <v>0.57999999999999996</v>
      </c>
      <c r="S167" t="s">
        <v>30</v>
      </c>
      <c r="T167" s="1">
        <v>45075</v>
      </c>
      <c r="U167">
        <v>0</v>
      </c>
    </row>
    <row r="168" spans="1:21" x14ac:dyDescent="0.25">
      <c r="A168" t="s">
        <v>215</v>
      </c>
      <c r="B168">
        <v>23</v>
      </c>
      <c r="C168" t="s">
        <v>21</v>
      </c>
      <c r="D168" t="s">
        <v>35</v>
      </c>
      <c r="E168" t="s">
        <v>31</v>
      </c>
      <c r="F168" t="s">
        <v>52</v>
      </c>
      <c r="G168">
        <v>4668.07</v>
      </c>
      <c r="H168">
        <v>3396.73</v>
      </c>
      <c r="I168">
        <v>29194.880000000001</v>
      </c>
      <c r="J168" t="s">
        <v>25</v>
      </c>
      <c r="K168" t="s">
        <v>54</v>
      </c>
      <c r="L168">
        <v>263139.24</v>
      </c>
      <c r="M168">
        <v>360</v>
      </c>
      <c r="N168">
        <v>4258.71</v>
      </c>
      <c r="O168">
        <v>19.36</v>
      </c>
      <c r="P168">
        <v>0.91</v>
      </c>
      <c r="Q168">
        <v>448</v>
      </c>
      <c r="R168">
        <v>0.52</v>
      </c>
      <c r="S168" t="s">
        <v>30</v>
      </c>
      <c r="T168" s="1">
        <v>45145</v>
      </c>
      <c r="U168">
        <v>1</v>
      </c>
    </row>
    <row r="169" spans="1:21" x14ac:dyDescent="0.25">
      <c r="A169" t="s">
        <v>216</v>
      </c>
      <c r="B169">
        <v>59</v>
      </c>
      <c r="C169" t="s">
        <v>29</v>
      </c>
      <c r="D169" t="s">
        <v>22</v>
      </c>
      <c r="E169" t="s">
        <v>31</v>
      </c>
      <c r="F169" t="s">
        <v>49</v>
      </c>
      <c r="G169">
        <v>3197.42</v>
      </c>
      <c r="H169">
        <v>2328.09</v>
      </c>
      <c r="I169">
        <v>13112.97</v>
      </c>
      <c r="J169" t="s">
        <v>37</v>
      </c>
      <c r="K169" t="s">
        <v>38</v>
      </c>
      <c r="L169">
        <v>0</v>
      </c>
      <c r="M169">
        <v>0</v>
      </c>
      <c r="N169">
        <v>0</v>
      </c>
      <c r="O169">
        <v>0</v>
      </c>
      <c r="P169">
        <v>0</v>
      </c>
      <c r="Q169">
        <v>751</v>
      </c>
      <c r="R169">
        <v>0.34</v>
      </c>
      <c r="S169" t="s">
        <v>30</v>
      </c>
      <c r="T169" s="1">
        <v>45362</v>
      </c>
      <c r="U169">
        <v>0</v>
      </c>
    </row>
    <row r="170" spans="1:21" x14ac:dyDescent="0.25">
      <c r="A170" t="s">
        <v>217</v>
      </c>
      <c r="B170">
        <v>32</v>
      </c>
      <c r="C170" t="s">
        <v>21</v>
      </c>
      <c r="D170" t="s">
        <v>41</v>
      </c>
      <c r="E170" t="s">
        <v>31</v>
      </c>
      <c r="F170" t="s">
        <v>32</v>
      </c>
      <c r="G170">
        <v>5991.14</v>
      </c>
      <c r="H170">
        <v>3349.96</v>
      </c>
      <c r="I170">
        <v>35688.65</v>
      </c>
      <c r="J170" t="s">
        <v>25</v>
      </c>
      <c r="K170" t="s">
        <v>26</v>
      </c>
      <c r="L170">
        <v>253051.1</v>
      </c>
      <c r="M170">
        <v>360</v>
      </c>
      <c r="N170">
        <v>3741.47</v>
      </c>
      <c r="O170">
        <v>17.649999999999999</v>
      </c>
      <c r="P170">
        <v>0.62</v>
      </c>
      <c r="Q170">
        <v>636</v>
      </c>
      <c r="R170">
        <v>0.5</v>
      </c>
      <c r="S170" t="s">
        <v>47</v>
      </c>
      <c r="T170" s="1">
        <v>45692</v>
      </c>
      <c r="U170">
        <v>1</v>
      </c>
    </row>
    <row r="171" spans="1:21" x14ac:dyDescent="0.25">
      <c r="A171" t="s">
        <v>218</v>
      </c>
      <c r="B171">
        <v>38</v>
      </c>
      <c r="C171" t="s">
        <v>30</v>
      </c>
      <c r="D171" t="s">
        <v>41</v>
      </c>
      <c r="E171" t="s">
        <v>31</v>
      </c>
      <c r="F171" t="s">
        <v>24</v>
      </c>
      <c r="G171">
        <v>3182.17</v>
      </c>
      <c r="H171">
        <v>1242.44</v>
      </c>
      <c r="I171">
        <v>20639.36</v>
      </c>
      <c r="J171" t="s">
        <v>37</v>
      </c>
      <c r="K171" t="s">
        <v>38</v>
      </c>
      <c r="L171">
        <v>0</v>
      </c>
      <c r="M171">
        <v>0</v>
      </c>
      <c r="N171">
        <v>0</v>
      </c>
      <c r="O171">
        <v>0</v>
      </c>
      <c r="P171">
        <v>0</v>
      </c>
      <c r="Q171">
        <v>357</v>
      </c>
      <c r="R171">
        <v>0.54</v>
      </c>
      <c r="S171" t="s">
        <v>27</v>
      </c>
      <c r="T171" s="1">
        <v>44675</v>
      </c>
      <c r="U171">
        <v>0</v>
      </c>
    </row>
    <row r="172" spans="1:21" x14ac:dyDescent="0.25">
      <c r="A172" t="s">
        <v>219</v>
      </c>
      <c r="B172">
        <v>56</v>
      </c>
      <c r="C172" t="s">
        <v>29</v>
      </c>
      <c r="D172" t="s">
        <v>41</v>
      </c>
      <c r="E172" t="s">
        <v>31</v>
      </c>
      <c r="F172" t="s">
        <v>49</v>
      </c>
      <c r="G172">
        <v>5233.99</v>
      </c>
      <c r="H172">
        <v>2666.32</v>
      </c>
      <c r="I172">
        <v>58840.61</v>
      </c>
      <c r="J172" t="s">
        <v>37</v>
      </c>
      <c r="K172" t="s">
        <v>38</v>
      </c>
      <c r="L172">
        <v>0</v>
      </c>
      <c r="M172">
        <v>0</v>
      </c>
      <c r="N172">
        <v>0</v>
      </c>
      <c r="O172">
        <v>0</v>
      </c>
      <c r="P172">
        <v>0</v>
      </c>
      <c r="Q172">
        <v>643</v>
      </c>
      <c r="R172">
        <v>0.94</v>
      </c>
      <c r="S172" t="s">
        <v>30</v>
      </c>
      <c r="T172" s="1">
        <v>45472</v>
      </c>
      <c r="U172">
        <v>0</v>
      </c>
    </row>
    <row r="173" spans="1:21" x14ac:dyDescent="0.25">
      <c r="A173" t="s">
        <v>220</v>
      </c>
      <c r="B173">
        <v>48</v>
      </c>
      <c r="C173" t="s">
        <v>29</v>
      </c>
      <c r="D173" t="s">
        <v>41</v>
      </c>
      <c r="E173" t="s">
        <v>31</v>
      </c>
      <c r="F173" t="s">
        <v>36</v>
      </c>
      <c r="G173">
        <v>5221.6899999999996</v>
      </c>
      <c r="H173">
        <v>1621.94</v>
      </c>
      <c r="I173">
        <v>50991.73</v>
      </c>
      <c r="J173" t="s">
        <v>25</v>
      </c>
      <c r="K173" t="s">
        <v>26</v>
      </c>
      <c r="L173">
        <v>275304.40000000002</v>
      </c>
      <c r="M173">
        <v>300</v>
      </c>
      <c r="N173">
        <v>2919.94</v>
      </c>
      <c r="O173">
        <v>12.1</v>
      </c>
      <c r="P173">
        <v>0.56000000000000005</v>
      </c>
      <c r="Q173">
        <v>423</v>
      </c>
      <c r="R173">
        <v>0.81</v>
      </c>
      <c r="S173" t="s">
        <v>47</v>
      </c>
      <c r="T173" s="1">
        <v>45759</v>
      </c>
      <c r="U173">
        <v>1</v>
      </c>
    </row>
    <row r="174" spans="1:21" x14ac:dyDescent="0.25">
      <c r="A174" t="s">
        <v>221</v>
      </c>
      <c r="B174">
        <v>33</v>
      </c>
      <c r="C174" t="s">
        <v>21</v>
      </c>
      <c r="D174" t="s">
        <v>35</v>
      </c>
      <c r="E174" t="s">
        <v>51</v>
      </c>
      <c r="F174" t="s">
        <v>36</v>
      </c>
      <c r="G174">
        <v>5689.16</v>
      </c>
      <c r="H174">
        <v>2671.51</v>
      </c>
      <c r="I174">
        <v>22045.46</v>
      </c>
      <c r="J174" t="s">
        <v>25</v>
      </c>
      <c r="K174" t="s">
        <v>33</v>
      </c>
      <c r="L174">
        <v>238304.22</v>
      </c>
      <c r="M174">
        <v>360</v>
      </c>
      <c r="N174">
        <v>5528.11</v>
      </c>
      <c r="O174">
        <v>27.83</v>
      </c>
      <c r="P174">
        <v>0.97</v>
      </c>
      <c r="Q174">
        <v>702</v>
      </c>
      <c r="R174">
        <v>0.32</v>
      </c>
      <c r="S174" t="s">
        <v>30</v>
      </c>
      <c r="T174" s="1">
        <v>45638</v>
      </c>
      <c r="U174">
        <v>1</v>
      </c>
    </row>
    <row r="175" spans="1:21" x14ac:dyDescent="0.25">
      <c r="A175" t="s">
        <v>222</v>
      </c>
      <c r="B175">
        <v>45</v>
      </c>
      <c r="C175" t="s">
        <v>29</v>
      </c>
      <c r="D175" t="s">
        <v>41</v>
      </c>
      <c r="E175" t="s">
        <v>31</v>
      </c>
      <c r="F175" t="s">
        <v>24</v>
      </c>
      <c r="G175">
        <v>3194.79</v>
      </c>
      <c r="H175">
        <v>2090.33</v>
      </c>
      <c r="I175">
        <v>24961.43</v>
      </c>
      <c r="J175" t="s">
        <v>37</v>
      </c>
      <c r="K175" t="s">
        <v>38</v>
      </c>
      <c r="L175">
        <v>0</v>
      </c>
      <c r="M175">
        <v>0</v>
      </c>
      <c r="N175">
        <v>0</v>
      </c>
      <c r="O175">
        <v>0</v>
      </c>
      <c r="P175">
        <v>0</v>
      </c>
      <c r="Q175">
        <v>590</v>
      </c>
      <c r="R175">
        <v>0.65</v>
      </c>
      <c r="S175" t="s">
        <v>47</v>
      </c>
      <c r="T175" s="1">
        <v>44764</v>
      </c>
      <c r="U175">
        <v>0</v>
      </c>
    </row>
    <row r="176" spans="1:21" x14ac:dyDescent="0.25">
      <c r="A176" t="s">
        <v>223</v>
      </c>
      <c r="B176">
        <v>23</v>
      </c>
      <c r="C176" t="s">
        <v>29</v>
      </c>
      <c r="D176" t="s">
        <v>35</v>
      </c>
      <c r="E176" t="s">
        <v>31</v>
      </c>
      <c r="F176" t="s">
        <v>36</v>
      </c>
      <c r="G176">
        <v>1907.3</v>
      </c>
      <c r="H176">
        <v>1168.04</v>
      </c>
      <c r="I176">
        <v>9936.32</v>
      </c>
      <c r="J176" t="s">
        <v>25</v>
      </c>
      <c r="K176" t="s">
        <v>45</v>
      </c>
      <c r="L176">
        <v>17631.07</v>
      </c>
      <c r="M176">
        <v>24</v>
      </c>
      <c r="N176">
        <v>941.62</v>
      </c>
      <c r="O176">
        <v>25.07</v>
      </c>
      <c r="P176">
        <v>0.49</v>
      </c>
      <c r="Q176">
        <v>574</v>
      </c>
      <c r="R176">
        <v>0.43</v>
      </c>
      <c r="S176" t="s">
        <v>30</v>
      </c>
      <c r="T176" s="1">
        <v>45557</v>
      </c>
      <c r="U176">
        <v>1</v>
      </c>
    </row>
    <row r="177" spans="1:21" x14ac:dyDescent="0.25">
      <c r="A177" t="s">
        <v>224</v>
      </c>
      <c r="B177">
        <v>37</v>
      </c>
      <c r="C177" t="s">
        <v>29</v>
      </c>
      <c r="D177" t="s">
        <v>41</v>
      </c>
      <c r="E177" t="s">
        <v>51</v>
      </c>
      <c r="F177" t="s">
        <v>42</v>
      </c>
      <c r="G177">
        <v>3746.43</v>
      </c>
      <c r="H177">
        <v>2641.96</v>
      </c>
      <c r="I177">
        <v>27946.51</v>
      </c>
      <c r="J177" t="s">
        <v>37</v>
      </c>
      <c r="K177" t="s">
        <v>38</v>
      </c>
      <c r="L177">
        <v>0</v>
      </c>
      <c r="M177">
        <v>0</v>
      </c>
      <c r="N177">
        <v>0</v>
      </c>
      <c r="O177">
        <v>0</v>
      </c>
      <c r="P177">
        <v>0</v>
      </c>
      <c r="Q177">
        <v>667</v>
      </c>
      <c r="R177">
        <v>0.62</v>
      </c>
      <c r="S177" t="s">
        <v>27</v>
      </c>
      <c r="T177" s="1">
        <v>44959</v>
      </c>
      <c r="U177">
        <v>0</v>
      </c>
    </row>
    <row r="178" spans="1:21" x14ac:dyDescent="0.25">
      <c r="A178" t="s">
        <v>225</v>
      </c>
      <c r="B178">
        <v>60</v>
      </c>
      <c r="C178" t="s">
        <v>29</v>
      </c>
      <c r="D178" t="s">
        <v>41</v>
      </c>
      <c r="E178" t="s">
        <v>51</v>
      </c>
      <c r="F178" t="s">
        <v>32</v>
      </c>
      <c r="G178">
        <v>6949.27</v>
      </c>
      <c r="H178">
        <v>4463.8</v>
      </c>
      <c r="I178">
        <v>44810.29</v>
      </c>
      <c r="J178" t="s">
        <v>25</v>
      </c>
      <c r="K178" t="s">
        <v>26</v>
      </c>
      <c r="L178">
        <v>75603.649999999994</v>
      </c>
      <c r="M178">
        <v>120</v>
      </c>
      <c r="N178">
        <v>1529.38</v>
      </c>
      <c r="O178">
        <v>21.35</v>
      </c>
      <c r="P178">
        <v>0.22</v>
      </c>
      <c r="Q178">
        <v>805</v>
      </c>
      <c r="R178">
        <v>0.54</v>
      </c>
      <c r="S178" t="s">
        <v>27</v>
      </c>
      <c r="T178" s="1">
        <v>44908</v>
      </c>
      <c r="U178">
        <v>0</v>
      </c>
    </row>
    <row r="179" spans="1:21" x14ac:dyDescent="0.25">
      <c r="A179" t="s">
        <v>226</v>
      </c>
      <c r="B179">
        <v>58</v>
      </c>
      <c r="C179" t="s">
        <v>21</v>
      </c>
      <c r="D179" t="s">
        <v>35</v>
      </c>
      <c r="E179" t="s">
        <v>31</v>
      </c>
      <c r="F179" t="s">
        <v>52</v>
      </c>
      <c r="G179">
        <v>1719.61</v>
      </c>
      <c r="H179">
        <v>1390.61</v>
      </c>
      <c r="I179">
        <v>4351.8</v>
      </c>
      <c r="J179" t="s">
        <v>37</v>
      </c>
      <c r="K179" t="s">
        <v>38</v>
      </c>
      <c r="L179">
        <v>0</v>
      </c>
      <c r="M179">
        <v>0</v>
      </c>
      <c r="N179">
        <v>0</v>
      </c>
      <c r="O179">
        <v>0</v>
      </c>
      <c r="P179">
        <v>0</v>
      </c>
      <c r="Q179">
        <v>570</v>
      </c>
      <c r="R179">
        <v>0.21</v>
      </c>
      <c r="S179" t="s">
        <v>30</v>
      </c>
      <c r="T179" s="1">
        <v>45079</v>
      </c>
      <c r="U179">
        <v>0</v>
      </c>
    </row>
    <row r="180" spans="1:21" x14ac:dyDescent="0.25">
      <c r="A180" t="s">
        <v>227</v>
      </c>
      <c r="B180">
        <v>54</v>
      </c>
      <c r="C180" t="s">
        <v>29</v>
      </c>
      <c r="D180" t="s">
        <v>35</v>
      </c>
      <c r="E180" t="s">
        <v>31</v>
      </c>
      <c r="F180" t="s">
        <v>42</v>
      </c>
      <c r="G180">
        <v>3219.67</v>
      </c>
      <c r="H180">
        <v>1609.34</v>
      </c>
      <c r="I180">
        <v>25841.7</v>
      </c>
      <c r="J180" t="s">
        <v>25</v>
      </c>
      <c r="K180" t="s">
        <v>33</v>
      </c>
      <c r="L180">
        <v>251057.94</v>
      </c>
      <c r="M180">
        <v>240</v>
      </c>
      <c r="N180">
        <v>4105.99</v>
      </c>
      <c r="O180">
        <v>19.190000000000001</v>
      </c>
      <c r="P180">
        <v>1.28</v>
      </c>
      <c r="Q180">
        <v>582</v>
      </c>
      <c r="R180">
        <v>0.67</v>
      </c>
      <c r="S180" t="s">
        <v>39</v>
      </c>
      <c r="T180" s="1">
        <v>45573</v>
      </c>
      <c r="U180">
        <v>1</v>
      </c>
    </row>
    <row r="181" spans="1:21" x14ac:dyDescent="0.25">
      <c r="A181" t="s">
        <v>228</v>
      </c>
      <c r="B181">
        <v>45</v>
      </c>
      <c r="C181" t="s">
        <v>21</v>
      </c>
      <c r="D181" t="s">
        <v>56</v>
      </c>
      <c r="E181" t="s">
        <v>31</v>
      </c>
      <c r="F181" t="s">
        <v>52</v>
      </c>
      <c r="G181">
        <v>4317.43</v>
      </c>
      <c r="H181">
        <v>3355.13</v>
      </c>
      <c r="I181">
        <v>13596.12</v>
      </c>
      <c r="J181" t="s">
        <v>37</v>
      </c>
      <c r="K181" t="s">
        <v>38</v>
      </c>
      <c r="L181">
        <v>0</v>
      </c>
      <c r="M181">
        <v>0</v>
      </c>
      <c r="N181">
        <v>0</v>
      </c>
      <c r="O181">
        <v>0</v>
      </c>
      <c r="P181">
        <v>0</v>
      </c>
      <c r="Q181">
        <v>453</v>
      </c>
      <c r="R181">
        <v>0.26</v>
      </c>
      <c r="S181" t="s">
        <v>72</v>
      </c>
      <c r="T181" s="1">
        <v>45336</v>
      </c>
      <c r="U181">
        <v>0</v>
      </c>
    </row>
    <row r="182" spans="1:21" x14ac:dyDescent="0.25">
      <c r="A182" t="s">
        <v>229</v>
      </c>
      <c r="B182">
        <v>57</v>
      </c>
      <c r="C182" t="s">
        <v>29</v>
      </c>
      <c r="D182" t="s">
        <v>41</v>
      </c>
      <c r="E182" t="s">
        <v>31</v>
      </c>
      <c r="F182" t="s">
        <v>36</v>
      </c>
      <c r="G182">
        <v>5190.47</v>
      </c>
      <c r="H182">
        <v>3738.65</v>
      </c>
      <c r="I182">
        <v>25435.56</v>
      </c>
      <c r="J182" t="s">
        <v>37</v>
      </c>
      <c r="K182" t="s">
        <v>38</v>
      </c>
      <c r="L182">
        <v>0</v>
      </c>
      <c r="M182">
        <v>0</v>
      </c>
      <c r="N182">
        <v>0</v>
      </c>
      <c r="O182">
        <v>0</v>
      </c>
      <c r="P182">
        <v>0</v>
      </c>
      <c r="Q182">
        <v>321</v>
      </c>
      <c r="R182">
        <v>0.41</v>
      </c>
      <c r="S182" t="s">
        <v>47</v>
      </c>
      <c r="T182" s="1">
        <v>45313</v>
      </c>
      <c r="U182">
        <v>0</v>
      </c>
    </row>
    <row r="183" spans="1:21" x14ac:dyDescent="0.25">
      <c r="A183" t="s">
        <v>230</v>
      </c>
      <c r="B183">
        <v>39</v>
      </c>
      <c r="C183" t="s">
        <v>29</v>
      </c>
      <c r="D183" t="s">
        <v>41</v>
      </c>
      <c r="E183" t="s">
        <v>51</v>
      </c>
      <c r="F183" t="s">
        <v>49</v>
      </c>
      <c r="G183">
        <v>2352.14</v>
      </c>
      <c r="H183">
        <v>1694.06</v>
      </c>
      <c r="I183">
        <v>23827.06</v>
      </c>
      <c r="J183" t="s">
        <v>25</v>
      </c>
      <c r="K183" t="s">
        <v>54</v>
      </c>
      <c r="L183">
        <v>265940.92</v>
      </c>
      <c r="M183">
        <v>360</v>
      </c>
      <c r="N183">
        <v>3035.66</v>
      </c>
      <c r="O183">
        <v>13.45</v>
      </c>
      <c r="P183">
        <v>1.29</v>
      </c>
      <c r="Q183">
        <v>337</v>
      </c>
      <c r="R183">
        <v>0.84</v>
      </c>
      <c r="S183" t="s">
        <v>72</v>
      </c>
      <c r="T183" s="1">
        <v>45639</v>
      </c>
      <c r="U183">
        <v>1</v>
      </c>
    </row>
    <row r="184" spans="1:21" x14ac:dyDescent="0.25">
      <c r="A184" t="s">
        <v>231</v>
      </c>
      <c r="B184">
        <v>48</v>
      </c>
      <c r="C184" t="s">
        <v>21</v>
      </c>
      <c r="D184" t="s">
        <v>22</v>
      </c>
      <c r="E184" t="s">
        <v>31</v>
      </c>
      <c r="F184" t="s">
        <v>42</v>
      </c>
      <c r="G184">
        <v>4836.3100000000004</v>
      </c>
      <c r="H184">
        <v>4135.17</v>
      </c>
      <c r="I184">
        <v>19235.330000000002</v>
      </c>
      <c r="J184" t="s">
        <v>37</v>
      </c>
      <c r="K184" t="s">
        <v>38</v>
      </c>
      <c r="L184">
        <v>0</v>
      </c>
      <c r="M184">
        <v>0</v>
      </c>
      <c r="N184">
        <v>0</v>
      </c>
      <c r="O184">
        <v>0</v>
      </c>
      <c r="P184">
        <v>0</v>
      </c>
      <c r="Q184">
        <v>511</v>
      </c>
      <c r="R184">
        <v>0.33</v>
      </c>
      <c r="S184" t="s">
        <v>72</v>
      </c>
      <c r="T184" s="1">
        <v>45444</v>
      </c>
      <c r="U184">
        <v>0</v>
      </c>
    </row>
    <row r="185" spans="1:21" x14ac:dyDescent="0.25">
      <c r="A185" t="s">
        <v>232</v>
      </c>
      <c r="B185">
        <v>31</v>
      </c>
      <c r="C185" t="s">
        <v>29</v>
      </c>
      <c r="D185" t="s">
        <v>30</v>
      </c>
      <c r="E185" t="s">
        <v>31</v>
      </c>
      <c r="F185" t="s">
        <v>52</v>
      </c>
      <c r="G185">
        <v>5422.13</v>
      </c>
      <c r="H185">
        <v>3776.48</v>
      </c>
      <c r="I185">
        <v>15821.5</v>
      </c>
      <c r="J185" t="s">
        <v>25</v>
      </c>
      <c r="K185" t="s">
        <v>45</v>
      </c>
      <c r="L185">
        <v>16231.58</v>
      </c>
      <c r="M185">
        <v>120</v>
      </c>
      <c r="N185">
        <v>344.16</v>
      </c>
      <c r="O185">
        <v>22.78</v>
      </c>
      <c r="P185">
        <v>0.06</v>
      </c>
      <c r="Q185">
        <v>630</v>
      </c>
      <c r="R185">
        <v>0.24</v>
      </c>
      <c r="S185" t="s">
        <v>30</v>
      </c>
      <c r="T185" s="1">
        <v>45662</v>
      </c>
      <c r="U185">
        <v>0</v>
      </c>
    </row>
    <row r="186" spans="1:21" x14ac:dyDescent="0.25">
      <c r="A186" t="s">
        <v>233</v>
      </c>
      <c r="B186">
        <v>59</v>
      </c>
      <c r="C186" t="s">
        <v>30</v>
      </c>
      <c r="D186" t="s">
        <v>41</v>
      </c>
      <c r="E186" t="s">
        <v>49</v>
      </c>
      <c r="F186" t="s">
        <v>24</v>
      </c>
      <c r="G186">
        <v>3664.33</v>
      </c>
      <c r="H186">
        <v>3179.63</v>
      </c>
      <c r="I186">
        <v>40413.19</v>
      </c>
      <c r="J186" t="s">
        <v>37</v>
      </c>
      <c r="K186" t="s">
        <v>38</v>
      </c>
      <c r="L186">
        <v>0</v>
      </c>
      <c r="M186">
        <v>0</v>
      </c>
      <c r="N186">
        <v>0</v>
      </c>
      <c r="O186">
        <v>0</v>
      </c>
      <c r="P186">
        <v>0</v>
      </c>
      <c r="Q186">
        <v>716</v>
      </c>
      <c r="R186">
        <v>0.92</v>
      </c>
      <c r="S186" t="s">
        <v>39</v>
      </c>
      <c r="T186" s="1">
        <v>45386</v>
      </c>
      <c r="U186">
        <v>0</v>
      </c>
    </row>
    <row r="187" spans="1:21" x14ac:dyDescent="0.25">
      <c r="A187" t="s">
        <v>234</v>
      </c>
      <c r="B187">
        <v>44</v>
      </c>
      <c r="C187" t="s">
        <v>29</v>
      </c>
      <c r="D187" t="s">
        <v>41</v>
      </c>
      <c r="E187" t="s">
        <v>31</v>
      </c>
      <c r="F187" t="s">
        <v>49</v>
      </c>
      <c r="G187">
        <v>3138.92</v>
      </c>
      <c r="H187">
        <v>1349.66</v>
      </c>
      <c r="I187">
        <v>31685.49</v>
      </c>
      <c r="J187" t="s">
        <v>25</v>
      </c>
      <c r="K187" t="s">
        <v>54</v>
      </c>
      <c r="L187">
        <v>211520.17</v>
      </c>
      <c r="M187">
        <v>360</v>
      </c>
      <c r="N187">
        <v>4488.34</v>
      </c>
      <c r="O187">
        <v>25.45</v>
      </c>
      <c r="P187">
        <v>1.43</v>
      </c>
      <c r="Q187">
        <v>801</v>
      </c>
      <c r="R187">
        <v>0.84</v>
      </c>
      <c r="S187" t="s">
        <v>39</v>
      </c>
      <c r="T187" s="1">
        <v>45079</v>
      </c>
      <c r="U187">
        <v>1</v>
      </c>
    </row>
    <row r="188" spans="1:21" x14ac:dyDescent="0.25">
      <c r="A188" t="s">
        <v>235</v>
      </c>
      <c r="B188">
        <v>41</v>
      </c>
      <c r="C188" t="s">
        <v>21</v>
      </c>
      <c r="D188" t="s">
        <v>56</v>
      </c>
      <c r="E188" t="s">
        <v>31</v>
      </c>
      <c r="F188" t="s">
        <v>52</v>
      </c>
      <c r="G188">
        <v>3823.79</v>
      </c>
      <c r="H188">
        <v>3340.09</v>
      </c>
      <c r="I188">
        <v>36810.78</v>
      </c>
      <c r="J188" t="s">
        <v>37</v>
      </c>
      <c r="K188" t="s">
        <v>38</v>
      </c>
      <c r="L188">
        <v>0</v>
      </c>
      <c r="M188">
        <v>0</v>
      </c>
      <c r="N188">
        <v>0</v>
      </c>
      <c r="O188">
        <v>0</v>
      </c>
      <c r="P188">
        <v>0</v>
      </c>
      <c r="Q188">
        <v>623</v>
      </c>
      <c r="R188">
        <v>0.8</v>
      </c>
      <c r="S188" t="s">
        <v>39</v>
      </c>
      <c r="T188" s="1">
        <v>44757</v>
      </c>
      <c r="U188">
        <v>0</v>
      </c>
    </row>
    <row r="189" spans="1:21" x14ac:dyDescent="0.25">
      <c r="A189" t="s">
        <v>236</v>
      </c>
      <c r="B189">
        <v>25</v>
      </c>
      <c r="C189" t="s">
        <v>21</v>
      </c>
      <c r="D189" t="s">
        <v>41</v>
      </c>
      <c r="E189" t="s">
        <v>31</v>
      </c>
      <c r="F189" t="s">
        <v>63</v>
      </c>
      <c r="G189">
        <v>8392.84</v>
      </c>
      <c r="H189">
        <v>5387.19</v>
      </c>
      <c r="I189">
        <v>76849.38</v>
      </c>
      <c r="J189" t="s">
        <v>25</v>
      </c>
      <c r="K189" t="s">
        <v>54</v>
      </c>
      <c r="L189">
        <v>98533.54</v>
      </c>
      <c r="M189">
        <v>360</v>
      </c>
      <c r="N189">
        <v>1383.99</v>
      </c>
      <c r="O189">
        <v>16.739999999999998</v>
      </c>
      <c r="P189">
        <v>0.16</v>
      </c>
      <c r="Q189">
        <v>832</v>
      </c>
      <c r="R189">
        <v>0.76</v>
      </c>
      <c r="S189" t="s">
        <v>27</v>
      </c>
      <c r="T189" s="1">
        <v>45659</v>
      </c>
      <c r="U189">
        <v>0</v>
      </c>
    </row>
    <row r="190" spans="1:21" x14ac:dyDescent="0.25">
      <c r="A190" t="s">
        <v>237</v>
      </c>
      <c r="B190">
        <v>20</v>
      </c>
      <c r="C190" t="s">
        <v>21</v>
      </c>
      <c r="D190" t="s">
        <v>41</v>
      </c>
      <c r="E190" t="s">
        <v>51</v>
      </c>
      <c r="F190" t="s">
        <v>52</v>
      </c>
      <c r="G190">
        <v>5654.93</v>
      </c>
      <c r="H190">
        <v>3026.41</v>
      </c>
      <c r="I190">
        <v>35910.85</v>
      </c>
      <c r="J190" t="s">
        <v>37</v>
      </c>
      <c r="K190" t="s">
        <v>38</v>
      </c>
      <c r="L190">
        <v>0</v>
      </c>
      <c r="M190">
        <v>0</v>
      </c>
      <c r="N190">
        <v>0</v>
      </c>
      <c r="O190">
        <v>0</v>
      </c>
      <c r="P190">
        <v>0</v>
      </c>
      <c r="Q190">
        <v>796</v>
      </c>
      <c r="R190">
        <v>0.53</v>
      </c>
      <c r="S190" t="s">
        <v>27</v>
      </c>
      <c r="T190" s="1">
        <v>45494</v>
      </c>
      <c r="U190">
        <v>0</v>
      </c>
    </row>
    <row r="191" spans="1:21" x14ac:dyDescent="0.25">
      <c r="A191" t="s">
        <v>238</v>
      </c>
      <c r="B191">
        <v>52</v>
      </c>
      <c r="C191" t="s">
        <v>29</v>
      </c>
      <c r="D191" t="s">
        <v>22</v>
      </c>
      <c r="E191" t="s">
        <v>23</v>
      </c>
      <c r="F191" t="s">
        <v>49</v>
      </c>
      <c r="G191">
        <v>3787.6</v>
      </c>
      <c r="H191">
        <v>1813.19</v>
      </c>
      <c r="I191">
        <v>38091.49</v>
      </c>
      <c r="J191" t="s">
        <v>25</v>
      </c>
      <c r="K191" t="s">
        <v>45</v>
      </c>
      <c r="L191">
        <v>264622.18</v>
      </c>
      <c r="M191">
        <v>180</v>
      </c>
      <c r="N191">
        <v>3778.21</v>
      </c>
      <c r="O191">
        <v>15.41</v>
      </c>
      <c r="P191">
        <v>1</v>
      </c>
      <c r="Q191">
        <v>677</v>
      </c>
      <c r="R191">
        <v>0.84</v>
      </c>
      <c r="S191" t="s">
        <v>72</v>
      </c>
      <c r="T191" s="1">
        <v>44527</v>
      </c>
      <c r="U191">
        <v>1</v>
      </c>
    </row>
    <row r="192" spans="1:21" x14ac:dyDescent="0.25">
      <c r="A192" t="s">
        <v>239</v>
      </c>
      <c r="B192">
        <v>22</v>
      </c>
      <c r="C192" t="s">
        <v>29</v>
      </c>
      <c r="D192" t="s">
        <v>41</v>
      </c>
      <c r="E192" t="s">
        <v>31</v>
      </c>
      <c r="F192" t="s">
        <v>52</v>
      </c>
      <c r="G192">
        <v>4929.59</v>
      </c>
      <c r="H192">
        <v>2776.86</v>
      </c>
      <c r="I192">
        <v>21161.15</v>
      </c>
      <c r="J192" t="s">
        <v>25</v>
      </c>
      <c r="K192" t="s">
        <v>26</v>
      </c>
      <c r="L192">
        <v>73412.38</v>
      </c>
      <c r="M192">
        <v>180</v>
      </c>
      <c r="N192">
        <v>710.92</v>
      </c>
      <c r="O192">
        <v>8.2200000000000006</v>
      </c>
      <c r="P192">
        <v>0.14000000000000001</v>
      </c>
      <c r="Q192">
        <v>546</v>
      </c>
      <c r="R192">
        <v>0.36</v>
      </c>
      <c r="S192" t="s">
        <v>47</v>
      </c>
      <c r="T192" s="1">
        <v>44753</v>
      </c>
      <c r="U192">
        <v>0</v>
      </c>
    </row>
    <row r="193" spans="1:21" x14ac:dyDescent="0.25">
      <c r="A193" t="s">
        <v>240</v>
      </c>
      <c r="B193">
        <v>26</v>
      </c>
      <c r="C193" t="s">
        <v>21</v>
      </c>
      <c r="D193" t="s">
        <v>35</v>
      </c>
      <c r="E193" t="s">
        <v>51</v>
      </c>
      <c r="F193" t="s">
        <v>36</v>
      </c>
      <c r="G193">
        <v>7352.14</v>
      </c>
      <c r="H193">
        <v>6371.6</v>
      </c>
      <c r="I193">
        <v>29039.38</v>
      </c>
      <c r="J193" t="s">
        <v>37</v>
      </c>
      <c r="K193" t="s">
        <v>38</v>
      </c>
      <c r="L193">
        <v>0</v>
      </c>
      <c r="M193">
        <v>0</v>
      </c>
      <c r="N193">
        <v>0</v>
      </c>
      <c r="O193">
        <v>0</v>
      </c>
      <c r="P193">
        <v>0</v>
      </c>
      <c r="Q193">
        <v>374</v>
      </c>
      <c r="R193">
        <v>0.33</v>
      </c>
      <c r="S193" t="s">
        <v>27</v>
      </c>
      <c r="T193" s="1">
        <v>45783</v>
      </c>
      <c r="U193">
        <v>0</v>
      </c>
    </row>
    <row r="194" spans="1:21" x14ac:dyDescent="0.25">
      <c r="A194" t="s">
        <v>241</v>
      </c>
      <c r="B194">
        <v>33</v>
      </c>
      <c r="C194" t="s">
        <v>21</v>
      </c>
      <c r="D194" t="s">
        <v>35</v>
      </c>
      <c r="E194" t="s">
        <v>31</v>
      </c>
      <c r="F194" t="s">
        <v>32</v>
      </c>
      <c r="G194">
        <v>2475.79</v>
      </c>
      <c r="H194">
        <v>1491.53</v>
      </c>
      <c r="I194">
        <v>8747.01</v>
      </c>
      <c r="J194" t="s">
        <v>37</v>
      </c>
      <c r="K194" t="s">
        <v>38</v>
      </c>
      <c r="L194">
        <v>0</v>
      </c>
      <c r="M194">
        <v>0</v>
      </c>
      <c r="N194">
        <v>0</v>
      </c>
      <c r="O194">
        <v>0</v>
      </c>
      <c r="P194">
        <v>0</v>
      </c>
      <c r="Q194">
        <v>798</v>
      </c>
      <c r="R194">
        <v>0.28999999999999998</v>
      </c>
      <c r="S194" t="s">
        <v>72</v>
      </c>
      <c r="T194" s="1">
        <v>45535</v>
      </c>
      <c r="U194">
        <v>0</v>
      </c>
    </row>
    <row r="195" spans="1:21" x14ac:dyDescent="0.25">
      <c r="A195" t="s">
        <v>242</v>
      </c>
      <c r="B195">
        <v>49</v>
      </c>
      <c r="C195" t="s">
        <v>29</v>
      </c>
      <c r="D195" t="s">
        <v>22</v>
      </c>
      <c r="E195" t="s">
        <v>31</v>
      </c>
      <c r="F195" t="s">
        <v>49</v>
      </c>
      <c r="G195">
        <v>3869.65</v>
      </c>
      <c r="H195">
        <v>2920.64</v>
      </c>
      <c r="I195">
        <v>43366.61</v>
      </c>
      <c r="J195" t="s">
        <v>37</v>
      </c>
      <c r="K195" t="s">
        <v>38</v>
      </c>
      <c r="L195">
        <v>0</v>
      </c>
      <c r="M195">
        <v>0</v>
      </c>
      <c r="N195">
        <v>0</v>
      </c>
      <c r="O195">
        <v>0</v>
      </c>
      <c r="P195">
        <v>0</v>
      </c>
      <c r="Q195">
        <v>493</v>
      </c>
      <c r="R195">
        <v>0.93</v>
      </c>
      <c r="S195" t="s">
        <v>30</v>
      </c>
      <c r="T195" s="1">
        <v>45342</v>
      </c>
      <c r="U195">
        <v>0</v>
      </c>
    </row>
    <row r="196" spans="1:21" x14ac:dyDescent="0.25">
      <c r="A196" t="s">
        <v>243</v>
      </c>
      <c r="B196">
        <v>20</v>
      </c>
      <c r="C196" t="s">
        <v>21</v>
      </c>
      <c r="D196" t="s">
        <v>41</v>
      </c>
      <c r="E196" t="s">
        <v>31</v>
      </c>
      <c r="F196" t="s">
        <v>42</v>
      </c>
      <c r="G196">
        <v>4024.82</v>
      </c>
      <c r="H196">
        <v>2926.71</v>
      </c>
      <c r="I196">
        <v>34937.79</v>
      </c>
      <c r="J196" t="s">
        <v>37</v>
      </c>
      <c r="K196" t="s">
        <v>38</v>
      </c>
      <c r="L196">
        <v>0</v>
      </c>
      <c r="M196">
        <v>0</v>
      </c>
      <c r="N196">
        <v>0</v>
      </c>
      <c r="O196">
        <v>0</v>
      </c>
      <c r="P196">
        <v>0</v>
      </c>
      <c r="Q196">
        <v>795</v>
      </c>
      <c r="R196">
        <v>0.72</v>
      </c>
      <c r="S196" t="s">
        <v>30</v>
      </c>
      <c r="T196" s="1">
        <v>44734</v>
      </c>
      <c r="U196">
        <v>0</v>
      </c>
    </row>
    <row r="197" spans="1:21" x14ac:dyDescent="0.25">
      <c r="A197" t="s">
        <v>244</v>
      </c>
      <c r="B197">
        <v>19</v>
      </c>
      <c r="C197" t="s">
        <v>21</v>
      </c>
      <c r="D197" t="s">
        <v>35</v>
      </c>
      <c r="E197" t="s">
        <v>51</v>
      </c>
      <c r="F197" t="s">
        <v>63</v>
      </c>
      <c r="G197">
        <v>3901.7</v>
      </c>
      <c r="H197">
        <v>1579.34</v>
      </c>
      <c r="I197">
        <v>40703.47</v>
      </c>
      <c r="J197" t="s">
        <v>37</v>
      </c>
      <c r="K197" t="s">
        <v>38</v>
      </c>
      <c r="L197">
        <v>0</v>
      </c>
      <c r="M197">
        <v>0</v>
      </c>
      <c r="N197">
        <v>0</v>
      </c>
      <c r="O197">
        <v>0</v>
      </c>
      <c r="P197">
        <v>0</v>
      </c>
      <c r="Q197">
        <v>486</v>
      </c>
      <c r="R197">
        <v>0.87</v>
      </c>
      <c r="S197" t="s">
        <v>47</v>
      </c>
      <c r="T197" s="1">
        <v>44594</v>
      </c>
      <c r="U197">
        <v>0</v>
      </c>
    </row>
    <row r="198" spans="1:21" x14ac:dyDescent="0.25">
      <c r="A198" t="s">
        <v>245</v>
      </c>
      <c r="B198">
        <v>26</v>
      </c>
      <c r="C198" t="s">
        <v>21</v>
      </c>
      <c r="D198" t="s">
        <v>41</v>
      </c>
      <c r="E198" t="s">
        <v>31</v>
      </c>
      <c r="F198" t="s">
        <v>32</v>
      </c>
      <c r="G198">
        <v>6424.9</v>
      </c>
      <c r="H198">
        <v>4012.75</v>
      </c>
      <c r="I198">
        <v>63239.53</v>
      </c>
      <c r="J198" t="s">
        <v>37</v>
      </c>
      <c r="K198" t="s">
        <v>38</v>
      </c>
      <c r="L198">
        <v>0</v>
      </c>
      <c r="M198">
        <v>0</v>
      </c>
      <c r="N198">
        <v>0</v>
      </c>
      <c r="O198">
        <v>0</v>
      </c>
      <c r="P198">
        <v>0</v>
      </c>
      <c r="Q198">
        <v>702</v>
      </c>
      <c r="R198">
        <v>0.82</v>
      </c>
      <c r="S198" t="s">
        <v>47</v>
      </c>
      <c r="T198" s="1">
        <v>45135</v>
      </c>
      <c r="U198">
        <v>0</v>
      </c>
    </row>
    <row r="199" spans="1:21" x14ac:dyDescent="0.25">
      <c r="A199" t="s">
        <v>246</v>
      </c>
      <c r="B199">
        <v>36</v>
      </c>
      <c r="C199" t="s">
        <v>29</v>
      </c>
      <c r="D199" t="s">
        <v>30</v>
      </c>
      <c r="E199" t="s">
        <v>51</v>
      </c>
      <c r="F199" t="s">
        <v>23</v>
      </c>
      <c r="G199">
        <v>3740.72</v>
      </c>
      <c r="H199">
        <v>2442.37</v>
      </c>
      <c r="I199">
        <v>12098.97</v>
      </c>
      <c r="J199" t="s">
        <v>37</v>
      </c>
      <c r="K199" t="s">
        <v>38</v>
      </c>
      <c r="L199">
        <v>0</v>
      </c>
      <c r="M199">
        <v>0</v>
      </c>
      <c r="N199">
        <v>0</v>
      </c>
      <c r="O199">
        <v>0</v>
      </c>
      <c r="P199">
        <v>0</v>
      </c>
      <c r="Q199">
        <v>550</v>
      </c>
      <c r="R199">
        <v>0.27</v>
      </c>
      <c r="S199" t="s">
        <v>30</v>
      </c>
      <c r="T199" s="1">
        <v>45760</v>
      </c>
      <c r="U199">
        <v>0</v>
      </c>
    </row>
    <row r="200" spans="1:21" x14ac:dyDescent="0.25">
      <c r="A200" t="s">
        <v>247</v>
      </c>
      <c r="B200">
        <v>46</v>
      </c>
      <c r="C200" t="s">
        <v>21</v>
      </c>
      <c r="D200" t="s">
        <v>35</v>
      </c>
      <c r="E200" t="s">
        <v>31</v>
      </c>
      <c r="F200" t="s">
        <v>24</v>
      </c>
      <c r="G200">
        <v>4977.33</v>
      </c>
      <c r="H200">
        <v>2765.3</v>
      </c>
      <c r="I200">
        <v>6893.6</v>
      </c>
      <c r="J200" t="s">
        <v>37</v>
      </c>
      <c r="K200" t="s">
        <v>38</v>
      </c>
      <c r="L200">
        <v>0</v>
      </c>
      <c r="M200">
        <v>0</v>
      </c>
      <c r="N200">
        <v>0</v>
      </c>
      <c r="O200">
        <v>0</v>
      </c>
      <c r="P200">
        <v>0</v>
      </c>
      <c r="Q200">
        <v>421</v>
      </c>
      <c r="R200">
        <v>0.12</v>
      </c>
      <c r="S200" t="s">
        <v>39</v>
      </c>
      <c r="T200" s="1">
        <v>45837</v>
      </c>
      <c r="U200">
        <v>0</v>
      </c>
    </row>
    <row r="201" spans="1:21" x14ac:dyDescent="0.25">
      <c r="A201" t="s">
        <v>248</v>
      </c>
      <c r="B201">
        <v>24</v>
      </c>
      <c r="C201" t="s">
        <v>21</v>
      </c>
      <c r="D201" t="s">
        <v>22</v>
      </c>
      <c r="E201" t="s">
        <v>49</v>
      </c>
      <c r="F201" t="s">
        <v>23</v>
      </c>
      <c r="G201">
        <v>3146.43</v>
      </c>
      <c r="H201">
        <v>2425.54</v>
      </c>
      <c r="I201">
        <v>25568.79</v>
      </c>
      <c r="J201" t="s">
        <v>25</v>
      </c>
      <c r="K201" t="s">
        <v>54</v>
      </c>
      <c r="L201">
        <v>224586.63</v>
      </c>
      <c r="M201">
        <v>300</v>
      </c>
      <c r="N201">
        <v>1772.25</v>
      </c>
      <c r="O201">
        <v>8.26</v>
      </c>
      <c r="P201">
        <v>0.56000000000000005</v>
      </c>
      <c r="Q201">
        <v>564</v>
      </c>
      <c r="R201">
        <v>0.68</v>
      </c>
      <c r="S201" t="s">
        <v>30</v>
      </c>
      <c r="T201" s="1">
        <v>45452</v>
      </c>
      <c r="U201">
        <v>1</v>
      </c>
    </row>
    <row r="202" spans="1:21" x14ac:dyDescent="0.25">
      <c r="A202" t="s">
        <v>249</v>
      </c>
      <c r="B202">
        <v>34</v>
      </c>
      <c r="C202" t="s">
        <v>29</v>
      </c>
      <c r="D202" t="s">
        <v>41</v>
      </c>
      <c r="E202" t="s">
        <v>23</v>
      </c>
      <c r="F202" t="s">
        <v>44</v>
      </c>
      <c r="G202">
        <v>3475.54</v>
      </c>
      <c r="H202">
        <v>2322.96</v>
      </c>
      <c r="I202">
        <v>7556.53</v>
      </c>
      <c r="J202" t="s">
        <v>37</v>
      </c>
      <c r="K202" t="s">
        <v>38</v>
      </c>
      <c r="L202">
        <v>0</v>
      </c>
      <c r="M202">
        <v>0</v>
      </c>
      <c r="N202">
        <v>0</v>
      </c>
      <c r="O202">
        <v>0</v>
      </c>
      <c r="P202">
        <v>0</v>
      </c>
      <c r="Q202">
        <v>492</v>
      </c>
      <c r="R202">
        <v>0.18</v>
      </c>
      <c r="S202" t="s">
        <v>47</v>
      </c>
      <c r="T202" s="1">
        <v>45386</v>
      </c>
      <c r="U202">
        <v>0</v>
      </c>
    </row>
    <row r="203" spans="1:21" x14ac:dyDescent="0.25">
      <c r="A203" t="s">
        <v>250</v>
      </c>
      <c r="B203">
        <v>60</v>
      </c>
      <c r="C203" t="s">
        <v>21</v>
      </c>
      <c r="D203" t="s">
        <v>35</v>
      </c>
      <c r="E203" t="s">
        <v>31</v>
      </c>
      <c r="F203" t="s">
        <v>36</v>
      </c>
      <c r="G203">
        <v>4642.43</v>
      </c>
      <c r="H203">
        <v>2024.99</v>
      </c>
      <c r="I203">
        <v>46436.17</v>
      </c>
      <c r="J203" t="s">
        <v>37</v>
      </c>
      <c r="K203" t="s">
        <v>38</v>
      </c>
      <c r="L203">
        <v>0</v>
      </c>
      <c r="M203">
        <v>0</v>
      </c>
      <c r="N203">
        <v>0</v>
      </c>
      <c r="O203">
        <v>0</v>
      </c>
      <c r="P203">
        <v>0</v>
      </c>
      <c r="Q203">
        <v>712</v>
      </c>
      <c r="R203">
        <v>0.83</v>
      </c>
      <c r="S203" t="s">
        <v>30</v>
      </c>
      <c r="T203" s="1">
        <v>45647</v>
      </c>
      <c r="U203">
        <v>0</v>
      </c>
    </row>
    <row r="204" spans="1:21" x14ac:dyDescent="0.25">
      <c r="A204" t="s">
        <v>251</v>
      </c>
      <c r="B204">
        <v>65</v>
      </c>
      <c r="C204" t="s">
        <v>29</v>
      </c>
      <c r="D204" t="s">
        <v>35</v>
      </c>
      <c r="E204" t="s">
        <v>31</v>
      </c>
      <c r="F204" t="s">
        <v>36</v>
      </c>
      <c r="G204">
        <v>1797.53</v>
      </c>
      <c r="H204">
        <v>1465.52</v>
      </c>
      <c r="I204">
        <v>12729.61</v>
      </c>
      <c r="J204" t="s">
        <v>25</v>
      </c>
      <c r="K204" t="s">
        <v>45</v>
      </c>
      <c r="L204">
        <v>175733.01</v>
      </c>
      <c r="M204">
        <v>120</v>
      </c>
      <c r="N204">
        <v>2111.75</v>
      </c>
      <c r="O204">
        <v>7.78</v>
      </c>
      <c r="P204">
        <v>1.17</v>
      </c>
      <c r="Q204">
        <v>369</v>
      </c>
      <c r="R204">
        <v>0.59</v>
      </c>
      <c r="S204" t="s">
        <v>39</v>
      </c>
      <c r="T204" s="1">
        <v>44988</v>
      </c>
      <c r="U204">
        <v>1</v>
      </c>
    </row>
    <row r="205" spans="1:21" x14ac:dyDescent="0.25">
      <c r="A205" t="s">
        <v>252</v>
      </c>
      <c r="B205">
        <v>40</v>
      </c>
      <c r="C205" t="s">
        <v>29</v>
      </c>
      <c r="D205" t="s">
        <v>41</v>
      </c>
      <c r="E205" t="s">
        <v>31</v>
      </c>
      <c r="F205" t="s">
        <v>42</v>
      </c>
      <c r="G205">
        <v>4753.63</v>
      </c>
      <c r="H205">
        <v>3830.27</v>
      </c>
      <c r="I205">
        <v>16928.73</v>
      </c>
      <c r="J205" t="s">
        <v>25</v>
      </c>
      <c r="K205" t="s">
        <v>26</v>
      </c>
      <c r="L205">
        <v>39000.54</v>
      </c>
      <c r="M205">
        <v>180</v>
      </c>
      <c r="N205">
        <v>935.06</v>
      </c>
      <c r="O205">
        <v>28.34</v>
      </c>
      <c r="P205">
        <v>0.2</v>
      </c>
      <c r="Q205">
        <v>685</v>
      </c>
      <c r="R205">
        <v>0.3</v>
      </c>
      <c r="S205" t="s">
        <v>30</v>
      </c>
      <c r="T205" s="1">
        <v>45544</v>
      </c>
      <c r="U205">
        <v>0</v>
      </c>
    </row>
    <row r="206" spans="1:21" x14ac:dyDescent="0.25">
      <c r="A206" t="s">
        <v>253</v>
      </c>
      <c r="B206">
        <v>27</v>
      </c>
      <c r="C206" t="s">
        <v>29</v>
      </c>
      <c r="D206" t="s">
        <v>35</v>
      </c>
      <c r="E206" t="s">
        <v>31</v>
      </c>
      <c r="F206" t="s">
        <v>42</v>
      </c>
      <c r="G206">
        <v>1980.42</v>
      </c>
      <c r="H206">
        <v>1387.6</v>
      </c>
      <c r="I206">
        <v>4253.09</v>
      </c>
      <c r="J206" t="s">
        <v>37</v>
      </c>
      <c r="K206" t="s">
        <v>38</v>
      </c>
      <c r="L206">
        <v>0</v>
      </c>
      <c r="M206">
        <v>0</v>
      </c>
      <c r="N206">
        <v>0</v>
      </c>
      <c r="O206">
        <v>0</v>
      </c>
      <c r="P206">
        <v>0</v>
      </c>
      <c r="Q206">
        <v>490</v>
      </c>
      <c r="R206">
        <v>0.18</v>
      </c>
      <c r="S206" t="s">
        <v>72</v>
      </c>
      <c r="T206" s="1">
        <v>45385</v>
      </c>
      <c r="U206">
        <v>0</v>
      </c>
    </row>
    <row r="207" spans="1:21" x14ac:dyDescent="0.25">
      <c r="A207" t="s">
        <v>254</v>
      </c>
      <c r="B207">
        <v>29</v>
      </c>
      <c r="C207" t="s">
        <v>21</v>
      </c>
      <c r="D207" t="s">
        <v>41</v>
      </c>
      <c r="E207" t="s">
        <v>31</v>
      </c>
      <c r="F207" t="s">
        <v>63</v>
      </c>
      <c r="G207">
        <v>5109.8599999999997</v>
      </c>
      <c r="H207">
        <v>1869.98</v>
      </c>
      <c r="I207">
        <v>47150.62</v>
      </c>
      <c r="J207" t="s">
        <v>25</v>
      </c>
      <c r="K207" t="s">
        <v>45</v>
      </c>
      <c r="L207">
        <v>265025.11</v>
      </c>
      <c r="M207">
        <v>120</v>
      </c>
      <c r="N207">
        <v>5679.66</v>
      </c>
      <c r="O207">
        <v>23.11</v>
      </c>
      <c r="P207">
        <v>1.1100000000000001</v>
      </c>
      <c r="Q207">
        <v>792</v>
      </c>
      <c r="R207">
        <v>0.77</v>
      </c>
      <c r="S207" t="s">
        <v>27</v>
      </c>
      <c r="T207" s="1">
        <v>45083</v>
      </c>
      <c r="U207">
        <v>1</v>
      </c>
    </row>
    <row r="208" spans="1:21" x14ac:dyDescent="0.25">
      <c r="A208" t="s">
        <v>255</v>
      </c>
      <c r="B208">
        <v>29</v>
      </c>
      <c r="C208" t="s">
        <v>29</v>
      </c>
      <c r="D208" t="s">
        <v>41</v>
      </c>
      <c r="E208" t="s">
        <v>31</v>
      </c>
      <c r="F208" t="s">
        <v>42</v>
      </c>
      <c r="G208">
        <v>3798.32</v>
      </c>
      <c r="H208">
        <v>1555.33</v>
      </c>
      <c r="I208">
        <v>14274.36</v>
      </c>
      <c r="J208" t="s">
        <v>25</v>
      </c>
      <c r="K208" t="s">
        <v>26</v>
      </c>
      <c r="L208">
        <v>84989.97</v>
      </c>
      <c r="M208">
        <v>240</v>
      </c>
      <c r="N208">
        <v>479.48</v>
      </c>
      <c r="O208">
        <v>3.19</v>
      </c>
      <c r="P208">
        <v>0.13</v>
      </c>
      <c r="Q208">
        <v>605</v>
      </c>
      <c r="R208">
        <v>0.31</v>
      </c>
      <c r="S208" t="s">
        <v>30</v>
      </c>
      <c r="T208" s="1">
        <v>45155</v>
      </c>
      <c r="U208">
        <v>0</v>
      </c>
    </row>
    <row r="209" spans="1:21" x14ac:dyDescent="0.25">
      <c r="A209" t="s">
        <v>256</v>
      </c>
      <c r="B209">
        <v>67</v>
      </c>
      <c r="C209" t="s">
        <v>21</v>
      </c>
      <c r="D209" t="s">
        <v>41</v>
      </c>
      <c r="E209" t="s">
        <v>31</v>
      </c>
      <c r="F209" t="s">
        <v>52</v>
      </c>
      <c r="G209">
        <v>4996.3999999999996</v>
      </c>
      <c r="H209">
        <v>2291.27</v>
      </c>
      <c r="I209">
        <v>41375.17</v>
      </c>
      <c r="J209" t="s">
        <v>25</v>
      </c>
      <c r="K209" t="s">
        <v>26</v>
      </c>
      <c r="L209">
        <v>274016.84999999998</v>
      </c>
      <c r="M209">
        <v>240</v>
      </c>
      <c r="N209">
        <v>3843.15</v>
      </c>
      <c r="O209">
        <v>16.149999999999999</v>
      </c>
      <c r="P209">
        <v>0.77</v>
      </c>
      <c r="Q209">
        <v>665</v>
      </c>
      <c r="R209">
        <v>0.69</v>
      </c>
      <c r="S209" t="s">
        <v>30</v>
      </c>
      <c r="T209" s="1">
        <v>45114</v>
      </c>
      <c r="U209">
        <v>1</v>
      </c>
    </row>
    <row r="210" spans="1:21" x14ac:dyDescent="0.25">
      <c r="A210" t="s">
        <v>257</v>
      </c>
      <c r="B210">
        <v>33</v>
      </c>
      <c r="C210" t="s">
        <v>29</v>
      </c>
      <c r="D210" t="s">
        <v>56</v>
      </c>
      <c r="E210" t="s">
        <v>31</v>
      </c>
      <c r="F210" t="s">
        <v>49</v>
      </c>
      <c r="G210">
        <v>5357.48</v>
      </c>
      <c r="H210">
        <v>3366.37</v>
      </c>
      <c r="I210">
        <v>46141.69</v>
      </c>
      <c r="J210" t="s">
        <v>37</v>
      </c>
      <c r="K210" t="s">
        <v>38</v>
      </c>
      <c r="L210">
        <v>0</v>
      </c>
      <c r="M210">
        <v>0</v>
      </c>
      <c r="N210">
        <v>0</v>
      </c>
      <c r="O210">
        <v>0</v>
      </c>
      <c r="P210">
        <v>0</v>
      </c>
      <c r="Q210">
        <v>470</v>
      </c>
      <c r="R210">
        <v>0.72</v>
      </c>
      <c r="S210" t="s">
        <v>30</v>
      </c>
      <c r="T210" s="1">
        <v>45152</v>
      </c>
      <c r="U210">
        <v>0</v>
      </c>
    </row>
    <row r="211" spans="1:21" x14ac:dyDescent="0.25">
      <c r="A211" t="s">
        <v>258</v>
      </c>
      <c r="B211">
        <v>21</v>
      </c>
      <c r="C211" t="s">
        <v>21</v>
      </c>
      <c r="D211" t="s">
        <v>22</v>
      </c>
      <c r="E211" t="s">
        <v>31</v>
      </c>
      <c r="F211" t="s">
        <v>49</v>
      </c>
      <c r="G211">
        <v>2001.66</v>
      </c>
      <c r="H211">
        <v>669.33</v>
      </c>
      <c r="I211">
        <v>23383.62</v>
      </c>
      <c r="J211" t="s">
        <v>25</v>
      </c>
      <c r="K211" t="s">
        <v>26</v>
      </c>
      <c r="L211">
        <v>368768.82</v>
      </c>
      <c r="M211">
        <v>360</v>
      </c>
      <c r="N211">
        <v>2253.81</v>
      </c>
      <c r="O211">
        <v>6.18</v>
      </c>
      <c r="P211">
        <v>1.1299999999999999</v>
      </c>
      <c r="Q211">
        <v>718</v>
      </c>
      <c r="R211">
        <v>0.97</v>
      </c>
      <c r="S211" t="s">
        <v>27</v>
      </c>
      <c r="T211" s="1">
        <v>44618</v>
      </c>
      <c r="U211">
        <v>1</v>
      </c>
    </row>
    <row r="212" spans="1:21" x14ac:dyDescent="0.25">
      <c r="A212" t="s">
        <v>259</v>
      </c>
      <c r="B212">
        <v>25</v>
      </c>
      <c r="C212" t="s">
        <v>29</v>
      </c>
      <c r="D212" t="s">
        <v>41</v>
      </c>
      <c r="E212" t="s">
        <v>31</v>
      </c>
      <c r="F212" t="s">
        <v>63</v>
      </c>
      <c r="G212">
        <v>3969.91</v>
      </c>
      <c r="H212">
        <v>2492.2800000000002</v>
      </c>
      <c r="I212">
        <v>42452.85</v>
      </c>
      <c r="J212" t="s">
        <v>37</v>
      </c>
      <c r="K212" t="s">
        <v>38</v>
      </c>
      <c r="L212">
        <v>0</v>
      </c>
      <c r="M212">
        <v>0</v>
      </c>
      <c r="N212">
        <v>0</v>
      </c>
      <c r="O212">
        <v>0</v>
      </c>
      <c r="P212">
        <v>0</v>
      </c>
      <c r="Q212">
        <v>592</v>
      </c>
      <c r="R212">
        <v>0.89</v>
      </c>
      <c r="S212" t="s">
        <v>27</v>
      </c>
      <c r="T212" s="1">
        <v>44708</v>
      </c>
      <c r="U212">
        <v>0</v>
      </c>
    </row>
    <row r="213" spans="1:21" x14ac:dyDescent="0.25">
      <c r="A213" t="s">
        <v>260</v>
      </c>
      <c r="B213">
        <v>23</v>
      </c>
      <c r="C213" t="s">
        <v>21</v>
      </c>
      <c r="D213" t="s">
        <v>56</v>
      </c>
      <c r="E213" t="s">
        <v>31</v>
      </c>
      <c r="F213" t="s">
        <v>44</v>
      </c>
      <c r="G213">
        <v>5920.41</v>
      </c>
      <c r="H213">
        <v>4368.07</v>
      </c>
      <c r="I213">
        <v>46202.35</v>
      </c>
      <c r="J213" t="s">
        <v>37</v>
      </c>
      <c r="K213" t="s">
        <v>38</v>
      </c>
      <c r="L213">
        <v>0</v>
      </c>
      <c r="M213">
        <v>0</v>
      </c>
      <c r="N213">
        <v>0</v>
      </c>
      <c r="O213">
        <v>0</v>
      </c>
      <c r="P213">
        <v>0</v>
      </c>
      <c r="Q213">
        <v>624</v>
      </c>
      <c r="R213">
        <v>0.65</v>
      </c>
      <c r="S213" t="s">
        <v>39</v>
      </c>
      <c r="T213" s="1">
        <v>45047</v>
      </c>
      <c r="U213">
        <v>0</v>
      </c>
    </row>
    <row r="214" spans="1:21" x14ac:dyDescent="0.25">
      <c r="A214" t="s">
        <v>261</v>
      </c>
      <c r="B214">
        <v>57</v>
      </c>
      <c r="C214" t="s">
        <v>29</v>
      </c>
      <c r="D214" t="s">
        <v>22</v>
      </c>
      <c r="E214" t="s">
        <v>51</v>
      </c>
      <c r="F214" t="s">
        <v>49</v>
      </c>
      <c r="G214">
        <v>7843.63</v>
      </c>
      <c r="H214">
        <v>4504.34</v>
      </c>
      <c r="I214">
        <v>49022.7</v>
      </c>
      <c r="J214" t="s">
        <v>25</v>
      </c>
      <c r="K214" t="s">
        <v>54</v>
      </c>
      <c r="L214">
        <v>119821.38</v>
      </c>
      <c r="M214">
        <v>360</v>
      </c>
      <c r="N214">
        <v>657.21</v>
      </c>
      <c r="O214">
        <v>5.19</v>
      </c>
      <c r="P214">
        <v>0.08</v>
      </c>
      <c r="Q214">
        <v>652</v>
      </c>
      <c r="R214">
        <v>0.52</v>
      </c>
      <c r="S214" t="s">
        <v>72</v>
      </c>
      <c r="T214" s="1">
        <v>45257</v>
      </c>
      <c r="U214">
        <v>0</v>
      </c>
    </row>
    <row r="215" spans="1:21" x14ac:dyDescent="0.25">
      <c r="A215" t="s">
        <v>262</v>
      </c>
      <c r="B215">
        <v>42</v>
      </c>
      <c r="C215" t="s">
        <v>29</v>
      </c>
      <c r="D215" t="s">
        <v>41</v>
      </c>
      <c r="E215" t="s">
        <v>31</v>
      </c>
      <c r="F215" t="s">
        <v>32</v>
      </c>
      <c r="G215">
        <v>2633.47</v>
      </c>
      <c r="H215">
        <v>1447.38</v>
      </c>
      <c r="I215">
        <v>14544.87</v>
      </c>
      <c r="J215" t="s">
        <v>37</v>
      </c>
      <c r="K215" t="s">
        <v>38</v>
      </c>
      <c r="L215">
        <v>0</v>
      </c>
      <c r="M215">
        <v>0</v>
      </c>
      <c r="N215">
        <v>0</v>
      </c>
      <c r="O215">
        <v>0</v>
      </c>
      <c r="P215">
        <v>0</v>
      </c>
      <c r="Q215">
        <v>738</v>
      </c>
      <c r="R215">
        <v>0.46</v>
      </c>
      <c r="S215" t="s">
        <v>27</v>
      </c>
      <c r="T215" s="1">
        <v>45851</v>
      </c>
      <c r="U215">
        <v>0</v>
      </c>
    </row>
    <row r="216" spans="1:21" x14ac:dyDescent="0.25">
      <c r="A216" t="s">
        <v>263</v>
      </c>
      <c r="B216">
        <v>65</v>
      </c>
      <c r="C216" t="s">
        <v>21</v>
      </c>
      <c r="D216" t="s">
        <v>41</v>
      </c>
      <c r="E216" t="s">
        <v>31</v>
      </c>
      <c r="F216" t="s">
        <v>42</v>
      </c>
      <c r="G216">
        <v>6319.18</v>
      </c>
      <c r="H216">
        <v>4512.2299999999996</v>
      </c>
      <c r="I216">
        <v>32874.6</v>
      </c>
      <c r="J216" t="s">
        <v>37</v>
      </c>
      <c r="K216" t="s">
        <v>38</v>
      </c>
      <c r="L216">
        <v>0</v>
      </c>
      <c r="M216">
        <v>0</v>
      </c>
      <c r="N216">
        <v>0</v>
      </c>
      <c r="O216">
        <v>0</v>
      </c>
      <c r="P216">
        <v>0</v>
      </c>
      <c r="Q216">
        <v>825</v>
      </c>
      <c r="R216">
        <v>0.43</v>
      </c>
      <c r="S216" t="s">
        <v>30</v>
      </c>
      <c r="T216" s="1">
        <v>44535</v>
      </c>
      <c r="U216">
        <v>0</v>
      </c>
    </row>
    <row r="217" spans="1:21" x14ac:dyDescent="0.25">
      <c r="A217" t="s">
        <v>264</v>
      </c>
      <c r="B217">
        <v>58</v>
      </c>
      <c r="C217" t="s">
        <v>29</v>
      </c>
      <c r="D217" t="s">
        <v>22</v>
      </c>
      <c r="E217" t="s">
        <v>51</v>
      </c>
      <c r="F217" t="s">
        <v>24</v>
      </c>
      <c r="G217">
        <v>2424.65</v>
      </c>
      <c r="H217">
        <v>1685.49</v>
      </c>
      <c r="I217">
        <v>11503.36</v>
      </c>
      <c r="J217" t="s">
        <v>37</v>
      </c>
      <c r="K217" t="s">
        <v>38</v>
      </c>
      <c r="L217">
        <v>0</v>
      </c>
      <c r="M217">
        <v>0</v>
      </c>
      <c r="N217">
        <v>0</v>
      </c>
      <c r="O217">
        <v>0</v>
      </c>
      <c r="P217">
        <v>0</v>
      </c>
      <c r="Q217">
        <v>806</v>
      </c>
      <c r="R217">
        <v>0.4</v>
      </c>
      <c r="S217" t="s">
        <v>72</v>
      </c>
      <c r="T217" s="1">
        <v>44670</v>
      </c>
      <c r="U217">
        <v>0</v>
      </c>
    </row>
    <row r="218" spans="1:21" x14ac:dyDescent="0.25">
      <c r="A218" t="s">
        <v>265</v>
      </c>
      <c r="B218">
        <v>51</v>
      </c>
      <c r="C218" t="s">
        <v>21</v>
      </c>
      <c r="D218" t="s">
        <v>41</v>
      </c>
      <c r="E218" t="s">
        <v>31</v>
      </c>
      <c r="F218" t="s">
        <v>44</v>
      </c>
      <c r="G218">
        <v>7431.95</v>
      </c>
      <c r="H218">
        <v>2320.9699999999998</v>
      </c>
      <c r="I218">
        <v>34496.230000000003</v>
      </c>
      <c r="J218" t="s">
        <v>37</v>
      </c>
      <c r="K218" t="s">
        <v>38</v>
      </c>
      <c r="L218">
        <v>0</v>
      </c>
      <c r="M218">
        <v>0</v>
      </c>
      <c r="N218">
        <v>0</v>
      </c>
      <c r="O218">
        <v>0</v>
      </c>
      <c r="P218">
        <v>0</v>
      </c>
      <c r="Q218">
        <v>617</v>
      </c>
      <c r="R218">
        <v>0.39</v>
      </c>
      <c r="S218" t="s">
        <v>39</v>
      </c>
      <c r="T218" s="1">
        <v>45664</v>
      </c>
      <c r="U218">
        <v>0</v>
      </c>
    </row>
    <row r="219" spans="1:21" x14ac:dyDescent="0.25">
      <c r="A219" t="s">
        <v>266</v>
      </c>
      <c r="B219">
        <v>30</v>
      </c>
      <c r="C219" t="s">
        <v>21</v>
      </c>
      <c r="D219" t="s">
        <v>22</v>
      </c>
      <c r="E219" t="s">
        <v>23</v>
      </c>
      <c r="F219" t="s">
        <v>42</v>
      </c>
      <c r="G219">
        <v>3460.82</v>
      </c>
      <c r="H219">
        <v>2478.2600000000002</v>
      </c>
      <c r="I219">
        <v>18144.41</v>
      </c>
      <c r="J219" t="s">
        <v>37</v>
      </c>
      <c r="K219" t="s">
        <v>38</v>
      </c>
      <c r="L219">
        <v>0</v>
      </c>
      <c r="M219">
        <v>0</v>
      </c>
      <c r="N219">
        <v>0</v>
      </c>
      <c r="O219">
        <v>0</v>
      </c>
      <c r="P219">
        <v>0</v>
      </c>
      <c r="Q219">
        <v>801</v>
      </c>
      <c r="R219">
        <v>0.44</v>
      </c>
      <c r="S219" t="s">
        <v>39</v>
      </c>
      <c r="T219" s="1">
        <v>45693</v>
      </c>
      <c r="U219">
        <v>0</v>
      </c>
    </row>
    <row r="220" spans="1:21" x14ac:dyDescent="0.25">
      <c r="A220" t="s">
        <v>267</v>
      </c>
      <c r="B220">
        <v>60</v>
      </c>
      <c r="C220" t="s">
        <v>21</v>
      </c>
      <c r="D220" t="s">
        <v>35</v>
      </c>
      <c r="E220" t="s">
        <v>31</v>
      </c>
      <c r="F220" t="s">
        <v>42</v>
      </c>
      <c r="G220">
        <v>904.78</v>
      </c>
      <c r="H220">
        <v>465.96</v>
      </c>
      <c r="I220">
        <v>3272.46</v>
      </c>
      <c r="J220" t="s">
        <v>37</v>
      </c>
      <c r="K220" t="s">
        <v>38</v>
      </c>
      <c r="L220">
        <v>0</v>
      </c>
      <c r="M220">
        <v>0</v>
      </c>
      <c r="N220">
        <v>0</v>
      </c>
      <c r="O220">
        <v>0</v>
      </c>
      <c r="P220">
        <v>0</v>
      </c>
      <c r="Q220">
        <v>435</v>
      </c>
      <c r="R220">
        <v>0.3</v>
      </c>
      <c r="S220" t="s">
        <v>30</v>
      </c>
      <c r="T220" s="1">
        <v>44840</v>
      </c>
      <c r="U220">
        <v>0</v>
      </c>
    </row>
    <row r="221" spans="1:21" x14ac:dyDescent="0.25">
      <c r="A221" t="s">
        <v>268</v>
      </c>
      <c r="B221">
        <v>69</v>
      </c>
      <c r="C221" t="s">
        <v>29</v>
      </c>
      <c r="D221" t="s">
        <v>22</v>
      </c>
      <c r="E221" t="s">
        <v>23</v>
      </c>
      <c r="F221" t="s">
        <v>32</v>
      </c>
      <c r="G221">
        <v>4481.34</v>
      </c>
      <c r="H221">
        <v>3248.12</v>
      </c>
      <c r="I221">
        <v>15458.57</v>
      </c>
      <c r="J221" t="s">
        <v>37</v>
      </c>
      <c r="K221" t="s">
        <v>38</v>
      </c>
      <c r="L221">
        <v>0</v>
      </c>
      <c r="M221">
        <v>0</v>
      </c>
      <c r="N221">
        <v>0</v>
      </c>
      <c r="O221">
        <v>0</v>
      </c>
      <c r="P221">
        <v>0</v>
      </c>
      <c r="Q221">
        <v>648</v>
      </c>
      <c r="R221">
        <v>0.28999999999999998</v>
      </c>
      <c r="S221" t="s">
        <v>72</v>
      </c>
      <c r="T221" s="1">
        <v>45220</v>
      </c>
      <c r="U221">
        <v>0</v>
      </c>
    </row>
    <row r="222" spans="1:21" x14ac:dyDescent="0.25">
      <c r="A222" t="s">
        <v>269</v>
      </c>
      <c r="B222">
        <v>64</v>
      </c>
      <c r="C222" t="s">
        <v>21</v>
      </c>
      <c r="D222" t="s">
        <v>22</v>
      </c>
      <c r="E222" t="s">
        <v>31</v>
      </c>
      <c r="F222" t="s">
        <v>49</v>
      </c>
      <c r="G222">
        <v>2445.6799999999998</v>
      </c>
      <c r="H222">
        <v>1531.9</v>
      </c>
      <c r="I222">
        <v>18665.79</v>
      </c>
      <c r="J222" t="s">
        <v>37</v>
      </c>
      <c r="K222" t="s">
        <v>38</v>
      </c>
      <c r="L222">
        <v>0</v>
      </c>
      <c r="M222">
        <v>0</v>
      </c>
      <c r="N222">
        <v>0</v>
      </c>
      <c r="O222">
        <v>0</v>
      </c>
      <c r="P222">
        <v>0</v>
      </c>
      <c r="Q222">
        <v>809</v>
      </c>
      <c r="R222">
        <v>0.64</v>
      </c>
      <c r="S222" t="s">
        <v>30</v>
      </c>
      <c r="T222" s="1">
        <v>44847</v>
      </c>
      <c r="U222">
        <v>0</v>
      </c>
    </row>
    <row r="223" spans="1:21" x14ac:dyDescent="0.25">
      <c r="A223" t="s">
        <v>270</v>
      </c>
      <c r="B223">
        <v>25</v>
      </c>
      <c r="C223" t="s">
        <v>21</v>
      </c>
      <c r="D223" t="s">
        <v>35</v>
      </c>
      <c r="E223" t="s">
        <v>23</v>
      </c>
      <c r="F223" t="s">
        <v>24</v>
      </c>
      <c r="G223">
        <v>7981.32</v>
      </c>
      <c r="H223">
        <v>3075.13</v>
      </c>
      <c r="I223">
        <v>32500.09</v>
      </c>
      <c r="J223" t="s">
        <v>25</v>
      </c>
      <c r="K223" t="s">
        <v>54</v>
      </c>
      <c r="L223">
        <v>361999.8</v>
      </c>
      <c r="M223">
        <v>240</v>
      </c>
      <c r="N223">
        <v>7907</v>
      </c>
      <c r="O223">
        <v>26.06</v>
      </c>
      <c r="P223">
        <v>0.99</v>
      </c>
      <c r="Q223">
        <v>684</v>
      </c>
      <c r="R223">
        <v>0.34</v>
      </c>
      <c r="S223" t="s">
        <v>27</v>
      </c>
      <c r="T223" s="1">
        <v>45552</v>
      </c>
      <c r="U223">
        <v>1</v>
      </c>
    </row>
    <row r="224" spans="1:21" x14ac:dyDescent="0.25">
      <c r="A224" t="s">
        <v>271</v>
      </c>
      <c r="B224">
        <v>50</v>
      </c>
      <c r="C224" t="s">
        <v>29</v>
      </c>
      <c r="D224" t="s">
        <v>35</v>
      </c>
      <c r="E224" t="s">
        <v>31</v>
      </c>
      <c r="F224" t="s">
        <v>36</v>
      </c>
      <c r="G224">
        <v>4676.3</v>
      </c>
      <c r="H224">
        <v>2263.09</v>
      </c>
      <c r="I224">
        <v>28783.759999999998</v>
      </c>
      <c r="J224" t="s">
        <v>25</v>
      </c>
      <c r="K224" t="s">
        <v>54</v>
      </c>
      <c r="L224">
        <v>424355.49</v>
      </c>
      <c r="M224">
        <v>360</v>
      </c>
      <c r="N224">
        <v>8360.2199999999993</v>
      </c>
      <c r="O224">
        <v>23.62</v>
      </c>
      <c r="P224">
        <v>1.79</v>
      </c>
      <c r="Q224">
        <v>603</v>
      </c>
      <c r="R224">
        <v>0.51</v>
      </c>
      <c r="S224" t="s">
        <v>39</v>
      </c>
      <c r="T224" s="1">
        <v>44861</v>
      </c>
      <c r="U224">
        <v>1</v>
      </c>
    </row>
    <row r="225" spans="1:21" x14ac:dyDescent="0.25">
      <c r="A225" t="s">
        <v>272</v>
      </c>
      <c r="B225">
        <v>28</v>
      </c>
      <c r="C225" t="s">
        <v>21</v>
      </c>
      <c r="D225" t="s">
        <v>22</v>
      </c>
      <c r="E225" t="s">
        <v>23</v>
      </c>
      <c r="F225" t="s">
        <v>36</v>
      </c>
      <c r="G225">
        <v>3525.57</v>
      </c>
      <c r="H225">
        <v>3008.7</v>
      </c>
      <c r="I225">
        <v>31872.3</v>
      </c>
      <c r="J225" t="s">
        <v>37</v>
      </c>
      <c r="K225" t="s">
        <v>38</v>
      </c>
      <c r="L225">
        <v>0</v>
      </c>
      <c r="M225">
        <v>0</v>
      </c>
      <c r="N225">
        <v>0</v>
      </c>
      <c r="O225">
        <v>0</v>
      </c>
      <c r="P225">
        <v>0</v>
      </c>
      <c r="Q225">
        <v>821</v>
      </c>
      <c r="R225">
        <v>0.75</v>
      </c>
      <c r="S225" t="s">
        <v>39</v>
      </c>
      <c r="T225" s="1">
        <v>45457</v>
      </c>
      <c r="U225">
        <v>0</v>
      </c>
    </row>
    <row r="226" spans="1:21" x14ac:dyDescent="0.25">
      <c r="A226" t="s">
        <v>273</v>
      </c>
      <c r="B226">
        <v>53</v>
      </c>
      <c r="C226" t="s">
        <v>29</v>
      </c>
      <c r="D226" t="s">
        <v>41</v>
      </c>
      <c r="E226" t="s">
        <v>31</v>
      </c>
      <c r="F226" t="s">
        <v>32</v>
      </c>
      <c r="G226">
        <v>3202.88</v>
      </c>
      <c r="H226">
        <v>1132.1199999999999</v>
      </c>
      <c r="I226">
        <v>25708.97</v>
      </c>
      <c r="J226" t="s">
        <v>37</v>
      </c>
      <c r="K226" t="s">
        <v>38</v>
      </c>
      <c r="L226">
        <v>0</v>
      </c>
      <c r="M226">
        <v>0</v>
      </c>
      <c r="N226">
        <v>0</v>
      </c>
      <c r="O226">
        <v>0</v>
      </c>
      <c r="P226">
        <v>0</v>
      </c>
      <c r="Q226">
        <v>778</v>
      </c>
      <c r="R226">
        <v>0.67</v>
      </c>
      <c r="S226" t="s">
        <v>72</v>
      </c>
      <c r="T226" s="1">
        <v>44699</v>
      </c>
      <c r="U226">
        <v>0</v>
      </c>
    </row>
    <row r="227" spans="1:21" x14ac:dyDescent="0.25">
      <c r="A227" t="s">
        <v>274</v>
      </c>
      <c r="B227">
        <v>58</v>
      </c>
      <c r="C227" t="s">
        <v>29</v>
      </c>
      <c r="D227" t="s">
        <v>35</v>
      </c>
      <c r="E227" t="s">
        <v>51</v>
      </c>
      <c r="F227" t="s">
        <v>63</v>
      </c>
      <c r="G227">
        <v>3580.81</v>
      </c>
      <c r="H227">
        <v>2533.9899999999998</v>
      </c>
      <c r="I227">
        <v>12122.67</v>
      </c>
      <c r="J227" t="s">
        <v>37</v>
      </c>
      <c r="K227" t="s">
        <v>38</v>
      </c>
      <c r="L227">
        <v>0</v>
      </c>
      <c r="M227">
        <v>0</v>
      </c>
      <c r="N227">
        <v>0</v>
      </c>
      <c r="O227">
        <v>0</v>
      </c>
      <c r="P227">
        <v>0</v>
      </c>
      <c r="Q227">
        <v>509</v>
      </c>
      <c r="R227">
        <v>0.28000000000000003</v>
      </c>
      <c r="S227" t="s">
        <v>47</v>
      </c>
      <c r="T227" s="1">
        <v>45149</v>
      </c>
      <c r="U227">
        <v>0</v>
      </c>
    </row>
    <row r="228" spans="1:21" x14ac:dyDescent="0.25">
      <c r="A228" t="s">
        <v>275</v>
      </c>
      <c r="B228">
        <v>32</v>
      </c>
      <c r="C228" t="s">
        <v>29</v>
      </c>
      <c r="D228" t="s">
        <v>35</v>
      </c>
      <c r="E228" t="s">
        <v>31</v>
      </c>
      <c r="F228" t="s">
        <v>32</v>
      </c>
      <c r="G228">
        <v>5320.59</v>
      </c>
      <c r="H228">
        <v>3336.74</v>
      </c>
      <c r="I228">
        <v>17546.2</v>
      </c>
      <c r="J228" t="s">
        <v>37</v>
      </c>
      <c r="K228" t="s">
        <v>38</v>
      </c>
      <c r="L228">
        <v>0</v>
      </c>
      <c r="M228">
        <v>0</v>
      </c>
      <c r="N228">
        <v>0</v>
      </c>
      <c r="O228">
        <v>0</v>
      </c>
      <c r="P228">
        <v>0</v>
      </c>
      <c r="Q228">
        <v>449</v>
      </c>
      <c r="R228">
        <v>0.27</v>
      </c>
      <c r="S228" t="s">
        <v>30</v>
      </c>
      <c r="T228" s="1">
        <v>44465</v>
      </c>
      <c r="U228">
        <v>0</v>
      </c>
    </row>
    <row r="229" spans="1:21" x14ac:dyDescent="0.25">
      <c r="A229" t="s">
        <v>276</v>
      </c>
      <c r="B229">
        <v>28</v>
      </c>
      <c r="C229" t="s">
        <v>21</v>
      </c>
      <c r="D229" t="s">
        <v>41</v>
      </c>
      <c r="E229" t="s">
        <v>31</v>
      </c>
      <c r="F229" t="s">
        <v>49</v>
      </c>
      <c r="G229">
        <v>7575.74</v>
      </c>
      <c r="H229">
        <v>5501.39</v>
      </c>
      <c r="I229">
        <v>34053.230000000003</v>
      </c>
      <c r="J229" t="s">
        <v>37</v>
      </c>
      <c r="K229" t="s">
        <v>38</v>
      </c>
      <c r="L229">
        <v>0</v>
      </c>
      <c r="M229">
        <v>0</v>
      </c>
      <c r="N229">
        <v>0</v>
      </c>
      <c r="O229">
        <v>0</v>
      </c>
      <c r="P229">
        <v>0</v>
      </c>
      <c r="Q229">
        <v>676</v>
      </c>
      <c r="R229">
        <v>0.37</v>
      </c>
      <c r="S229" t="s">
        <v>47</v>
      </c>
      <c r="T229" s="1">
        <v>45464</v>
      </c>
      <c r="U229">
        <v>0</v>
      </c>
    </row>
    <row r="230" spans="1:21" x14ac:dyDescent="0.25">
      <c r="A230" t="s">
        <v>277</v>
      </c>
      <c r="B230">
        <v>42</v>
      </c>
      <c r="C230" t="s">
        <v>29</v>
      </c>
      <c r="D230" t="s">
        <v>41</v>
      </c>
      <c r="E230" t="s">
        <v>31</v>
      </c>
      <c r="F230" t="s">
        <v>63</v>
      </c>
      <c r="G230">
        <v>5089.03</v>
      </c>
      <c r="H230">
        <v>3502.44</v>
      </c>
      <c r="I230">
        <v>57933.29</v>
      </c>
      <c r="J230" t="s">
        <v>37</v>
      </c>
      <c r="K230" t="s">
        <v>38</v>
      </c>
      <c r="L230">
        <v>0</v>
      </c>
      <c r="M230">
        <v>0</v>
      </c>
      <c r="N230">
        <v>0</v>
      </c>
      <c r="O230">
        <v>0</v>
      </c>
      <c r="P230">
        <v>0</v>
      </c>
      <c r="Q230">
        <v>735</v>
      </c>
      <c r="R230">
        <v>0.95</v>
      </c>
      <c r="S230" t="s">
        <v>27</v>
      </c>
      <c r="T230" s="1">
        <v>44871</v>
      </c>
      <c r="U230">
        <v>0</v>
      </c>
    </row>
    <row r="231" spans="1:21" x14ac:dyDescent="0.25">
      <c r="A231" t="s">
        <v>278</v>
      </c>
      <c r="B231">
        <v>53</v>
      </c>
      <c r="C231" t="s">
        <v>21</v>
      </c>
      <c r="D231" t="s">
        <v>30</v>
      </c>
      <c r="E231" t="s">
        <v>31</v>
      </c>
      <c r="F231" t="s">
        <v>63</v>
      </c>
      <c r="G231">
        <v>5208.58</v>
      </c>
      <c r="H231">
        <v>2249.37</v>
      </c>
      <c r="I231">
        <v>12477.32</v>
      </c>
      <c r="J231" t="s">
        <v>37</v>
      </c>
      <c r="K231" t="s">
        <v>38</v>
      </c>
      <c r="L231">
        <v>0</v>
      </c>
      <c r="M231">
        <v>0</v>
      </c>
      <c r="N231">
        <v>0</v>
      </c>
      <c r="O231">
        <v>0</v>
      </c>
      <c r="P231">
        <v>0</v>
      </c>
      <c r="Q231">
        <v>313</v>
      </c>
      <c r="R231">
        <v>0.2</v>
      </c>
      <c r="S231" t="s">
        <v>72</v>
      </c>
      <c r="T231" s="1">
        <v>44458</v>
      </c>
      <c r="U231">
        <v>0</v>
      </c>
    </row>
    <row r="232" spans="1:21" x14ac:dyDescent="0.25">
      <c r="A232" t="s">
        <v>279</v>
      </c>
      <c r="B232">
        <v>20</v>
      </c>
      <c r="C232" t="s">
        <v>29</v>
      </c>
      <c r="D232" t="s">
        <v>35</v>
      </c>
      <c r="E232" t="s">
        <v>23</v>
      </c>
      <c r="F232" t="s">
        <v>44</v>
      </c>
      <c r="G232">
        <v>6888.66</v>
      </c>
      <c r="H232">
        <v>4481.74</v>
      </c>
      <c r="I232">
        <v>44843.55</v>
      </c>
      <c r="J232" t="s">
        <v>37</v>
      </c>
      <c r="K232" t="s">
        <v>38</v>
      </c>
      <c r="L232">
        <v>0</v>
      </c>
      <c r="M232">
        <v>0</v>
      </c>
      <c r="N232">
        <v>0</v>
      </c>
      <c r="O232">
        <v>0</v>
      </c>
      <c r="P232">
        <v>0</v>
      </c>
      <c r="Q232">
        <v>797</v>
      </c>
      <c r="R232">
        <v>0.54</v>
      </c>
      <c r="S232" t="s">
        <v>47</v>
      </c>
      <c r="T232" s="1">
        <v>44902</v>
      </c>
      <c r="U232">
        <v>0</v>
      </c>
    </row>
    <row r="233" spans="1:21" x14ac:dyDescent="0.25">
      <c r="A233" t="s">
        <v>280</v>
      </c>
      <c r="B233">
        <v>29</v>
      </c>
      <c r="C233" t="s">
        <v>21</v>
      </c>
      <c r="D233" t="s">
        <v>22</v>
      </c>
      <c r="E233" t="s">
        <v>31</v>
      </c>
      <c r="F233" t="s">
        <v>52</v>
      </c>
      <c r="G233">
        <v>2767.96</v>
      </c>
      <c r="H233">
        <v>2162.4499999999998</v>
      </c>
      <c r="I233">
        <v>21034.959999999999</v>
      </c>
      <c r="J233" t="s">
        <v>37</v>
      </c>
      <c r="K233" t="s">
        <v>38</v>
      </c>
      <c r="L233">
        <v>0</v>
      </c>
      <c r="M233">
        <v>0</v>
      </c>
      <c r="N233">
        <v>0</v>
      </c>
      <c r="O233">
        <v>0</v>
      </c>
      <c r="P233">
        <v>0</v>
      </c>
      <c r="Q233">
        <v>693</v>
      </c>
      <c r="R233">
        <v>0.63</v>
      </c>
      <c r="S233" t="s">
        <v>39</v>
      </c>
      <c r="T233" s="1">
        <v>44910</v>
      </c>
      <c r="U233">
        <v>0</v>
      </c>
    </row>
    <row r="234" spans="1:21" x14ac:dyDescent="0.25">
      <c r="A234" t="s">
        <v>281</v>
      </c>
      <c r="B234">
        <v>47</v>
      </c>
      <c r="C234" t="s">
        <v>21</v>
      </c>
      <c r="D234" t="s">
        <v>41</v>
      </c>
      <c r="E234" t="s">
        <v>23</v>
      </c>
      <c r="F234" t="s">
        <v>24</v>
      </c>
      <c r="G234">
        <v>5669.63</v>
      </c>
      <c r="H234">
        <v>1839.37</v>
      </c>
      <c r="I234">
        <v>35901.21</v>
      </c>
      <c r="J234" t="s">
        <v>37</v>
      </c>
      <c r="K234" t="s">
        <v>38</v>
      </c>
      <c r="L234">
        <v>0</v>
      </c>
      <c r="M234">
        <v>0</v>
      </c>
      <c r="N234">
        <v>0</v>
      </c>
      <c r="O234">
        <v>0</v>
      </c>
      <c r="P234">
        <v>0</v>
      </c>
      <c r="Q234">
        <v>450</v>
      </c>
      <c r="R234">
        <v>0.53</v>
      </c>
      <c r="S234" t="s">
        <v>47</v>
      </c>
      <c r="T234" s="1">
        <v>45099</v>
      </c>
      <c r="U234">
        <v>0</v>
      </c>
    </row>
    <row r="235" spans="1:21" x14ac:dyDescent="0.25">
      <c r="A235" t="s">
        <v>282</v>
      </c>
      <c r="B235">
        <v>27</v>
      </c>
      <c r="C235" t="s">
        <v>21</v>
      </c>
      <c r="D235" t="s">
        <v>41</v>
      </c>
      <c r="E235" t="s">
        <v>31</v>
      </c>
      <c r="F235" t="s">
        <v>49</v>
      </c>
      <c r="G235">
        <v>3246.74</v>
      </c>
      <c r="H235">
        <v>2791.05</v>
      </c>
      <c r="I235">
        <v>26142.48</v>
      </c>
      <c r="J235" t="s">
        <v>25</v>
      </c>
      <c r="K235" t="s">
        <v>45</v>
      </c>
      <c r="L235">
        <v>50957.16</v>
      </c>
      <c r="M235">
        <v>12</v>
      </c>
      <c r="N235">
        <v>4876.88</v>
      </c>
      <c r="O235">
        <v>26.36</v>
      </c>
      <c r="P235">
        <v>1.5</v>
      </c>
      <c r="Q235">
        <v>649</v>
      </c>
      <c r="R235">
        <v>0.67</v>
      </c>
      <c r="S235" t="s">
        <v>72</v>
      </c>
      <c r="T235" s="1">
        <v>45519</v>
      </c>
      <c r="U235">
        <v>1</v>
      </c>
    </row>
    <row r="236" spans="1:21" x14ac:dyDescent="0.25">
      <c r="A236" t="s">
        <v>283</v>
      </c>
      <c r="B236">
        <v>62</v>
      </c>
      <c r="C236" t="s">
        <v>21</v>
      </c>
      <c r="D236" t="s">
        <v>22</v>
      </c>
      <c r="E236" t="s">
        <v>51</v>
      </c>
      <c r="F236" t="s">
        <v>24</v>
      </c>
      <c r="G236">
        <v>4584.84</v>
      </c>
      <c r="H236">
        <v>2847.17</v>
      </c>
      <c r="I236">
        <v>18125.330000000002</v>
      </c>
      <c r="J236" t="s">
        <v>37</v>
      </c>
      <c r="K236" t="s">
        <v>38</v>
      </c>
      <c r="L236">
        <v>0</v>
      </c>
      <c r="M236">
        <v>0</v>
      </c>
      <c r="N236">
        <v>0</v>
      </c>
      <c r="O236">
        <v>0</v>
      </c>
      <c r="P236">
        <v>0</v>
      </c>
      <c r="Q236">
        <v>507</v>
      </c>
      <c r="R236">
        <v>0.33</v>
      </c>
      <c r="S236" t="s">
        <v>30</v>
      </c>
      <c r="T236" s="1">
        <v>44506</v>
      </c>
      <c r="U236">
        <v>0</v>
      </c>
    </row>
    <row r="237" spans="1:21" x14ac:dyDescent="0.25">
      <c r="A237" t="s">
        <v>284</v>
      </c>
      <c r="B237">
        <v>65</v>
      </c>
      <c r="C237" t="s">
        <v>29</v>
      </c>
      <c r="D237" t="s">
        <v>41</v>
      </c>
      <c r="E237" t="s">
        <v>49</v>
      </c>
      <c r="F237" t="s">
        <v>42</v>
      </c>
      <c r="G237">
        <v>6835.1</v>
      </c>
      <c r="H237">
        <v>2124.5700000000002</v>
      </c>
      <c r="I237">
        <v>11503.7</v>
      </c>
      <c r="J237" t="s">
        <v>37</v>
      </c>
      <c r="K237" t="s">
        <v>38</v>
      </c>
      <c r="L237">
        <v>0</v>
      </c>
      <c r="M237">
        <v>0</v>
      </c>
      <c r="N237">
        <v>0</v>
      </c>
      <c r="O237">
        <v>0</v>
      </c>
      <c r="P237">
        <v>0</v>
      </c>
      <c r="Q237">
        <v>541</v>
      </c>
      <c r="R237">
        <v>0.14000000000000001</v>
      </c>
      <c r="S237" t="s">
        <v>27</v>
      </c>
      <c r="T237" s="1">
        <v>45192</v>
      </c>
      <c r="U237">
        <v>0</v>
      </c>
    </row>
    <row r="238" spans="1:21" x14ac:dyDescent="0.25">
      <c r="A238" t="s">
        <v>285</v>
      </c>
      <c r="B238">
        <v>61</v>
      </c>
      <c r="C238" t="s">
        <v>21</v>
      </c>
      <c r="D238" t="s">
        <v>22</v>
      </c>
      <c r="E238" t="s">
        <v>23</v>
      </c>
      <c r="F238" t="s">
        <v>23</v>
      </c>
      <c r="G238">
        <v>6777.76</v>
      </c>
      <c r="H238">
        <v>5349.11</v>
      </c>
      <c r="I238">
        <v>36539.22</v>
      </c>
      <c r="J238" t="s">
        <v>25</v>
      </c>
      <c r="K238" t="s">
        <v>26</v>
      </c>
      <c r="L238">
        <v>60487.07</v>
      </c>
      <c r="M238">
        <v>60</v>
      </c>
      <c r="N238">
        <v>1145.6300000000001</v>
      </c>
      <c r="O238">
        <v>5.15</v>
      </c>
      <c r="P238">
        <v>0.17</v>
      </c>
      <c r="Q238">
        <v>441</v>
      </c>
      <c r="R238">
        <v>0.45</v>
      </c>
      <c r="S238" t="s">
        <v>72</v>
      </c>
      <c r="T238" s="1">
        <v>44417</v>
      </c>
      <c r="U238">
        <v>0</v>
      </c>
    </row>
    <row r="239" spans="1:21" x14ac:dyDescent="0.25">
      <c r="A239" t="s">
        <v>286</v>
      </c>
      <c r="B239">
        <v>60</v>
      </c>
      <c r="C239" t="s">
        <v>29</v>
      </c>
      <c r="D239" t="s">
        <v>35</v>
      </c>
      <c r="E239" t="s">
        <v>23</v>
      </c>
      <c r="F239" t="s">
        <v>23</v>
      </c>
      <c r="G239">
        <v>2954.25</v>
      </c>
      <c r="H239">
        <v>1946.36</v>
      </c>
      <c r="I239">
        <v>25235.42</v>
      </c>
      <c r="J239" t="s">
        <v>37</v>
      </c>
      <c r="K239" t="s">
        <v>38</v>
      </c>
      <c r="L239">
        <v>0</v>
      </c>
      <c r="M239">
        <v>0</v>
      </c>
      <c r="N239">
        <v>0</v>
      </c>
      <c r="O239">
        <v>0</v>
      </c>
      <c r="P239">
        <v>0</v>
      </c>
      <c r="Q239">
        <v>709</v>
      </c>
      <c r="R239">
        <v>0.71</v>
      </c>
      <c r="S239" t="s">
        <v>72</v>
      </c>
      <c r="T239" s="1">
        <v>44789</v>
      </c>
      <c r="U239">
        <v>0</v>
      </c>
    </row>
    <row r="240" spans="1:21" x14ac:dyDescent="0.25">
      <c r="A240" t="s">
        <v>287</v>
      </c>
      <c r="B240">
        <v>43</v>
      </c>
      <c r="C240" t="s">
        <v>29</v>
      </c>
      <c r="D240" t="s">
        <v>35</v>
      </c>
      <c r="E240" t="s">
        <v>31</v>
      </c>
      <c r="F240" t="s">
        <v>42</v>
      </c>
      <c r="G240">
        <v>500</v>
      </c>
      <c r="H240">
        <v>300.91000000000003</v>
      </c>
      <c r="I240">
        <v>3795.3</v>
      </c>
      <c r="J240" t="s">
        <v>37</v>
      </c>
      <c r="K240" t="s">
        <v>38</v>
      </c>
      <c r="L240">
        <v>0</v>
      </c>
      <c r="M240">
        <v>0</v>
      </c>
      <c r="N240">
        <v>0</v>
      </c>
      <c r="O240">
        <v>0</v>
      </c>
      <c r="P240">
        <v>0</v>
      </c>
      <c r="Q240">
        <v>699</v>
      </c>
      <c r="R240">
        <v>0.63</v>
      </c>
      <c r="S240" t="s">
        <v>27</v>
      </c>
      <c r="T240" s="1">
        <v>44838</v>
      </c>
      <c r="U240">
        <v>0</v>
      </c>
    </row>
    <row r="241" spans="1:21" x14ac:dyDescent="0.25">
      <c r="A241" t="s">
        <v>288</v>
      </c>
      <c r="B241">
        <v>26</v>
      </c>
      <c r="C241" t="s">
        <v>21</v>
      </c>
      <c r="D241" t="s">
        <v>56</v>
      </c>
      <c r="E241" t="s">
        <v>31</v>
      </c>
      <c r="F241" t="s">
        <v>52</v>
      </c>
      <c r="G241">
        <v>2859.78</v>
      </c>
      <c r="H241">
        <v>894.59</v>
      </c>
      <c r="I241">
        <v>15699.85</v>
      </c>
      <c r="J241" t="s">
        <v>37</v>
      </c>
      <c r="K241" t="s">
        <v>38</v>
      </c>
      <c r="L241">
        <v>0</v>
      </c>
      <c r="M241">
        <v>0</v>
      </c>
      <c r="N241">
        <v>0</v>
      </c>
      <c r="O241">
        <v>0</v>
      </c>
      <c r="P241">
        <v>0</v>
      </c>
      <c r="Q241">
        <v>359</v>
      </c>
      <c r="R241">
        <v>0.46</v>
      </c>
      <c r="S241" t="s">
        <v>72</v>
      </c>
      <c r="T241" s="1">
        <v>45687</v>
      </c>
      <c r="U241">
        <v>0</v>
      </c>
    </row>
    <row r="242" spans="1:21" x14ac:dyDescent="0.25">
      <c r="A242" t="s">
        <v>289</v>
      </c>
      <c r="B242">
        <v>29</v>
      </c>
      <c r="C242" t="s">
        <v>21</v>
      </c>
      <c r="D242" t="s">
        <v>30</v>
      </c>
      <c r="E242" t="s">
        <v>49</v>
      </c>
      <c r="F242" t="s">
        <v>32</v>
      </c>
      <c r="G242">
        <v>4669.6000000000004</v>
      </c>
      <c r="H242">
        <v>3212.39</v>
      </c>
      <c r="I242">
        <v>28038.21</v>
      </c>
      <c r="J242" t="s">
        <v>25</v>
      </c>
      <c r="K242" t="s">
        <v>54</v>
      </c>
      <c r="L242">
        <v>111489.47</v>
      </c>
      <c r="M242">
        <v>120</v>
      </c>
      <c r="N242">
        <v>1637.15</v>
      </c>
      <c r="O242">
        <v>12.58</v>
      </c>
      <c r="P242">
        <v>0.35</v>
      </c>
      <c r="Q242">
        <v>587</v>
      </c>
      <c r="R242">
        <v>0.5</v>
      </c>
      <c r="S242" t="s">
        <v>47</v>
      </c>
      <c r="T242" s="1">
        <v>44692</v>
      </c>
      <c r="U242">
        <v>0</v>
      </c>
    </row>
    <row r="243" spans="1:21" x14ac:dyDescent="0.25">
      <c r="A243" t="s">
        <v>290</v>
      </c>
      <c r="B243">
        <v>56</v>
      </c>
      <c r="C243" t="s">
        <v>29</v>
      </c>
      <c r="D243" t="s">
        <v>35</v>
      </c>
      <c r="E243" t="s">
        <v>31</v>
      </c>
      <c r="F243" t="s">
        <v>63</v>
      </c>
      <c r="G243">
        <v>6606.72</v>
      </c>
      <c r="H243">
        <v>4101.22</v>
      </c>
      <c r="I243">
        <v>8734.24</v>
      </c>
      <c r="J243" t="s">
        <v>37</v>
      </c>
      <c r="K243" t="s">
        <v>38</v>
      </c>
      <c r="L243">
        <v>0</v>
      </c>
      <c r="M243">
        <v>0</v>
      </c>
      <c r="N243">
        <v>0</v>
      </c>
      <c r="O243">
        <v>0</v>
      </c>
      <c r="P243">
        <v>0</v>
      </c>
      <c r="Q243">
        <v>400</v>
      </c>
      <c r="R243">
        <v>0.11</v>
      </c>
      <c r="S243" t="s">
        <v>47</v>
      </c>
      <c r="T243" s="1">
        <v>45479</v>
      </c>
      <c r="U243">
        <v>0</v>
      </c>
    </row>
    <row r="244" spans="1:21" x14ac:dyDescent="0.25">
      <c r="A244" t="s">
        <v>291</v>
      </c>
      <c r="B244">
        <v>37</v>
      </c>
      <c r="C244" t="s">
        <v>21</v>
      </c>
      <c r="D244" t="s">
        <v>35</v>
      </c>
      <c r="E244" t="s">
        <v>23</v>
      </c>
      <c r="F244" t="s">
        <v>23</v>
      </c>
      <c r="G244">
        <v>500</v>
      </c>
      <c r="H244">
        <v>150.75</v>
      </c>
      <c r="I244">
        <v>4874.7299999999996</v>
      </c>
      <c r="J244" t="s">
        <v>37</v>
      </c>
      <c r="K244" t="s">
        <v>38</v>
      </c>
      <c r="L244">
        <v>0</v>
      </c>
      <c r="M244">
        <v>0</v>
      </c>
      <c r="N244">
        <v>0</v>
      </c>
      <c r="O244">
        <v>0</v>
      </c>
      <c r="P244">
        <v>0</v>
      </c>
      <c r="Q244">
        <v>391</v>
      </c>
      <c r="R244">
        <v>0.81</v>
      </c>
      <c r="S244" t="s">
        <v>72</v>
      </c>
      <c r="T244" s="1">
        <v>44660</v>
      </c>
      <c r="U244">
        <v>0</v>
      </c>
    </row>
    <row r="245" spans="1:21" x14ac:dyDescent="0.25">
      <c r="A245" t="s">
        <v>292</v>
      </c>
      <c r="B245">
        <v>22</v>
      </c>
      <c r="C245" t="s">
        <v>21</v>
      </c>
      <c r="D245" t="s">
        <v>41</v>
      </c>
      <c r="E245" t="s">
        <v>31</v>
      </c>
      <c r="F245" t="s">
        <v>63</v>
      </c>
      <c r="G245">
        <v>6174.08</v>
      </c>
      <c r="H245">
        <v>3328.8</v>
      </c>
      <c r="I245">
        <v>16620.45</v>
      </c>
      <c r="J245" t="s">
        <v>25</v>
      </c>
      <c r="K245" t="s">
        <v>54</v>
      </c>
      <c r="L245">
        <v>372041</v>
      </c>
      <c r="M245">
        <v>360</v>
      </c>
      <c r="N245">
        <v>6606.26</v>
      </c>
      <c r="O245">
        <v>21.27</v>
      </c>
      <c r="P245">
        <v>1.07</v>
      </c>
      <c r="Q245">
        <v>815</v>
      </c>
      <c r="R245">
        <v>0.22</v>
      </c>
      <c r="S245" t="s">
        <v>27</v>
      </c>
      <c r="T245" s="1">
        <v>45827</v>
      </c>
      <c r="U245">
        <v>1</v>
      </c>
    </row>
    <row r="246" spans="1:21" x14ac:dyDescent="0.25">
      <c r="A246" t="s">
        <v>293</v>
      </c>
      <c r="B246">
        <v>32</v>
      </c>
      <c r="C246" t="s">
        <v>21</v>
      </c>
      <c r="D246" t="s">
        <v>22</v>
      </c>
      <c r="E246" t="s">
        <v>31</v>
      </c>
      <c r="F246" t="s">
        <v>36</v>
      </c>
      <c r="G246">
        <v>3418.21</v>
      </c>
      <c r="H246">
        <v>2547.35</v>
      </c>
      <c r="I246">
        <v>33753.370000000003</v>
      </c>
      <c r="J246" t="s">
        <v>37</v>
      </c>
      <c r="K246" t="s">
        <v>38</v>
      </c>
      <c r="L246">
        <v>0</v>
      </c>
      <c r="M246">
        <v>0</v>
      </c>
      <c r="N246">
        <v>0</v>
      </c>
      <c r="O246">
        <v>0</v>
      </c>
      <c r="P246">
        <v>0</v>
      </c>
      <c r="Q246">
        <v>397</v>
      </c>
      <c r="R246">
        <v>0.82</v>
      </c>
      <c r="S246" t="s">
        <v>30</v>
      </c>
      <c r="T246" s="1">
        <v>45685</v>
      </c>
      <c r="U246">
        <v>0</v>
      </c>
    </row>
    <row r="247" spans="1:21" x14ac:dyDescent="0.25">
      <c r="A247" t="s">
        <v>294</v>
      </c>
      <c r="B247">
        <v>32</v>
      </c>
      <c r="C247" t="s">
        <v>29</v>
      </c>
      <c r="D247" t="s">
        <v>35</v>
      </c>
      <c r="E247" t="s">
        <v>51</v>
      </c>
      <c r="F247" t="s">
        <v>49</v>
      </c>
      <c r="G247">
        <v>3031.62</v>
      </c>
      <c r="H247">
        <v>2496.6</v>
      </c>
      <c r="I247">
        <v>23915.200000000001</v>
      </c>
      <c r="J247" t="s">
        <v>37</v>
      </c>
      <c r="K247" t="s">
        <v>38</v>
      </c>
      <c r="L247">
        <v>0</v>
      </c>
      <c r="M247">
        <v>0</v>
      </c>
      <c r="N247">
        <v>0</v>
      </c>
      <c r="O247">
        <v>0</v>
      </c>
      <c r="P247">
        <v>0</v>
      </c>
      <c r="Q247">
        <v>814</v>
      </c>
      <c r="R247">
        <v>0.66</v>
      </c>
      <c r="S247" t="s">
        <v>27</v>
      </c>
      <c r="T247" s="1">
        <v>45297</v>
      </c>
      <c r="U247">
        <v>0</v>
      </c>
    </row>
    <row r="248" spans="1:21" x14ac:dyDescent="0.25">
      <c r="A248" t="s">
        <v>295</v>
      </c>
      <c r="B248">
        <v>19</v>
      </c>
      <c r="C248" t="s">
        <v>21</v>
      </c>
      <c r="D248" t="s">
        <v>56</v>
      </c>
      <c r="E248" t="s">
        <v>31</v>
      </c>
      <c r="F248" t="s">
        <v>23</v>
      </c>
      <c r="G248">
        <v>1456.92</v>
      </c>
      <c r="H248">
        <v>780.14</v>
      </c>
      <c r="I248">
        <v>5919.71</v>
      </c>
      <c r="J248" t="s">
        <v>37</v>
      </c>
      <c r="K248" t="s">
        <v>38</v>
      </c>
      <c r="L248">
        <v>0</v>
      </c>
      <c r="M248">
        <v>0</v>
      </c>
      <c r="N248">
        <v>0</v>
      </c>
      <c r="O248">
        <v>0</v>
      </c>
      <c r="P248">
        <v>0</v>
      </c>
      <c r="Q248">
        <v>372</v>
      </c>
      <c r="R248">
        <v>0.34</v>
      </c>
      <c r="S248" t="s">
        <v>30</v>
      </c>
      <c r="T248" s="1">
        <v>45471</v>
      </c>
      <c r="U248">
        <v>0</v>
      </c>
    </row>
    <row r="249" spans="1:21" x14ac:dyDescent="0.25">
      <c r="A249" t="s">
        <v>296</v>
      </c>
      <c r="B249">
        <v>63</v>
      </c>
      <c r="C249" t="s">
        <v>21</v>
      </c>
      <c r="D249" t="s">
        <v>35</v>
      </c>
      <c r="E249" t="s">
        <v>51</v>
      </c>
      <c r="F249" t="s">
        <v>49</v>
      </c>
      <c r="G249">
        <v>3466.74</v>
      </c>
      <c r="H249">
        <v>2846.32</v>
      </c>
      <c r="I249">
        <v>16376.97</v>
      </c>
      <c r="J249" t="s">
        <v>37</v>
      </c>
      <c r="K249" t="s">
        <v>38</v>
      </c>
      <c r="L249">
        <v>0</v>
      </c>
      <c r="M249">
        <v>0</v>
      </c>
      <c r="N249">
        <v>0</v>
      </c>
      <c r="O249">
        <v>0</v>
      </c>
      <c r="P249">
        <v>0</v>
      </c>
      <c r="Q249">
        <v>537</v>
      </c>
      <c r="R249">
        <v>0.39</v>
      </c>
      <c r="S249" t="s">
        <v>27</v>
      </c>
      <c r="T249" s="1">
        <v>45639</v>
      </c>
      <c r="U249">
        <v>0</v>
      </c>
    </row>
    <row r="250" spans="1:21" x14ac:dyDescent="0.25">
      <c r="A250" t="s">
        <v>297</v>
      </c>
      <c r="B250">
        <v>20</v>
      </c>
      <c r="C250" t="s">
        <v>29</v>
      </c>
      <c r="D250" t="s">
        <v>35</v>
      </c>
      <c r="E250" t="s">
        <v>51</v>
      </c>
      <c r="F250" t="s">
        <v>36</v>
      </c>
      <c r="G250">
        <v>7122.5</v>
      </c>
      <c r="H250">
        <v>2464.08</v>
      </c>
      <c r="I250">
        <v>68570.66</v>
      </c>
      <c r="J250" t="s">
        <v>25</v>
      </c>
      <c r="K250" t="s">
        <v>45</v>
      </c>
      <c r="L250">
        <v>63582.21</v>
      </c>
      <c r="M250">
        <v>120</v>
      </c>
      <c r="N250">
        <v>1403.2</v>
      </c>
      <c r="O250">
        <v>24.03</v>
      </c>
      <c r="P250">
        <v>0.2</v>
      </c>
      <c r="Q250">
        <v>794</v>
      </c>
      <c r="R250">
        <v>0.8</v>
      </c>
      <c r="S250" t="s">
        <v>72</v>
      </c>
      <c r="T250" s="1">
        <v>45544</v>
      </c>
      <c r="U250">
        <v>0</v>
      </c>
    </row>
    <row r="251" spans="1:21" x14ac:dyDescent="0.25">
      <c r="A251" t="s">
        <v>298</v>
      </c>
      <c r="B251">
        <v>35</v>
      </c>
      <c r="C251" t="s">
        <v>21</v>
      </c>
      <c r="D251" t="s">
        <v>35</v>
      </c>
      <c r="E251" t="s">
        <v>31</v>
      </c>
      <c r="F251" t="s">
        <v>52</v>
      </c>
      <c r="G251">
        <v>3443.25</v>
      </c>
      <c r="H251">
        <v>1557.12</v>
      </c>
      <c r="I251">
        <v>37971.269999999997</v>
      </c>
      <c r="J251" t="s">
        <v>37</v>
      </c>
      <c r="K251" t="s">
        <v>38</v>
      </c>
      <c r="L251">
        <v>0</v>
      </c>
      <c r="M251">
        <v>0</v>
      </c>
      <c r="N251">
        <v>0</v>
      </c>
      <c r="O251">
        <v>0</v>
      </c>
      <c r="P251">
        <v>0</v>
      </c>
      <c r="Q251">
        <v>473</v>
      </c>
      <c r="R251">
        <v>0.92</v>
      </c>
      <c r="S251" t="s">
        <v>72</v>
      </c>
      <c r="T251" s="1">
        <v>45674</v>
      </c>
      <c r="U251">
        <v>0</v>
      </c>
    </row>
    <row r="252" spans="1:21" x14ac:dyDescent="0.25">
      <c r="A252" t="s">
        <v>299</v>
      </c>
      <c r="B252">
        <v>25</v>
      </c>
      <c r="C252" t="s">
        <v>29</v>
      </c>
      <c r="D252" t="s">
        <v>41</v>
      </c>
      <c r="E252" t="s">
        <v>31</v>
      </c>
      <c r="F252" t="s">
        <v>52</v>
      </c>
      <c r="G252">
        <v>7297.57</v>
      </c>
      <c r="H252">
        <v>4235.99</v>
      </c>
      <c r="I252">
        <v>23690.6</v>
      </c>
      <c r="J252" t="s">
        <v>37</v>
      </c>
      <c r="K252" t="s">
        <v>38</v>
      </c>
      <c r="L252">
        <v>0</v>
      </c>
      <c r="M252">
        <v>0</v>
      </c>
      <c r="N252">
        <v>0</v>
      </c>
      <c r="O252">
        <v>0</v>
      </c>
      <c r="P252">
        <v>0</v>
      </c>
      <c r="Q252">
        <v>517</v>
      </c>
      <c r="R252">
        <v>0.27</v>
      </c>
      <c r="S252" t="s">
        <v>72</v>
      </c>
      <c r="T252" s="1">
        <v>45626</v>
      </c>
      <c r="U252">
        <v>0</v>
      </c>
    </row>
    <row r="253" spans="1:21" x14ac:dyDescent="0.25">
      <c r="A253" t="s">
        <v>300</v>
      </c>
      <c r="B253">
        <v>25</v>
      </c>
      <c r="C253" t="s">
        <v>30</v>
      </c>
      <c r="D253" t="s">
        <v>41</v>
      </c>
      <c r="E253" t="s">
        <v>31</v>
      </c>
      <c r="F253" t="s">
        <v>23</v>
      </c>
      <c r="G253">
        <v>2749.77</v>
      </c>
      <c r="H253">
        <v>2273.4499999999998</v>
      </c>
      <c r="I253">
        <v>7861.34</v>
      </c>
      <c r="J253" t="s">
        <v>25</v>
      </c>
      <c r="K253" t="s">
        <v>45</v>
      </c>
      <c r="L253">
        <v>156917.96</v>
      </c>
      <c r="M253">
        <v>60</v>
      </c>
      <c r="N253">
        <v>3424.31</v>
      </c>
      <c r="O253">
        <v>11.16</v>
      </c>
      <c r="P253">
        <v>1.25</v>
      </c>
      <c r="Q253">
        <v>509</v>
      </c>
      <c r="R253">
        <v>0.24</v>
      </c>
      <c r="S253" t="s">
        <v>27</v>
      </c>
      <c r="T253" s="1">
        <v>45101</v>
      </c>
      <c r="U253">
        <v>1</v>
      </c>
    </row>
    <row r="254" spans="1:21" x14ac:dyDescent="0.25">
      <c r="A254" t="s">
        <v>301</v>
      </c>
      <c r="B254">
        <v>42</v>
      </c>
      <c r="C254" t="s">
        <v>21</v>
      </c>
      <c r="D254" t="s">
        <v>35</v>
      </c>
      <c r="E254" t="s">
        <v>31</v>
      </c>
      <c r="F254" t="s">
        <v>52</v>
      </c>
      <c r="G254">
        <v>4078.71</v>
      </c>
      <c r="H254">
        <v>1976.94</v>
      </c>
      <c r="I254">
        <v>25278.6</v>
      </c>
      <c r="J254" t="s">
        <v>37</v>
      </c>
      <c r="K254" t="s">
        <v>38</v>
      </c>
      <c r="L254">
        <v>0</v>
      </c>
      <c r="M254">
        <v>0</v>
      </c>
      <c r="N254">
        <v>0</v>
      </c>
      <c r="O254">
        <v>0</v>
      </c>
      <c r="P254">
        <v>0</v>
      </c>
      <c r="Q254">
        <v>445</v>
      </c>
      <c r="R254">
        <v>0.52</v>
      </c>
      <c r="S254" t="s">
        <v>72</v>
      </c>
      <c r="T254" s="1">
        <v>44473</v>
      </c>
      <c r="U254">
        <v>0</v>
      </c>
    </row>
    <row r="255" spans="1:21" x14ac:dyDescent="0.25">
      <c r="A255" t="s">
        <v>302</v>
      </c>
      <c r="B255">
        <v>44</v>
      </c>
      <c r="C255" t="s">
        <v>29</v>
      </c>
      <c r="D255" t="s">
        <v>56</v>
      </c>
      <c r="E255" t="s">
        <v>31</v>
      </c>
      <c r="F255" t="s">
        <v>23</v>
      </c>
      <c r="G255">
        <v>2707.98</v>
      </c>
      <c r="H255">
        <v>993.48</v>
      </c>
      <c r="I255">
        <v>18107.57</v>
      </c>
      <c r="J255" t="s">
        <v>37</v>
      </c>
      <c r="K255" t="s">
        <v>38</v>
      </c>
      <c r="L255">
        <v>0</v>
      </c>
      <c r="M255">
        <v>0</v>
      </c>
      <c r="N255">
        <v>0</v>
      </c>
      <c r="O255">
        <v>0</v>
      </c>
      <c r="P255">
        <v>0</v>
      </c>
      <c r="Q255">
        <v>636</v>
      </c>
      <c r="R255">
        <v>0.56000000000000005</v>
      </c>
      <c r="S255" t="s">
        <v>47</v>
      </c>
      <c r="T255" s="1">
        <v>44879</v>
      </c>
      <c r="U255">
        <v>0</v>
      </c>
    </row>
    <row r="256" spans="1:21" x14ac:dyDescent="0.25">
      <c r="A256" t="s">
        <v>303</v>
      </c>
      <c r="B256">
        <v>49</v>
      </c>
      <c r="C256" t="s">
        <v>29</v>
      </c>
      <c r="D256" t="s">
        <v>41</v>
      </c>
      <c r="E256" t="s">
        <v>31</v>
      </c>
      <c r="F256" t="s">
        <v>24</v>
      </c>
      <c r="G256">
        <v>5763.45</v>
      </c>
      <c r="H256">
        <v>4571.72</v>
      </c>
      <c r="I256">
        <v>24967.95</v>
      </c>
      <c r="J256" t="s">
        <v>25</v>
      </c>
      <c r="K256" t="s">
        <v>54</v>
      </c>
      <c r="L256">
        <v>90235.76</v>
      </c>
      <c r="M256">
        <v>120</v>
      </c>
      <c r="N256">
        <v>1427.77</v>
      </c>
      <c r="O256">
        <v>14.49</v>
      </c>
      <c r="P256">
        <v>0.25</v>
      </c>
      <c r="Q256">
        <v>442</v>
      </c>
      <c r="R256">
        <v>0.36</v>
      </c>
      <c r="S256" t="s">
        <v>47</v>
      </c>
      <c r="T256" s="1">
        <v>45807</v>
      </c>
      <c r="U256">
        <v>0</v>
      </c>
    </row>
    <row r="257" spans="1:21" x14ac:dyDescent="0.25">
      <c r="A257" t="s">
        <v>304</v>
      </c>
      <c r="B257">
        <v>68</v>
      </c>
      <c r="C257" t="s">
        <v>21</v>
      </c>
      <c r="D257" t="s">
        <v>22</v>
      </c>
      <c r="E257" t="s">
        <v>23</v>
      </c>
      <c r="F257" t="s">
        <v>44</v>
      </c>
      <c r="G257">
        <v>5457.64</v>
      </c>
      <c r="H257">
        <v>3231.92</v>
      </c>
      <c r="I257">
        <v>48243.21</v>
      </c>
      <c r="J257" t="s">
        <v>37</v>
      </c>
      <c r="K257" t="s">
        <v>38</v>
      </c>
      <c r="L257">
        <v>0</v>
      </c>
      <c r="M257">
        <v>0</v>
      </c>
      <c r="N257">
        <v>0</v>
      </c>
      <c r="O257">
        <v>0</v>
      </c>
      <c r="P257">
        <v>0</v>
      </c>
      <c r="Q257">
        <v>781</v>
      </c>
      <c r="R257">
        <v>0.74</v>
      </c>
      <c r="S257" t="s">
        <v>72</v>
      </c>
      <c r="T257" s="1">
        <v>44934</v>
      </c>
      <c r="U257">
        <v>0</v>
      </c>
    </row>
    <row r="258" spans="1:21" x14ac:dyDescent="0.25">
      <c r="A258" t="s">
        <v>305</v>
      </c>
      <c r="B258">
        <v>52</v>
      </c>
      <c r="C258" t="s">
        <v>21</v>
      </c>
      <c r="D258" t="s">
        <v>35</v>
      </c>
      <c r="E258" t="s">
        <v>51</v>
      </c>
      <c r="F258" t="s">
        <v>24</v>
      </c>
      <c r="G258">
        <v>1759.47</v>
      </c>
      <c r="H258">
        <v>1521.69</v>
      </c>
      <c r="I258">
        <v>15294.39</v>
      </c>
      <c r="J258" t="s">
        <v>25</v>
      </c>
      <c r="K258" t="s">
        <v>54</v>
      </c>
      <c r="L258">
        <v>42800.83</v>
      </c>
      <c r="M258">
        <v>240</v>
      </c>
      <c r="N258">
        <v>754.08</v>
      </c>
      <c r="O258">
        <v>20.8</v>
      </c>
      <c r="P258">
        <v>0.43</v>
      </c>
      <c r="Q258">
        <v>668</v>
      </c>
      <c r="R258">
        <v>0.72</v>
      </c>
      <c r="S258" t="s">
        <v>39</v>
      </c>
      <c r="T258" s="1">
        <v>45332</v>
      </c>
      <c r="U258">
        <v>1</v>
      </c>
    </row>
    <row r="259" spans="1:21" x14ac:dyDescent="0.25">
      <c r="A259" t="s">
        <v>306</v>
      </c>
      <c r="B259">
        <v>54</v>
      </c>
      <c r="C259" t="s">
        <v>21</v>
      </c>
      <c r="D259" t="s">
        <v>22</v>
      </c>
      <c r="E259" t="s">
        <v>31</v>
      </c>
      <c r="F259" t="s">
        <v>52</v>
      </c>
      <c r="G259">
        <v>2687.8</v>
      </c>
      <c r="H259">
        <v>887.41</v>
      </c>
      <c r="I259">
        <v>17789.59</v>
      </c>
      <c r="J259" t="s">
        <v>25</v>
      </c>
      <c r="K259" t="s">
        <v>26</v>
      </c>
      <c r="L259">
        <v>40176.21</v>
      </c>
      <c r="M259">
        <v>240</v>
      </c>
      <c r="N259">
        <v>471.84</v>
      </c>
      <c r="O259">
        <v>13.04</v>
      </c>
      <c r="P259">
        <v>0.18</v>
      </c>
      <c r="Q259">
        <v>493</v>
      </c>
      <c r="R259">
        <v>0.55000000000000004</v>
      </c>
      <c r="S259" t="s">
        <v>39</v>
      </c>
      <c r="T259" s="1">
        <v>45179</v>
      </c>
      <c r="U259">
        <v>0</v>
      </c>
    </row>
    <row r="260" spans="1:21" x14ac:dyDescent="0.25">
      <c r="A260" t="s">
        <v>307</v>
      </c>
      <c r="B260">
        <v>19</v>
      </c>
      <c r="C260" t="s">
        <v>29</v>
      </c>
      <c r="D260" t="s">
        <v>41</v>
      </c>
      <c r="E260" t="s">
        <v>49</v>
      </c>
      <c r="F260" t="s">
        <v>52</v>
      </c>
      <c r="G260">
        <v>2955.6</v>
      </c>
      <c r="H260">
        <v>1446.95</v>
      </c>
      <c r="I260">
        <v>9538.82</v>
      </c>
      <c r="J260" t="s">
        <v>37</v>
      </c>
      <c r="K260" t="s">
        <v>38</v>
      </c>
      <c r="L260">
        <v>0</v>
      </c>
      <c r="M260">
        <v>0</v>
      </c>
      <c r="N260">
        <v>0</v>
      </c>
      <c r="O260">
        <v>0</v>
      </c>
      <c r="P260">
        <v>0</v>
      </c>
      <c r="Q260">
        <v>455</v>
      </c>
      <c r="R260">
        <v>0.27</v>
      </c>
      <c r="S260" t="s">
        <v>30</v>
      </c>
      <c r="T260" s="1">
        <v>45267</v>
      </c>
      <c r="U260">
        <v>0</v>
      </c>
    </row>
    <row r="261" spans="1:21" x14ac:dyDescent="0.25">
      <c r="A261" t="s">
        <v>308</v>
      </c>
      <c r="B261">
        <v>44</v>
      </c>
      <c r="C261" t="s">
        <v>29</v>
      </c>
      <c r="D261" t="s">
        <v>22</v>
      </c>
      <c r="E261" t="s">
        <v>31</v>
      </c>
      <c r="F261" t="s">
        <v>42</v>
      </c>
      <c r="G261">
        <v>8228.11</v>
      </c>
      <c r="H261">
        <v>3760.74</v>
      </c>
      <c r="I261">
        <v>42203.76</v>
      </c>
      <c r="J261" t="s">
        <v>37</v>
      </c>
      <c r="K261" t="s">
        <v>38</v>
      </c>
      <c r="L261">
        <v>0</v>
      </c>
      <c r="M261">
        <v>0</v>
      </c>
      <c r="N261">
        <v>0</v>
      </c>
      <c r="O261">
        <v>0</v>
      </c>
      <c r="P261">
        <v>0</v>
      </c>
      <c r="Q261">
        <v>581</v>
      </c>
      <c r="R261">
        <v>0.43</v>
      </c>
      <c r="S261" t="s">
        <v>47</v>
      </c>
      <c r="T261" s="1">
        <v>44536</v>
      </c>
      <c r="U261">
        <v>0</v>
      </c>
    </row>
    <row r="262" spans="1:21" x14ac:dyDescent="0.25">
      <c r="A262" t="s">
        <v>309</v>
      </c>
      <c r="B262">
        <v>52</v>
      </c>
      <c r="C262" t="s">
        <v>21</v>
      </c>
      <c r="D262" t="s">
        <v>41</v>
      </c>
      <c r="E262" t="s">
        <v>31</v>
      </c>
      <c r="F262" t="s">
        <v>52</v>
      </c>
      <c r="G262">
        <v>5428.39</v>
      </c>
      <c r="H262">
        <v>2703.17</v>
      </c>
      <c r="I262">
        <v>14097.1</v>
      </c>
      <c r="J262" t="s">
        <v>37</v>
      </c>
      <c r="K262" t="s">
        <v>38</v>
      </c>
      <c r="L262">
        <v>0</v>
      </c>
      <c r="M262">
        <v>0</v>
      </c>
      <c r="N262">
        <v>0</v>
      </c>
      <c r="O262">
        <v>0</v>
      </c>
      <c r="P262">
        <v>0</v>
      </c>
      <c r="Q262">
        <v>326</v>
      </c>
      <c r="R262">
        <v>0.22</v>
      </c>
      <c r="S262" t="s">
        <v>47</v>
      </c>
      <c r="T262" s="1">
        <v>45624</v>
      </c>
      <c r="U262">
        <v>0</v>
      </c>
    </row>
    <row r="263" spans="1:21" x14ac:dyDescent="0.25">
      <c r="A263" t="s">
        <v>310</v>
      </c>
      <c r="B263">
        <v>49</v>
      </c>
      <c r="C263" t="s">
        <v>21</v>
      </c>
      <c r="D263" t="s">
        <v>22</v>
      </c>
      <c r="E263" t="s">
        <v>31</v>
      </c>
      <c r="F263" t="s">
        <v>32</v>
      </c>
      <c r="G263">
        <v>8043.4</v>
      </c>
      <c r="H263">
        <v>7136.26</v>
      </c>
      <c r="I263">
        <v>33534.089999999997</v>
      </c>
      <c r="J263" t="s">
        <v>37</v>
      </c>
      <c r="K263" t="s">
        <v>38</v>
      </c>
      <c r="L263">
        <v>0</v>
      </c>
      <c r="M263">
        <v>0</v>
      </c>
      <c r="N263">
        <v>0</v>
      </c>
      <c r="O263">
        <v>0</v>
      </c>
      <c r="P263">
        <v>0</v>
      </c>
      <c r="Q263">
        <v>381</v>
      </c>
      <c r="R263">
        <v>0.35</v>
      </c>
      <c r="S263" t="s">
        <v>27</v>
      </c>
      <c r="T263" s="1">
        <v>45426</v>
      </c>
      <c r="U263">
        <v>0</v>
      </c>
    </row>
    <row r="264" spans="1:21" x14ac:dyDescent="0.25">
      <c r="A264" t="s">
        <v>311</v>
      </c>
      <c r="B264">
        <v>52</v>
      </c>
      <c r="C264" t="s">
        <v>21</v>
      </c>
      <c r="D264" t="s">
        <v>41</v>
      </c>
      <c r="E264" t="s">
        <v>31</v>
      </c>
      <c r="F264" t="s">
        <v>23</v>
      </c>
      <c r="G264">
        <v>2347.42</v>
      </c>
      <c r="H264">
        <v>1719.45</v>
      </c>
      <c r="I264">
        <v>25518.67</v>
      </c>
      <c r="J264" t="s">
        <v>25</v>
      </c>
      <c r="K264" t="s">
        <v>54</v>
      </c>
      <c r="L264">
        <v>20837.03</v>
      </c>
      <c r="M264">
        <v>36</v>
      </c>
      <c r="N264">
        <v>871.94</v>
      </c>
      <c r="O264">
        <v>28.89</v>
      </c>
      <c r="P264">
        <v>0.37</v>
      </c>
      <c r="Q264">
        <v>763</v>
      </c>
      <c r="R264">
        <v>0.91</v>
      </c>
      <c r="S264" t="s">
        <v>72</v>
      </c>
      <c r="T264" s="1">
        <v>44478</v>
      </c>
      <c r="U264">
        <v>0</v>
      </c>
    </row>
    <row r="265" spans="1:21" x14ac:dyDescent="0.25">
      <c r="A265" t="s">
        <v>312</v>
      </c>
      <c r="B265">
        <v>30</v>
      </c>
      <c r="C265" t="s">
        <v>21</v>
      </c>
      <c r="D265" t="s">
        <v>22</v>
      </c>
      <c r="E265" t="s">
        <v>23</v>
      </c>
      <c r="F265" t="s">
        <v>36</v>
      </c>
      <c r="G265">
        <v>6403.72</v>
      </c>
      <c r="H265">
        <v>5748.35</v>
      </c>
      <c r="I265">
        <v>41817.699999999997</v>
      </c>
      <c r="J265" t="s">
        <v>37</v>
      </c>
      <c r="K265" t="s">
        <v>38</v>
      </c>
      <c r="L265">
        <v>0</v>
      </c>
      <c r="M265">
        <v>0</v>
      </c>
      <c r="N265">
        <v>0</v>
      </c>
      <c r="O265">
        <v>0</v>
      </c>
      <c r="P265">
        <v>0</v>
      </c>
      <c r="Q265">
        <v>813</v>
      </c>
      <c r="R265">
        <v>0.54</v>
      </c>
      <c r="S265" t="s">
        <v>39</v>
      </c>
      <c r="T265" s="1">
        <v>44832</v>
      </c>
      <c r="U265">
        <v>0</v>
      </c>
    </row>
    <row r="266" spans="1:21" x14ac:dyDescent="0.25">
      <c r="A266" t="s">
        <v>313</v>
      </c>
      <c r="B266">
        <v>50</v>
      </c>
      <c r="C266" t="s">
        <v>29</v>
      </c>
      <c r="D266" t="s">
        <v>41</v>
      </c>
      <c r="E266" t="s">
        <v>31</v>
      </c>
      <c r="F266" t="s">
        <v>63</v>
      </c>
      <c r="G266">
        <v>2219.86</v>
      </c>
      <c r="H266">
        <v>1607.03</v>
      </c>
      <c r="I266">
        <v>22243.64</v>
      </c>
      <c r="J266" t="s">
        <v>37</v>
      </c>
      <c r="K266" t="s">
        <v>38</v>
      </c>
      <c r="L266">
        <v>0</v>
      </c>
      <c r="M266">
        <v>0</v>
      </c>
      <c r="N266">
        <v>0</v>
      </c>
      <c r="O266">
        <v>0</v>
      </c>
      <c r="P266">
        <v>0</v>
      </c>
      <c r="Q266">
        <v>482</v>
      </c>
      <c r="R266">
        <v>0.84</v>
      </c>
      <c r="S266" t="s">
        <v>39</v>
      </c>
      <c r="T266" s="1">
        <v>44739</v>
      </c>
      <c r="U266">
        <v>0</v>
      </c>
    </row>
    <row r="267" spans="1:21" x14ac:dyDescent="0.25">
      <c r="A267" t="s">
        <v>314</v>
      </c>
      <c r="B267">
        <v>19</v>
      </c>
      <c r="C267" t="s">
        <v>21</v>
      </c>
      <c r="D267" t="s">
        <v>41</v>
      </c>
      <c r="E267" t="s">
        <v>51</v>
      </c>
      <c r="F267" t="s">
        <v>42</v>
      </c>
      <c r="G267">
        <v>4876.7299999999996</v>
      </c>
      <c r="H267">
        <v>1650.75</v>
      </c>
      <c r="I267">
        <v>46439.69</v>
      </c>
      <c r="J267" t="s">
        <v>37</v>
      </c>
      <c r="K267" t="s">
        <v>38</v>
      </c>
      <c r="L267">
        <v>0</v>
      </c>
      <c r="M267">
        <v>0</v>
      </c>
      <c r="N267">
        <v>0</v>
      </c>
      <c r="O267">
        <v>0</v>
      </c>
      <c r="P267">
        <v>0</v>
      </c>
      <c r="Q267">
        <v>312</v>
      </c>
      <c r="R267">
        <v>0.79</v>
      </c>
      <c r="S267" t="s">
        <v>30</v>
      </c>
      <c r="T267" s="1">
        <v>44923</v>
      </c>
      <c r="U267">
        <v>0</v>
      </c>
    </row>
    <row r="268" spans="1:21" x14ac:dyDescent="0.25">
      <c r="A268" t="s">
        <v>315</v>
      </c>
      <c r="B268">
        <v>43</v>
      </c>
      <c r="C268" t="s">
        <v>29</v>
      </c>
      <c r="D268" t="s">
        <v>22</v>
      </c>
      <c r="E268" t="s">
        <v>23</v>
      </c>
      <c r="F268" t="s">
        <v>49</v>
      </c>
      <c r="G268">
        <v>4670.42</v>
      </c>
      <c r="H268">
        <v>1873.47</v>
      </c>
      <c r="I268">
        <v>22327.39</v>
      </c>
      <c r="J268" t="s">
        <v>25</v>
      </c>
      <c r="K268" t="s">
        <v>45</v>
      </c>
      <c r="L268">
        <v>397702.19</v>
      </c>
      <c r="M268">
        <v>180</v>
      </c>
      <c r="N268">
        <v>8669.24</v>
      </c>
      <c r="O268">
        <v>25.57</v>
      </c>
      <c r="P268">
        <v>1.86</v>
      </c>
      <c r="Q268">
        <v>595</v>
      </c>
      <c r="R268">
        <v>0.4</v>
      </c>
      <c r="S268" t="s">
        <v>30</v>
      </c>
      <c r="T268" s="1">
        <v>44415</v>
      </c>
      <c r="U268">
        <v>1</v>
      </c>
    </row>
    <row r="269" spans="1:21" x14ac:dyDescent="0.25">
      <c r="A269" t="s">
        <v>316</v>
      </c>
      <c r="B269">
        <v>61</v>
      </c>
      <c r="C269" t="s">
        <v>29</v>
      </c>
      <c r="D269" t="s">
        <v>41</v>
      </c>
      <c r="E269" t="s">
        <v>31</v>
      </c>
      <c r="F269" t="s">
        <v>36</v>
      </c>
      <c r="G269">
        <v>3120.28</v>
      </c>
      <c r="H269">
        <v>1835.58</v>
      </c>
      <c r="I269">
        <v>31826.94</v>
      </c>
      <c r="J269" t="s">
        <v>37</v>
      </c>
      <c r="K269" t="s">
        <v>38</v>
      </c>
      <c r="L269">
        <v>0</v>
      </c>
      <c r="M269">
        <v>0</v>
      </c>
      <c r="N269">
        <v>0</v>
      </c>
      <c r="O269">
        <v>0</v>
      </c>
      <c r="P269">
        <v>0</v>
      </c>
      <c r="Q269">
        <v>504</v>
      </c>
      <c r="R269">
        <v>0.85</v>
      </c>
      <c r="S269" t="s">
        <v>47</v>
      </c>
      <c r="T269" s="1">
        <v>44842</v>
      </c>
      <c r="U269">
        <v>0</v>
      </c>
    </row>
    <row r="270" spans="1:21" x14ac:dyDescent="0.25">
      <c r="A270" t="s">
        <v>317</v>
      </c>
      <c r="B270">
        <v>32</v>
      </c>
      <c r="C270" t="s">
        <v>21</v>
      </c>
      <c r="D270" t="s">
        <v>41</v>
      </c>
      <c r="E270" t="s">
        <v>51</v>
      </c>
      <c r="F270" t="s">
        <v>32</v>
      </c>
      <c r="G270">
        <v>4049.29</v>
      </c>
      <c r="H270">
        <v>1650.67</v>
      </c>
      <c r="I270">
        <v>27336.46</v>
      </c>
      <c r="J270" t="s">
        <v>37</v>
      </c>
      <c r="K270" t="s">
        <v>38</v>
      </c>
      <c r="L270">
        <v>0</v>
      </c>
      <c r="M270">
        <v>0</v>
      </c>
      <c r="N270">
        <v>0</v>
      </c>
      <c r="O270">
        <v>0</v>
      </c>
      <c r="P270">
        <v>0</v>
      </c>
      <c r="Q270">
        <v>340</v>
      </c>
      <c r="R270">
        <v>0.56000000000000005</v>
      </c>
      <c r="S270" t="s">
        <v>39</v>
      </c>
      <c r="T270" s="1">
        <v>45004</v>
      </c>
      <c r="U270">
        <v>0</v>
      </c>
    </row>
    <row r="271" spans="1:21" x14ac:dyDescent="0.25">
      <c r="A271" t="s">
        <v>318</v>
      </c>
      <c r="B271">
        <v>54</v>
      </c>
      <c r="C271" t="s">
        <v>29</v>
      </c>
      <c r="D271" t="s">
        <v>35</v>
      </c>
      <c r="E271" t="s">
        <v>31</v>
      </c>
      <c r="F271" t="s">
        <v>52</v>
      </c>
      <c r="G271">
        <v>1925.68</v>
      </c>
      <c r="H271">
        <v>1668.98</v>
      </c>
      <c r="I271">
        <v>7618.9</v>
      </c>
      <c r="J271" t="s">
        <v>37</v>
      </c>
      <c r="K271" t="s">
        <v>38</v>
      </c>
      <c r="L271">
        <v>0</v>
      </c>
      <c r="M271">
        <v>0</v>
      </c>
      <c r="N271">
        <v>0</v>
      </c>
      <c r="O271">
        <v>0</v>
      </c>
      <c r="P271">
        <v>0</v>
      </c>
      <c r="Q271">
        <v>466</v>
      </c>
      <c r="R271">
        <v>0.33</v>
      </c>
      <c r="S271" t="s">
        <v>27</v>
      </c>
      <c r="T271" s="1">
        <v>45388</v>
      </c>
      <c r="U271">
        <v>0</v>
      </c>
    </row>
    <row r="272" spans="1:21" x14ac:dyDescent="0.25">
      <c r="A272" t="s">
        <v>319</v>
      </c>
      <c r="B272">
        <v>50</v>
      </c>
      <c r="C272" t="s">
        <v>21</v>
      </c>
      <c r="D272" t="s">
        <v>30</v>
      </c>
      <c r="E272" t="s">
        <v>49</v>
      </c>
      <c r="F272" t="s">
        <v>24</v>
      </c>
      <c r="G272">
        <v>4852.4799999999996</v>
      </c>
      <c r="H272">
        <v>1534.15</v>
      </c>
      <c r="I272">
        <v>15524.43</v>
      </c>
      <c r="J272" t="s">
        <v>37</v>
      </c>
      <c r="K272" t="s">
        <v>38</v>
      </c>
      <c r="L272">
        <v>0</v>
      </c>
      <c r="M272">
        <v>0</v>
      </c>
      <c r="N272">
        <v>0</v>
      </c>
      <c r="O272">
        <v>0</v>
      </c>
      <c r="P272">
        <v>0</v>
      </c>
      <c r="Q272">
        <v>707</v>
      </c>
      <c r="R272">
        <v>0.27</v>
      </c>
      <c r="S272" t="s">
        <v>27</v>
      </c>
      <c r="T272" s="1">
        <v>44794</v>
      </c>
      <c r="U272">
        <v>0</v>
      </c>
    </row>
    <row r="273" spans="1:21" x14ac:dyDescent="0.25">
      <c r="A273" t="s">
        <v>320</v>
      </c>
      <c r="B273">
        <v>26</v>
      </c>
      <c r="C273" t="s">
        <v>29</v>
      </c>
      <c r="D273" t="s">
        <v>35</v>
      </c>
      <c r="E273" t="s">
        <v>51</v>
      </c>
      <c r="F273" t="s">
        <v>63</v>
      </c>
      <c r="G273">
        <v>3625.81</v>
      </c>
      <c r="H273">
        <v>1342.86</v>
      </c>
      <c r="I273">
        <v>29430.69</v>
      </c>
      <c r="J273" t="s">
        <v>25</v>
      </c>
      <c r="K273" t="s">
        <v>45</v>
      </c>
      <c r="L273">
        <v>205369.5</v>
      </c>
      <c r="M273">
        <v>120</v>
      </c>
      <c r="N273">
        <v>2661.93</v>
      </c>
      <c r="O273">
        <v>9.5399999999999991</v>
      </c>
      <c r="P273">
        <v>0.73</v>
      </c>
      <c r="Q273">
        <v>485</v>
      </c>
      <c r="R273">
        <v>0.68</v>
      </c>
      <c r="S273" t="s">
        <v>47</v>
      </c>
      <c r="T273" s="1">
        <v>45336</v>
      </c>
      <c r="U273">
        <v>1</v>
      </c>
    </row>
    <row r="274" spans="1:21" x14ac:dyDescent="0.25">
      <c r="A274" t="s">
        <v>321</v>
      </c>
      <c r="B274">
        <v>21</v>
      </c>
      <c r="C274" t="s">
        <v>21</v>
      </c>
      <c r="D274" t="s">
        <v>35</v>
      </c>
      <c r="E274" t="s">
        <v>31</v>
      </c>
      <c r="F274" t="s">
        <v>24</v>
      </c>
      <c r="G274">
        <v>4427.24</v>
      </c>
      <c r="H274">
        <v>3402.52</v>
      </c>
      <c r="I274">
        <v>24548.31</v>
      </c>
      <c r="J274" t="s">
        <v>37</v>
      </c>
      <c r="K274" t="s">
        <v>38</v>
      </c>
      <c r="L274">
        <v>0</v>
      </c>
      <c r="M274">
        <v>0</v>
      </c>
      <c r="N274">
        <v>0</v>
      </c>
      <c r="O274">
        <v>0</v>
      </c>
      <c r="P274">
        <v>0</v>
      </c>
      <c r="Q274">
        <v>543</v>
      </c>
      <c r="R274">
        <v>0.46</v>
      </c>
      <c r="S274" t="s">
        <v>47</v>
      </c>
      <c r="T274" s="1">
        <v>45226</v>
      </c>
      <c r="U274">
        <v>0</v>
      </c>
    </row>
    <row r="275" spans="1:21" x14ac:dyDescent="0.25">
      <c r="A275" t="s">
        <v>322</v>
      </c>
      <c r="B275">
        <v>32</v>
      </c>
      <c r="C275" t="s">
        <v>29</v>
      </c>
      <c r="D275" t="s">
        <v>41</v>
      </c>
      <c r="E275" t="s">
        <v>31</v>
      </c>
      <c r="F275" t="s">
        <v>52</v>
      </c>
      <c r="G275">
        <v>3708.67</v>
      </c>
      <c r="H275">
        <v>2665.68</v>
      </c>
      <c r="I275">
        <v>35984.68</v>
      </c>
      <c r="J275" t="s">
        <v>37</v>
      </c>
      <c r="K275" t="s">
        <v>38</v>
      </c>
      <c r="L275">
        <v>0</v>
      </c>
      <c r="M275">
        <v>0</v>
      </c>
      <c r="N275">
        <v>0</v>
      </c>
      <c r="O275">
        <v>0</v>
      </c>
      <c r="P275">
        <v>0</v>
      </c>
      <c r="Q275">
        <v>424</v>
      </c>
      <c r="R275">
        <v>0.81</v>
      </c>
      <c r="S275" t="s">
        <v>27</v>
      </c>
      <c r="T275" s="1">
        <v>44841</v>
      </c>
      <c r="U275">
        <v>0</v>
      </c>
    </row>
    <row r="276" spans="1:21" x14ac:dyDescent="0.25">
      <c r="A276" t="s">
        <v>323</v>
      </c>
      <c r="B276">
        <v>52</v>
      </c>
      <c r="C276" t="s">
        <v>21</v>
      </c>
      <c r="D276" t="s">
        <v>41</v>
      </c>
      <c r="E276" t="s">
        <v>31</v>
      </c>
      <c r="F276" t="s">
        <v>42</v>
      </c>
      <c r="G276">
        <v>2415.4</v>
      </c>
      <c r="H276">
        <v>890.5</v>
      </c>
      <c r="I276">
        <v>13130.42</v>
      </c>
      <c r="J276" t="s">
        <v>37</v>
      </c>
      <c r="K276" t="s">
        <v>38</v>
      </c>
      <c r="L276">
        <v>0</v>
      </c>
      <c r="M276">
        <v>0</v>
      </c>
      <c r="N276">
        <v>0</v>
      </c>
      <c r="O276">
        <v>0</v>
      </c>
      <c r="P276">
        <v>0</v>
      </c>
      <c r="Q276">
        <v>517</v>
      </c>
      <c r="R276">
        <v>0.45</v>
      </c>
      <c r="S276" t="s">
        <v>30</v>
      </c>
      <c r="T276" s="1">
        <v>45479</v>
      </c>
      <c r="U276">
        <v>0</v>
      </c>
    </row>
    <row r="277" spans="1:21" x14ac:dyDescent="0.25">
      <c r="A277" t="s">
        <v>324</v>
      </c>
      <c r="B277">
        <v>26</v>
      </c>
      <c r="C277" t="s">
        <v>21</v>
      </c>
      <c r="D277" t="s">
        <v>22</v>
      </c>
      <c r="E277" t="s">
        <v>31</v>
      </c>
      <c r="F277" t="s">
        <v>44</v>
      </c>
      <c r="G277">
        <v>5258.8</v>
      </c>
      <c r="H277">
        <v>1612.95</v>
      </c>
      <c r="I277">
        <v>39073.120000000003</v>
      </c>
      <c r="J277" t="s">
        <v>37</v>
      </c>
      <c r="K277" t="s">
        <v>38</v>
      </c>
      <c r="L277">
        <v>0</v>
      </c>
      <c r="M277">
        <v>0</v>
      </c>
      <c r="N277">
        <v>0</v>
      </c>
      <c r="O277">
        <v>0</v>
      </c>
      <c r="P277">
        <v>0</v>
      </c>
      <c r="Q277">
        <v>318</v>
      </c>
      <c r="R277">
        <v>0.62</v>
      </c>
      <c r="S277" t="s">
        <v>27</v>
      </c>
      <c r="T277" s="1">
        <v>45104</v>
      </c>
      <c r="U277">
        <v>0</v>
      </c>
    </row>
    <row r="278" spans="1:21" x14ac:dyDescent="0.25">
      <c r="A278" t="s">
        <v>325</v>
      </c>
      <c r="B278">
        <v>33</v>
      </c>
      <c r="C278" t="s">
        <v>30</v>
      </c>
      <c r="D278" t="s">
        <v>35</v>
      </c>
      <c r="E278" t="s">
        <v>31</v>
      </c>
      <c r="F278" t="s">
        <v>24</v>
      </c>
      <c r="G278">
        <v>3394.37</v>
      </c>
      <c r="H278">
        <v>2995.76</v>
      </c>
      <c r="I278">
        <v>20119.72</v>
      </c>
      <c r="J278" t="s">
        <v>37</v>
      </c>
      <c r="K278" t="s">
        <v>38</v>
      </c>
      <c r="L278">
        <v>0</v>
      </c>
      <c r="M278">
        <v>0</v>
      </c>
      <c r="N278">
        <v>0</v>
      </c>
      <c r="O278">
        <v>0</v>
      </c>
      <c r="P278">
        <v>0</v>
      </c>
      <c r="Q278">
        <v>736</v>
      </c>
      <c r="R278">
        <v>0.49</v>
      </c>
      <c r="S278" t="s">
        <v>39</v>
      </c>
      <c r="T278" s="1">
        <v>44590</v>
      </c>
      <c r="U278">
        <v>0</v>
      </c>
    </row>
    <row r="279" spans="1:21" x14ac:dyDescent="0.25">
      <c r="A279" t="s">
        <v>326</v>
      </c>
      <c r="B279">
        <v>38</v>
      </c>
      <c r="C279" t="s">
        <v>21</v>
      </c>
      <c r="D279" t="s">
        <v>41</v>
      </c>
      <c r="E279" t="s">
        <v>49</v>
      </c>
      <c r="F279" t="s">
        <v>32</v>
      </c>
      <c r="G279">
        <v>4203.46</v>
      </c>
      <c r="H279">
        <v>1908.11</v>
      </c>
      <c r="I279">
        <v>17581.68</v>
      </c>
      <c r="J279" t="s">
        <v>25</v>
      </c>
      <c r="K279" t="s">
        <v>54</v>
      </c>
      <c r="L279">
        <v>204906.25</v>
      </c>
      <c r="M279">
        <v>36</v>
      </c>
      <c r="N279">
        <v>6288.57</v>
      </c>
      <c r="O279">
        <v>6.59</v>
      </c>
      <c r="P279">
        <v>1.5</v>
      </c>
      <c r="Q279">
        <v>411</v>
      </c>
      <c r="R279">
        <v>0.35</v>
      </c>
      <c r="S279" t="s">
        <v>47</v>
      </c>
      <c r="T279" s="1">
        <v>45050</v>
      </c>
      <c r="U279">
        <v>1</v>
      </c>
    </row>
    <row r="280" spans="1:21" x14ac:dyDescent="0.25">
      <c r="A280" t="s">
        <v>327</v>
      </c>
      <c r="B280">
        <v>25</v>
      </c>
      <c r="C280" t="s">
        <v>21</v>
      </c>
      <c r="D280" t="s">
        <v>56</v>
      </c>
      <c r="E280" t="s">
        <v>31</v>
      </c>
      <c r="F280" t="s">
        <v>23</v>
      </c>
      <c r="G280">
        <v>5944.03</v>
      </c>
      <c r="H280">
        <v>4404.29</v>
      </c>
      <c r="I280">
        <v>56695.74</v>
      </c>
      <c r="J280" t="s">
        <v>37</v>
      </c>
      <c r="K280" t="s">
        <v>38</v>
      </c>
      <c r="L280">
        <v>0</v>
      </c>
      <c r="M280">
        <v>0</v>
      </c>
      <c r="N280">
        <v>0</v>
      </c>
      <c r="O280">
        <v>0</v>
      </c>
      <c r="P280">
        <v>0</v>
      </c>
      <c r="Q280">
        <v>518</v>
      </c>
      <c r="R280">
        <v>0.79</v>
      </c>
      <c r="S280" t="s">
        <v>39</v>
      </c>
      <c r="T280" s="1">
        <v>45626</v>
      </c>
      <c r="U280">
        <v>0</v>
      </c>
    </row>
    <row r="281" spans="1:21" x14ac:dyDescent="0.25">
      <c r="A281" t="s">
        <v>328</v>
      </c>
      <c r="B281">
        <v>68</v>
      </c>
      <c r="C281" t="s">
        <v>21</v>
      </c>
      <c r="D281" t="s">
        <v>35</v>
      </c>
      <c r="E281" t="s">
        <v>31</v>
      </c>
      <c r="F281" t="s">
        <v>36</v>
      </c>
      <c r="G281">
        <v>3574.34</v>
      </c>
      <c r="H281">
        <v>1074.46</v>
      </c>
      <c r="I281">
        <v>15057.11</v>
      </c>
      <c r="J281" t="s">
        <v>37</v>
      </c>
      <c r="K281" t="s">
        <v>38</v>
      </c>
      <c r="L281">
        <v>0</v>
      </c>
      <c r="M281">
        <v>0</v>
      </c>
      <c r="N281">
        <v>0</v>
      </c>
      <c r="O281">
        <v>0</v>
      </c>
      <c r="P281">
        <v>0</v>
      </c>
      <c r="Q281">
        <v>707</v>
      </c>
      <c r="R281">
        <v>0.35</v>
      </c>
      <c r="S281" t="s">
        <v>39</v>
      </c>
      <c r="T281" s="1">
        <v>44710</v>
      </c>
      <c r="U281">
        <v>0</v>
      </c>
    </row>
    <row r="282" spans="1:21" x14ac:dyDescent="0.25">
      <c r="A282" t="s">
        <v>329</v>
      </c>
      <c r="B282">
        <v>54</v>
      </c>
      <c r="C282" t="s">
        <v>29</v>
      </c>
      <c r="D282" t="s">
        <v>30</v>
      </c>
      <c r="E282" t="s">
        <v>31</v>
      </c>
      <c r="F282" t="s">
        <v>32</v>
      </c>
      <c r="G282">
        <v>7022.65</v>
      </c>
      <c r="H282">
        <v>4438.96</v>
      </c>
      <c r="I282">
        <v>11354.29</v>
      </c>
      <c r="J282" t="s">
        <v>37</v>
      </c>
      <c r="K282" t="s">
        <v>38</v>
      </c>
      <c r="L282">
        <v>0</v>
      </c>
      <c r="M282">
        <v>0</v>
      </c>
      <c r="N282">
        <v>0</v>
      </c>
      <c r="O282">
        <v>0</v>
      </c>
      <c r="P282">
        <v>0</v>
      </c>
      <c r="Q282">
        <v>331</v>
      </c>
      <c r="R282">
        <v>0.13</v>
      </c>
      <c r="S282" t="s">
        <v>72</v>
      </c>
      <c r="T282" s="1">
        <v>45477</v>
      </c>
      <c r="U282">
        <v>0</v>
      </c>
    </row>
    <row r="283" spans="1:21" x14ac:dyDescent="0.25">
      <c r="A283" t="s">
        <v>330</v>
      </c>
      <c r="B283">
        <v>26</v>
      </c>
      <c r="C283" t="s">
        <v>29</v>
      </c>
      <c r="D283" t="s">
        <v>41</v>
      </c>
      <c r="E283" t="s">
        <v>49</v>
      </c>
      <c r="F283" t="s">
        <v>63</v>
      </c>
      <c r="G283">
        <v>601.96</v>
      </c>
      <c r="H283">
        <v>458.04</v>
      </c>
      <c r="I283">
        <v>2745.14</v>
      </c>
      <c r="J283" t="s">
        <v>37</v>
      </c>
      <c r="K283" t="s">
        <v>38</v>
      </c>
      <c r="L283">
        <v>0</v>
      </c>
      <c r="M283">
        <v>0</v>
      </c>
      <c r="N283">
        <v>0</v>
      </c>
      <c r="O283">
        <v>0</v>
      </c>
      <c r="P283">
        <v>0</v>
      </c>
      <c r="Q283">
        <v>550</v>
      </c>
      <c r="R283">
        <v>0.38</v>
      </c>
      <c r="S283" t="s">
        <v>72</v>
      </c>
      <c r="T283" s="1">
        <v>45562</v>
      </c>
      <c r="U283">
        <v>0</v>
      </c>
    </row>
    <row r="284" spans="1:21" x14ac:dyDescent="0.25">
      <c r="A284" t="s">
        <v>331</v>
      </c>
      <c r="B284">
        <v>20</v>
      </c>
      <c r="C284" t="s">
        <v>29</v>
      </c>
      <c r="D284" t="s">
        <v>41</v>
      </c>
      <c r="E284" t="s">
        <v>31</v>
      </c>
      <c r="F284" t="s">
        <v>32</v>
      </c>
      <c r="G284">
        <v>3231.21</v>
      </c>
      <c r="H284">
        <v>1846.24</v>
      </c>
      <c r="I284">
        <v>28030.93</v>
      </c>
      <c r="J284" t="s">
        <v>37</v>
      </c>
      <c r="K284" t="s">
        <v>38</v>
      </c>
      <c r="L284">
        <v>0</v>
      </c>
      <c r="M284">
        <v>0</v>
      </c>
      <c r="N284">
        <v>0</v>
      </c>
      <c r="O284">
        <v>0</v>
      </c>
      <c r="P284">
        <v>0</v>
      </c>
      <c r="Q284">
        <v>402</v>
      </c>
      <c r="R284">
        <v>0.72</v>
      </c>
      <c r="S284" t="s">
        <v>72</v>
      </c>
      <c r="T284" s="1">
        <v>44596</v>
      </c>
      <c r="U284">
        <v>0</v>
      </c>
    </row>
    <row r="285" spans="1:21" x14ac:dyDescent="0.25">
      <c r="A285" t="s">
        <v>332</v>
      </c>
      <c r="B285">
        <v>50</v>
      </c>
      <c r="C285" t="s">
        <v>21</v>
      </c>
      <c r="D285" t="s">
        <v>41</v>
      </c>
      <c r="E285" t="s">
        <v>31</v>
      </c>
      <c r="F285" t="s">
        <v>36</v>
      </c>
      <c r="G285">
        <v>2497.5</v>
      </c>
      <c r="H285">
        <v>1027.48</v>
      </c>
      <c r="I285">
        <v>16417.330000000002</v>
      </c>
      <c r="J285" t="s">
        <v>37</v>
      </c>
      <c r="K285" t="s">
        <v>38</v>
      </c>
      <c r="L285">
        <v>0</v>
      </c>
      <c r="M285">
        <v>0</v>
      </c>
      <c r="N285">
        <v>0</v>
      </c>
      <c r="O285">
        <v>0</v>
      </c>
      <c r="P285">
        <v>0</v>
      </c>
      <c r="Q285">
        <v>665</v>
      </c>
      <c r="R285">
        <v>0.55000000000000004</v>
      </c>
      <c r="S285" t="s">
        <v>47</v>
      </c>
      <c r="T285" s="1">
        <v>45189</v>
      </c>
      <c r="U285">
        <v>0</v>
      </c>
    </row>
    <row r="286" spans="1:21" x14ac:dyDescent="0.25">
      <c r="A286" t="s">
        <v>333</v>
      </c>
      <c r="B286">
        <v>31</v>
      </c>
      <c r="C286" t="s">
        <v>29</v>
      </c>
      <c r="D286" t="s">
        <v>41</v>
      </c>
      <c r="E286" t="s">
        <v>31</v>
      </c>
      <c r="F286" t="s">
        <v>42</v>
      </c>
      <c r="G286">
        <v>4241.3500000000004</v>
      </c>
      <c r="H286">
        <v>1605.35</v>
      </c>
      <c r="I286">
        <v>32222.09</v>
      </c>
      <c r="J286" t="s">
        <v>25</v>
      </c>
      <c r="K286" t="s">
        <v>45</v>
      </c>
      <c r="L286">
        <v>178806.82</v>
      </c>
      <c r="M286">
        <v>360</v>
      </c>
      <c r="N286">
        <v>2788.32</v>
      </c>
      <c r="O286">
        <v>18.64</v>
      </c>
      <c r="P286">
        <v>0.66</v>
      </c>
      <c r="Q286">
        <v>712</v>
      </c>
      <c r="R286">
        <v>0.63</v>
      </c>
      <c r="S286" t="s">
        <v>47</v>
      </c>
      <c r="T286" s="1">
        <v>44922</v>
      </c>
      <c r="U286">
        <v>1</v>
      </c>
    </row>
    <row r="287" spans="1:21" x14ac:dyDescent="0.25">
      <c r="A287" t="s">
        <v>334</v>
      </c>
      <c r="B287">
        <v>23</v>
      </c>
      <c r="C287" t="s">
        <v>21</v>
      </c>
      <c r="D287" t="s">
        <v>35</v>
      </c>
      <c r="E287" t="s">
        <v>49</v>
      </c>
      <c r="F287" t="s">
        <v>24</v>
      </c>
      <c r="G287">
        <v>3144.67</v>
      </c>
      <c r="H287">
        <v>1347.12</v>
      </c>
      <c r="I287">
        <v>19762.79</v>
      </c>
      <c r="J287" t="s">
        <v>37</v>
      </c>
      <c r="K287" t="s">
        <v>38</v>
      </c>
      <c r="L287">
        <v>0</v>
      </c>
      <c r="M287">
        <v>0</v>
      </c>
      <c r="N287">
        <v>0</v>
      </c>
      <c r="O287">
        <v>0</v>
      </c>
      <c r="P287">
        <v>0</v>
      </c>
      <c r="Q287">
        <v>603</v>
      </c>
      <c r="R287">
        <v>0.52</v>
      </c>
      <c r="S287" t="s">
        <v>27</v>
      </c>
      <c r="T287" s="1">
        <v>45352</v>
      </c>
      <c r="U287">
        <v>0</v>
      </c>
    </row>
    <row r="288" spans="1:21" x14ac:dyDescent="0.25">
      <c r="A288" t="s">
        <v>335</v>
      </c>
      <c r="B288">
        <v>22</v>
      </c>
      <c r="C288" t="s">
        <v>29</v>
      </c>
      <c r="D288" t="s">
        <v>22</v>
      </c>
      <c r="E288" t="s">
        <v>31</v>
      </c>
      <c r="F288" t="s">
        <v>32</v>
      </c>
      <c r="G288">
        <v>4381.1499999999996</v>
      </c>
      <c r="H288">
        <v>3137.4</v>
      </c>
      <c r="I288">
        <v>6213.32</v>
      </c>
      <c r="J288" t="s">
        <v>37</v>
      </c>
      <c r="K288" t="s">
        <v>38</v>
      </c>
      <c r="L288">
        <v>0</v>
      </c>
      <c r="M288">
        <v>0</v>
      </c>
      <c r="N288">
        <v>0</v>
      </c>
      <c r="O288">
        <v>0</v>
      </c>
      <c r="P288">
        <v>0</v>
      </c>
      <c r="Q288">
        <v>673</v>
      </c>
      <c r="R288">
        <v>0.12</v>
      </c>
      <c r="S288" t="s">
        <v>30</v>
      </c>
      <c r="T288" s="1">
        <v>45797</v>
      </c>
      <c r="U288">
        <v>0</v>
      </c>
    </row>
    <row r="289" spans="1:21" x14ac:dyDescent="0.25">
      <c r="A289" t="s">
        <v>336</v>
      </c>
      <c r="B289">
        <v>43</v>
      </c>
      <c r="C289" t="s">
        <v>21</v>
      </c>
      <c r="D289" t="s">
        <v>41</v>
      </c>
      <c r="E289" t="s">
        <v>31</v>
      </c>
      <c r="F289" t="s">
        <v>63</v>
      </c>
      <c r="G289">
        <v>4376.8999999999996</v>
      </c>
      <c r="H289">
        <v>2087.66</v>
      </c>
      <c r="I289">
        <v>8879.6</v>
      </c>
      <c r="J289" t="s">
        <v>37</v>
      </c>
      <c r="K289" t="s">
        <v>38</v>
      </c>
      <c r="L289">
        <v>0</v>
      </c>
      <c r="M289">
        <v>0</v>
      </c>
      <c r="N289">
        <v>0</v>
      </c>
      <c r="O289">
        <v>0</v>
      </c>
      <c r="P289">
        <v>0</v>
      </c>
      <c r="Q289">
        <v>667</v>
      </c>
      <c r="R289">
        <v>0.17</v>
      </c>
      <c r="S289" t="s">
        <v>47</v>
      </c>
      <c r="T289" s="1">
        <v>44623</v>
      </c>
      <c r="U289">
        <v>0</v>
      </c>
    </row>
    <row r="290" spans="1:21" x14ac:dyDescent="0.25">
      <c r="A290" t="s">
        <v>337</v>
      </c>
      <c r="B290">
        <v>42</v>
      </c>
      <c r="C290" t="s">
        <v>21</v>
      </c>
      <c r="D290" t="s">
        <v>35</v>
      </c>
      <c r="E290" t="s">
        <v>31</v>
      </c>
      <c r="F290" t="s">
        <v>63</v>
      </c>
      <c r="G290">
        <v>3640.29</v>
      </c>
      <c r="H290">
        <v>3162.53</v>
      </c>
      <c r="I290">
        <v>10092.700000000001</v>
      </c>
      <c r="J290" t="s">
        <v>37</v>
      </c>
      <c r="K290" t="s">
        <v>38</v>
      </c>
      <c r="L290">
        <v>0</v>
      </c>
      <c r="M290">
        <v>0</v>
      </c>
      <c r="N290">
        <v>0</v>
      </c>
      <c r="O290">
        <v>0</v>
      </c>
      <c r="P290">
        <v>0</v>
      </c>
      <c r="Q290">
        <v>592</v>
      </c>
      <c r="R290">
        <v>0.23</v>
      </c>
      <c r="S290" t="s">
        <v>30</v>
      </c>
      <c r="T290" s="1">
        <v>44632</v>
      </c>
      <c r="U290">
        <v>0</v>
      </c>
    </row>
    <row r="291" spans="1:21" x14ac:dyDescent="0.25">
      <c r="A291" t="s">
        <v>338</v>
      </c>
      <c r="B291">
        <v>23</v>
      </c>
      <c r="C291" t="s">
        <v>29</v>
      </c>
      <c r="D291" t="s">
        <v>22</v>
      </c>
      <c r="E291" t="s">
        <v>23</v>
      </c>
      <c r="F291" t="s">
        <v>52</v>
      </c>
      <c r="G291">
        <v>6297.61</v>
      </c>
      <c r="H291">
        <v>3949.2</v>
      </c>
      <c r="I291">
        <v>17820.47</v>
      </c>
      <c r="J291" t="s">
        <v>25</v>
      </c>
      <c r="K291" t="s">
        <v>54</v>
      </c>
      <c r="L291">
        <v>290122.01</v>
      </c>
      <c r="M291">
        <v>240</v>
      </c>
      <c r="N291">
        <v>7260.53</v>
      </c>
      <c r="O291">
        <v>29.95</v>
      </c>
      <c r="P291">
        <v>1.1499999999999999</v>
      </c>
      <c r="Q291">
        <v>796</v>
      </c>
      <c r="R291">
        <v>0.24</v>
      </c>
      <c r="S291" t="s">
        <v>27</v>
      </c>
      <c r="T291" s="1">
        <v>45513</v>
      </c>
      <c r="U291">
        <v>1</v>
      </c>
    </row>
    <row r="292" spans="1:21" x14ac:dyDescent="0.25">
      <c r="A292" t="s">
        <v>339</v>
      </c>
      <c r="B292">
        <v>18</v>
      </c>
      <c r="C292" t="s">
        <v>29</v>
      </c>
      <c r="D292" t="s">
        <v>41</v>
      </c>
      <c r="E292" t="s">
        <v>31</v>
      </c>
      <c r="F292" t="s">
        <v>23</v>
      </c>
      <c r="G292">
        <v>2455.65</v>
      </c>
      <c r="H292">
        <v>1294.93</v>
      </c>
      <c r="I292">
        <v>6645.5</v>
      </c>
      <c r="J292" t="s">
        <v>25</v>
      </c>
      <c r="K292" t="s">
        <v>33</v>
      </c>
      <c r="L292">
        <v>49616.06</v>
      </c>
      <c r="M292">
        <v>36</v>
      </c>
      <c r="N292">
        <v>1764.75</v>
      </c>
      <c r="O292">
        <v>16.829999999999998</v>
      </c>
      <c r="P292">
        <v>0.72</v>
      </c>
      <c r="Q292">
        <v>364</v>
      </c>
      <c r="R292">
        <v>0.23</v>
      </c>
      <c r="S292" t="s">
        <v>30</v>
      </c>
      <c r="T292" s="1">
        <v>45056</v>
      </c>
      <c r="U292">
        <v>1</v>
      </c>
    </row>
    <row r="293" spans="1:21" x14ac:dyDescent="0.25">
      <c r="A293" t="s">
        <v>340</v>
      </c>
      <c r="B293">
        <v>32</v>
      </c>
      <c r="C293" t="s">
        <v>29</v>
      </c>
      <c r="D293" t="s">
        <v>56</v>
      </c>
      <c r="E293" t="s">
        <v>31</v>
      </c>
      <c r="F293" t="s">
        <v>42</v>
      </c>
      <c r="G293">
        <v>5626.4</v>
      </c>
      <c r="H293">
        <v>2979.85</v>
      </c>
      <c r="I293">
        <v>13647.96</v>
      </c>
      <c r="J293" t="s">
        <v>25</v>
      </c>
      <c r="K293" t="s">
        <v>33</v>
      </c>
      <c r="L293">
        <v>53132.93</v>
      </c>
      <c r="M293">
        <v>36</v>
      </c>
      <c r="N293">
        <v>1727.95</v>
      </c>
      <c r="O293">
        <v>10.54</v>
      </c>
      <c r="P293">
        <v>0.31</v>
      </c>
      <c r="Q293">
        <v>556</v>
      </c>
      <c r="R293">
        <v>0.2</v>
      </c>
      <c r="S293" t="s">
        <v>30</v>
      </c>
      <c r="T293" s="1">
        <v>45615</v>
      </c>
      <c r="U293">
        <v>0</v>
      </c>
    </row>
    <row r="294" spans="1:21" x14ac:dyDescent="0.25">
      <c r="A294" t="s">
        <v>341</v>
      </c>
      <c r="B294">
        <v>22</v>
      </c>
      <c r="C294" t="s">
        <v>21</v>
      </c>
      <c r="D294" t="s">
        <v>41</v>
      </c>
      <c r="E294" t="s">
        <v>31</v>
      </c>
      <c r="F294" t="s">
        <v>52</v>
      </c>
      <c r="G294">
        <v>4399.59</v>
      </c>
      <c r="H294">
        <v>3646.82</v>
      </c>
      <c r="I294">
        <v>17241.830000000002</v>
      </c>
      <c r="J294" t="s">
        <v>25</v>
      </c>
      <c r="K294" t="s">
        <v>54</v>
      </c>
      <c r="L294">
        <v>347568.84</v>
      </c>
      <c r="M294">
        <v>180</v>
      </c>
      <c r="N294">
        <v>3402.3</v>
      </c>
      <c r="O294">
        <v>8.4</v>
      </c>
      <c r="P294">
        <v>0.77</v>
      </c>
      <c r="Q294">
        <v>564</v>
      </c>
      <c r="R294">
        <v>0.33</v>
      </c>
      <c r="S294" t="s">
        <v>27</v>
      </c>
      <c r="T294" s="1">
        <v>45736</v>
      </c>
      <c r="U294">
        <v>1</v>
      </c>
    </row>
    <row r="295" spans="1:21" x14ac:dyDescent="0.25">
      <c r="A295" t="s">
        <v>342</v>
      </c>
      <c r="B295">
        <v>44</v>
      </c>
      <c r="C295" t="s">
        <v>29</v>
      </c>
      <c r="D295" t="s">
        <v>41</v>
      </c>
      <c r="E295" t="s">
        <v>51</v>
      </c>
      <c r="F295" t="s">
        <v>63</v>
      </c>
      <c r="G295">
        <v>1226.31</v>
      </c>
      <c r="H295">
        <v>496.88</v>
      </c>
      <c r="I295">
        <v>10523.19</v>
      </c>
      <c r="J295" t="s">
        <v>37</v>
      </c>
      <c r="K295" t="s">
        <v>38</v>
      </c>
      <c r="L295">
        <v>0</v>
      </c>
      <c r="M295">
        <v>0</v>
      </c>
      <c r="N295">
        <v>0</v>
      </c>
      <c r="O295">
        <v>0</v>
      </c>
      <c r="P295">
        <v>0</v>
      </c>
      <c r="Q295">
        <v>372</v>
      </c>
      <c r="R295">
        <v>0.72</v>
      </c>
      <c r="S295" t="s">
        <v>27</v>
      </c>
      <c r="T295" s="1">
        <v>44427</v>
      </c>
      <c r="U295">
        <v>0</v>
      </c>
    </row>
    <row r="296" spans="1:21" x14ac:dyDescent="0.25">
      <c r="A296" t="s">
        <v>343</v>
      </c>
      <c r="B296">
        <v>45</v>
      </c>
      <c r="C296" t="s">
        <v>29</v>
      </c>
      <c r="D296" t="s">
        <v>22</v>
      </c>
      <c r="E296" t="s">
        <v>31</v>
      </c>
      <c r="F296" t="s">
        <v>36</v>
      </c>
      <c r="G296">
        <v>2556.1</v>
      </c>
      <c r="H296">
        <v>1241.72</v>
      </c>
      <c r="I296">
        <v>7402.42</v>
      </c>
      <c r="J296" t="s">
        <v>37</v>
      </c>
      <c r="K296" t="s">
        <v>38</v>
      </c>
      <c r="L296">
        <v>0</v>
      </c>
      <c r="M296">
        <v>0</v>
      </c>
      <c r="N296">
        <v>0</v>
      </c>
      <c r="O296">
        <v>0</v>
      </c>
      <c r="P296">
        <v>0</v>
      </c>
      <c r="Q296">
        <v>492</v>
      </c>
      <c r="R296">
        <v>0.24</v>
      </c>
      <c r="S296" t="s">
        <v>27</v>
      </c>
      <c r="T296" s="1">
        <v>44805</v>
      </c>
      <c r="U296">
        <v>0</v>
      </c>
    </row>
    <row r="297" spans="1:21" x14ac:dyDescent="0.25">
      <c r="A297" t="s">
        <v>344</v>
      </c>
      <c r="B297">
        <v>54</v>
      </c>
      <c r="C297" t="s">
        <v>29</v>
      </c>
      <c r="D297" t="s">
        <v>35</v>
      </c>
      <c r="E297" t="s">
        <v>31</v>
      </c>
      <c r="F297" t="s">
        <v>32</v>
      </c>
      <c r="G297">
        <v>2742.92</v>
      </c>
      <c r="H297">
        <v>2123.09</v>
      </c>
      <c r="I297">
        <v>10129.77</v>
      </c>
      <c r="J297" t="s">
        <v>37</v>
      </c>
      <c r="K297" t="s">
        <v>38</v>
      </c>
      <c r="L297">
        <v>0</v>
      </c>
      <c r="M297">
        <v>0</v>
      </c>
      <c r="N297">
        <v>0</v>
      </c>
      <c r="O297">
        <v>0</v>
      </c>
      <c r="P297">
        <v>0</v>
      </c>
      <c r="Q297">
        <v>612</v>
      </c>
      <c r="R297">
        <v>0.31</v>
      </c>
      <c r="S297" t="s">
        <v>72</v>
      </c>
      <c r="T297" s="1">
        <v>45834</v>
      </c>
      <c r="U297">
        <v>0</v>
      </c>
    </row>
    <row r="298" spans="1:21" x14ac:dyDescent="0.25">
      <c r="A298" t="s">
        <v>345</v>
      </c>
      <c r="B298">
        <v>41</v>
      </c>
      <c r="C298" t="s">
        <v>29</v>
      </c>
      <c r="D298" t="s">
        <v>56</v>
      </c>
      <c r="E298" t="s">
        <v>31</v>
      </c>
      <c r="F298" t="s">
        <v>32</v>
      </c>
      <c r="G298">
        <v>2715.07</v>
      </c>
      <c r="H298">
        <v>1650.66</v>
      </c>
      <c r="I298">
        <v>31901.93</v>
      </c>
      <c r="J298" t="s">
        <v>37</v>
      </c>
      <c r="K298" t="s">
        <v>38</v>
      </c>
      <c r="L298">
        <v>0</v>
      </c>
      <c r="M298">
        <v>0</v>
      </c>
      <c r="N298">
        <v>0</v>
      </c>
      <c r="O298">
        <v>0</v>
      </c>
      <c r="P298">
        <v>0</v>
      </c>
      <c r="Q298">
        <v>585</v>
      </c>
      <c r="R298">
        <v>0.98</v>
      </c>
      <c r="S298" t="s">
        <v>47</v>
      </c>
      <c r="T298" s="1">
        <v>44574</v>
      </c>
      <c r="U298">
        <v>0</v>
      </c>
    </row>
    <row r="299" spans="1:21" x14ac:dyDescent="0.25">
      <c r="A299" t="s">
        <v>346</v>
      </c>
      <c r="B299">
        <v>36</v>
      </c>
      <c r="C299" t="s">
        <v>21</v>
      </c>
      <c r="D299" t="s">
        <v>41</v>
      </c>
      <c r="E299" t="s">
        <v>31</v>
      </c>
      <c r="F299" t="s">
        <v>49</v>
      </c>
      <c r="G299">
        <v>4815.22</v>
      </c>
      <c r="H299">
        <v>1788.7</v>
      </c>
      <c r="I299">
        <v>10260.36</v>
      </c>
      <c r="J299" t="s">
        <v>25</v>
      </c>
      <c r="K299" t="s">
        <v>54</v>
      </c>
      <c r="L299">
        <v>421564.61</v>
      </c>
      <c r="M299">
        <v>300</v>
      </c>
      <c r="N299">
        <v>9336.7900000000009</v>
      </c>
      <c r="O299">
        <v>26.54</v>
      </c>
      <c r="P299">
        <v>1.94</v>
      </c>
      <c r="Q299">
        <v>800</v>
      </c>
      <c r="R299">
        <v>0.18</v>
      </c>
      <c r="S299" t="s">
        <v>27</v>
      </c>
      <c r="T299" s="1">
        <v>44930</v>
      </c>
      <c r="U299">
        <v>1</v>
      </c>
    </row>
    <row r="300" spans="1:21" x14ac:dyDescent="0.25">
      <c r="A300" t="s">
        <v>347</v>
      </c>
      <c r="B300">
        <v>30</v>
      </c>
      <c r="C300" t="s">
        <v>29</v>
      </c>
      <c r="D300" t="s">
        <v>35</v>
      </c>
      <c r="E300" t="s">
        <v>23</v>
      </c>
      <c r="F300" t="s">
        <v>42</v>
      </c>
      <c r="G300">
        <v>500</v>
      </c>
      <c r="H300">
        <v>317.56</v>
      </c>
      <c r="I300">
        <v>4529.96</v>
      </c>
      <c r="J300" t="s">
        <v>37</v>
      </c>
      <c r="K300" t="s">
        <v>38</v>
      </c>
      <c r="L300">
        <v>0</v>
      </c>
      <c r="M300">
        <v>0</v>
      </c>
      <c r="N300">
        <v>0</v>
      </c>
      <c r="O300">
        <v>0</v>
      </c>
      <c r="P300">
        <v>0</v>
      </c>
      <c r="Q300">
        <v>712</v>
      </c>
      <c r="R300">
        <v>0.75</v>
      </c>
      <c r="S300" t="s">
        <v>27</v>
      </c>
      <c r="T300" s="1">
        <v>45022</v>
      </c>
      <c r="U300">
        <v>0</v>
      </c>
    </row>
    <row r="301" spans="1:21" x14ac:dyDescent="0.25">
      <c r="A301" t="s">
        <v>348</v>
      </c>
      <c r="B301">
        <v>54</v>
      </c>
      <c r="C301" t="s">
        <v>21</v>
      </c>
      <c r="D301" t="s">
        <v>41</v>
      </c>
      <c r="E301" t="s">
        <v>31</v>
      </c>
      <c r="F301" t="s">
        <v>63</v>
      </c>
      <c r="G301">
        <v>3319.87</v>
      </c>
      <c r="H301">
        <v>1110.6500000000001</v>
      </c>
      <c r="I301">
        <v>30443.17</v>
      </c>
      <c r="J301" t="s">
        <v>37</v>
      </c>
      <c r="K301" t="s">
        <v>38</v>
      </c>
      <c r="L301">
        <v>0</v>
      </c>
      <c r="M301">
        <v>0</v>
      </c>
      <c r="N301">
        <v>0</v>
      </c>
      <c r="O301">
        <v>0</v>
      </c>
      <c r="P301">
        <v>0</v>
      </c>
      <c r="Q301">
        <v>480</v>
      </c>
      <c r="R301">
        <v>0.76</v>
      </c>
      <c r="S301" t="s">
        <v>39</v>
      </c>
      <c r="T301" s="1">
        <v>45699</v>
      </c>
      <c r="U301">
        <v>0</v>
      </c>
    </row>
    <row r="302" spans="1:21" x14ac:dyDescent="0.25">
      <c r="A302" t="s">
        <v>349</v>
      </c>
      <c r="B302">
        <v>32</v>
      </c>
      <c r="C302" t="s">
        <v>21</v>
      </c>
      <c r="D302" t="s">
        <v>41</v>
      </c>
      <c r="E302" t="s">
        <v>31</v>
      </c>
      <c r="F302" t="s">
        <v>32</v>
      </c>
      <c r="G302">
        <v>4382.6499999999996</v>
      </c>
      <c r="H302">
        <v>3129.69</v>
      </c>
      <c r="I302">
        <v>20640.71</v>
      </c>
      <c r="J302" t="s">
        <v>37</v>
      </c>
      <c r="K302" t="s">
        <v>38</v>
      </c>
      <c r="L302">
        <v>0</v>
      </c>
      <c r="M302">
        <v>0</v>
      </c>
      <c r="N302">
        <v>0</v>
      </c>
      <c r="O302">
        <v>0</v>
      </c>
      <c r="P302">
        <v>0</v>
      </c>
      <c r="Q302">
        <v>414</v>
      </c>
      <c r="R302">
        <v>0.39</v>
      </c>
      <c r="S302" t="s">
        <v>47</v>
      </c>
      <c r="T302" s="1">
        <v>45155</v>
      </c>
      <c r="U302">
        <v>0</v>
      </c>
    </row>
    <row r="303" spans="1:21" x14ac:dyDescent="0.25">
      <c r="A303" t="s">
        <v>350</v>
      </c>
      <c r="B303">
        <v>61</v>
      </c>
      <c r="C303" t="s">
        <v>29</v>
      </c>
      <c r="D303" t="s">
        <v>41</v>
      </c>
      <c r="E303" t="s">
        <v>51</v>
      </c>
      <c r="F303" t="s">
        <v>52</v>
      </c>
      <c r="G303">
        <v>3380.53</v>
      </c>
      <c r="H303">
        <v>1915.8</v>
      </c>
      <c r="I303">
        <v>38223.1</v>
      </c>
      <c r="J303" t="s">
        <v>37</v>
      </c>
      <c r="K303" t="s">
        <v>38</v>
      </c>
      <c r="L303">
        <v>0</v>
      </c>
      <c r="M303">
        <v>0</v>
      </c>
      <c r="N303">
        <v>0</v>
      </c>
      <c r="O303">
        <v>0</v>
      </c>
      <c r="P303">
        <v>0</v>
      </c>
      <c r="Q303">
        <v>629</v>
      </c>
      <c r="R303">
        <v>0.94</v>
      </c>
      <c r="S303" t="s">
        <v>39</v>
      </c>
      <c r="T303" s="1">
        <v>45850</v>
      </c>
      <c r="U303">
        <v>0</v>
      </c>
    </row>
    <row r="304" spans="1:21" x14ac:dyDescent="0.25">
      <c r="A304" t="s">
        <v>351</v>
      </c>
      <c r="B304">
        <v>37</v>
      </c>
      <c r="C304" t="s">
        <v>29</v>
      </c>
      <c r="D304" t="s">
        <v>22</v>
      </c>
      <c r="E304" t="s">
        <v>31</v>
      </c>
      <c r="F304" t="s">
        <v>42</v>
      </c>
      <c r="G304">
        <v>2966.52</v>
      </c>
      <c r="H304">
        <v>1226.6300000000001</v>
      </c>
      <c r="I304">
        <v>12123.71</v>
      </c>
      <c r="J304" t="s">
        <v>25</v>
      </c>
      <c r="K304" t="s">
        <v>33</v>
      </c>
      <c r="L304">
        <v>304835.55</v>
      </c>
      <c r="M304">
        <v>120</v>
      </c>
      <c r="N304">
        <v>3508.06</v>
      </c>
      <c r="O304">
        <v>6.8</v>
      </c>
      <c r="P304">
        <v>1.18</v>
      </c>
      <c r="Q304">
        <v>823</v>
      </c>
      <c r="R304">
        <v>0.34</v>
      </c>
      <c r="S304" t="s">
        <v>39</v>
      </c>
      <c r="T304" s="1">
        <v>45671</v>
      </c>
      <c r="U304">
        <v>1</v>
      </c>
    </row>
    <row r="305" spans="1:21" x14ac:dyDescent="0.25">
      <c r="A305" t="s">
        <v>352</v>
      </c>
      <c r="B305">
        <v>56</v>
      </c>
      <c r="C305" t="s">
        <v>30</v>
      </c>
      <c r="D305" t="s">
        <v>35</v>
      </c>
      <c r="E305" t="s">
        <v>51</v>
      </c>
      <c r="F305" t="s">
        <v>42</v>
      </c>
      <c r="G305">
        <v>4559.57</v>
      </c>
      <c r="H305">
        <v>4097.93</v>
      </c>
      <c r="I305">
        <v>48987.19</v>
      </c>
      <c r="J305" t="s">
        <v>37</v>
      </c>
      <c r="K305" t="s">
        <v>38</v>
      </c>
      <c r="L305">
        <v>0</v>
      </c>
      <c r="M305">
        <v>0</v>
      </c>
      <c r="N305">
        <v>0</v>
      </c>
      <c r="O305">
        <v>0</v>
      </c>
      <c r="P305">
        <v>0</v>
      </c>
      <c r="Q305">
        <v>394</v>
      </c>
      <c r="R305">
        <v>0.9</v>
      </c>
      <c r="S305" t="s">
        <v>27</v>
      </c>
      <c r="T305" s="1">
        <v>44794</v>
      </c>
      <c r="U305">
        <v>0</v>
      </c>
    </row>
    <row r="306" spans="1:21" x14ac:dyDescent="0.25">
      <c r="A306" t="s">
        <v>353</v>
      </c>
      <c r="B306">
        <v>55</v>
      </c>
      <c r="C306" t="s">
        <v>21</v>
      </c>
      <c r="D306" t="s">
        <v>22</v>
      </c>
      <c r="E306" t="s">
        <v>31</v>
      </c>
      <c r="F306" t="s">
        <v>24</v>
      </c>
      <c r="G306">
        <v>4200.8599999999997</v>
      </c>
      <c r="H306">
        <v>2401.48</v>
      </c>
      <c r="I306">
        <v>15581.98</v>
      </c>
      <c r="J306" t="s">
        <v>37</v>
      </c>
      <c r="K306" t="s">
        <v>38</v>
      </c>
      <c r="L306">
        <v>0</v>
      </c>
      <c r="M306">
        <v>0</v>
      </c>
      <c r="N306">
        <v>0</v>
      </c>
      <c r="O306">
        <v>0</v>
      </c>
      <c r="P306">
        <v>0</v>
      </c>
      <c r="Q306">
        <v>672</v>
      </c>
      <c r="R306">
        <v>0.31</v>
      </c>
      <c r="S306" t="s">
        <v>72</v>
      </c>
      <c r="T306" s="1">
        <v>45360</v>
      </c>
      <c r="U306">
        <v>0</v>
      </c>
    </row>
    <row r="307" spans="1:21" x14ac:dyDescent="0.25">
      <c r="A307" t="s">
        <v>354</v>
      </c>
      <c r="B307">
        <v>49</v>
      </c>
      <c r="C307" t="s">
        <v>29</v>
      </c>
      <c r="D307" t="s">
        <v>35</v>
      </c>
      <c r="E307" t="s">
        <v>31</v>
      </c>
      <c r="F307" t="s">
        <v>44</v>
      </c>
      <c r="G307">
        <v>5921.53</v>
      </c>
      <c r="H307">
        <v>5026.22</v>
      </c>
      <c r="I307">
        <v>49249.36</v>
      </c>
      <c r="J307" t="s">
        <v>25</v>
      </c>
      <c r="K307" t="s">
        <v>45</v>
      </c>
      <c r="L307">
        <v>194292.26</v>
      </c>
      <c r="M307">
        <v>120</v>
      </c>
      <c r="N307">
        <v>2227.96</v>
      </c>
      <c r="O307">
        <v>6.72</v>
      </c>
      <c r="P307">
        <v>0.38</v>
      </c>
      <c r="Q307">
        <v>799</v>
      </c>
      <c r="R307">
        <v>0.69</v>
      </c>
      <c r="S307" t="s">
        <v>27</v>
      </c>
      <c r="T307" s="1">
        <v>45542</v>
      </c>
      <c r="U307">
        <v>0</v>
      </c>
    </row>
    <row r="308" spans="1:21" x14ac:dyDescent="0.25">
      <c r="A308" t="s">
        <v>355</v>
      </c>
      <c r="B308">
        <v>19</v>
      </c>
      <c r="C308" t="s">
        <v>21</v>
      </c>
      <c r="D308" t="s">
        <v>22</v>
      </c>
      <c r="E308" t="s">
        <v>51</v>
      </c>
      <c r="F308" t="s">
        <v>24</v>
      </c>
      <c r="G308">
        <v>934.12</v>
      </c>
      <c r="H308">
        <v>343.34</v>
      </c>
      <c r="I308">
        <v>3415.09</v>
      </c>
      <c r="J308" t="s">
        <v>37</v>
      </c>
      <c r="K308" t="s">
        <v>38</v>
      </c>
      <c r="L308">
        <v>0</v>
      </c>
      <c r="M308">
        <v>0</v>
      </c>
      <c r="N308">
        <v>0</v>
      </c>
      <c r="O308">
        <v>0</v>
      </c>
      <c r="P308">
        <v>0</v>
      </c>
      <c r="Q308">
        <v>344</v>
      </c>
      <c r="R308">
        <v>0.3</v>
      </c>
      <c r="S308" t="s">
        <v>30</v>
      </c>
      <c r="T308" s="1">
        <v>45480</v>
      </c>
      <c r="U308">
        <v>0</v>
      </c>
    </row>
    <row r="309" spans="1:21" x14ac:dyDescent="0.25">
      <c r="A309" t="s">
        <v>356</v>
      </c>
      <c r="B309">
        <v>43</v>
      </c>
      <c r="C309" t="s">
        <v>29</v>
      </c>
      <c r="D309" t="s">
        <v>41</v>
      </c>
      <c r="E309" t="s">
        <v>31</v>
      </c>
      <c r="F309" t="s">
        <v>42</v>
      </c>
      <c r="G309">
        <v>4394.28</v>
      </c>
      <c r="H309">
        <v>2336.2800000000002</v>
      </c>
      <c r="I309">
        <v>10936</v>
      </c>
      <c r="J309" t="s">
        <v>37</v>
      </c>
      <c r="K309" t="s">
        <v>38</v>
      </c>
      <c r="L309">
        <v>0</v>
      </c>
      <c r="M309">
        <v>0</v>
      </c>
      <c r="N309">
        <v>0</v>
      </c>
      <c r="O309">
        <v>0</v>
      </c>
      <c r="P309">
        <v>0</v>
      </c>
      <c r="Q309">
        <v>769</v>
      </c>
      <c r="R309">
        <v>0.21</v>
      </c>
      <c r="S309" t="s">
        <v>30</v>
      </c>
      <c r="T309" s="1">
        <v>45270</v>
      </c>
      <c r="U309">
        <v>0</v>
      </c>
    </row>
    <row r="310" spans="1:21" x14ac:dyDescent="0.25">
      <c r="A310" t="s">
        <v>357</v>
      </c>
      <c r="B310">
        <v>47</v>
      </c>
      <c r="C310" t="s">
        <v>21</v>
      </c>
      <c r="D310" t="s">
        <v>41</v>
      </c>
      <c r="E310" t="s">
        <v>31</v>
      </c>
      <c r="F310" t="s">
        <v>24</v>
      </c>
      <c r="G310">
        <v>4474.83</v>
      </c>
      <c r="H310">
        <v>2474.4699999999998</v>
      </c>
      <c r="I310">
        <v>48942.62</v>
      </c>
      <c r="J310" t="s">
        <v>37</v>
      </c>
      <c r="K310" t="s">
        <v>38</v>
      </c>
      <c r="L310">
        <v>0</v>
      </c>
      <c r="M310">
        <v>0</v>
      </c>
      <c r="N310">
        <v>0</v>
      </c>
      <c r="O310">
        <v>0</v>
      </c>
      <c r="P310">
        <v>0</v>
      </c>
      <c r="Q310">
        <v>788</v>
      </c>
      <c r="R310">
        <v>0.91</v>
      </c>
      <c r="S310" t="s">
        <v>27</v>
      </c>
      <c r="T310" s="1">
        <v>44743</v>
      </c>
      <c r="U310">
        <v>0</v>
      </c>
    </row>
    <row r="311" spans="1:21" x14ac:dyDescent="0.25">
      <c r="A311" t="s">
        <v>358</v>
      </c>
      <c r="B311">
        <v>21</v>
      </c>
      <c r="C311" t="s">
        <v>29</v>
      </c>
      <c r="D311" t="s">
        <v>22</v>
      </c>
      <c r="E311" t="s">
        <v>31</v>
      </c>
      <c r="F311" t="s">
        <v>24</v>
      </c>
      <c r="G311">
        <v>2653.06</v>
      </c>
      <c r="H311">
        <v>1649.97</v>
      </c>
      <c r="I311">
        <v>19950.009999999998</v>
      </c>
      <c r="J311" t="s">
        <v>25</v>
      </c>
      <c r="K311" t="s">
        <v>33</v>
      </c>
      <c r="L311">
        <v>429959.86</v>
      </c>
      <c r="M311">
        <v>240</v>
      </c>
      <c r="N311">
        <v>2625.91</v>
      </c>
      <c r="O311">
        <v>4.09</v>
      </c>
      <c r="P311">
        <v>0.99</v>
      </c>
      <c r="Q311">
        <v>404</v>
      </c>
      <c r="R311">
        <v>0.63</v>
      </c>
      <c r="S311" t="s">
        <v>39</v>
      </c>
      <c r="T311" s="1">
        <v>45606</v>
      </c>
      <c r="U311">
        <v>1</v>
      </c>
    </row>
    <row r="312" spans="1:21" x14ac:dyDescent="0.25">
      <c r="A312" t="s">
        <v>359</v>
      </c>
      <c r="B312">
        <v>30</v>
      </c>
      <c r="C312" t="s">
        <v>29</v>
      </c>
      <c r="D312" t="s">
        <v>56</v>
      </c>
      <c r="E312" t="s">
        <v>31</v>
      </c>
      <c r="F312" t="s">
        <v>32</v>
      </c>
      <c r="G312">
        <v>3166.29</v>
      </c>
      <c r="H312">
        <v>1623.05</v>
      </c>
      <c r="I312">
        <v>17622.080000000002</v>
      </c>
      <c r="J312" t="s">
        <v>37</v>
      </c>
      <c r="K312" t="s">
        <v>38</v>
      </c>
      <c r="L312">
        <v>0</v>
      </c>
      <c r="M312">
        <v>0</v>
      </c>
      <c r="N312">
        <v>0</v>
      </c>
      <c r="O312">
        <v>0</v>
      </c>
      <c r="P312">
        <v>0</v>
      </c>
      <c r="Q312">
        <v>747</v>
      </c>
      <c r="R312">
        <v>0.46</v>
      </c>
      <c r="S312" t="s">
        <v>72</v>
      </c>
      <c r="T312" s="1">
        <v>45261</v>
      </c>
      <c r="U312">
        <v>0</v>
      </c>
    </row>
    <row r="313" spans="1:21" x14ac:dyDescent="0.25">
      <c r="A313" t="s">
        <v>360</v>
      </c>
      <c r="B313">
        <v>69</v>
      </c>
      <c r="C313" t="s">
        <v>21</v>
      </c>
      <c r="D313" t="s">
        <v>22</v>
      </c>
      <c r="E313" t="s">
        <v>31</v>
      </c>
      <c r="F313" t="s">
        <v>23</v>
      </c>
      <c r="G313">
        <v>4648.83</v>
      </c>
      <c r="H313">
        <v>3212.94</v>
      </c>
      <c r="I313">
        <v>14312.44</v>
      </c>
      <c r="J313" t="s">
        <v>37</v>
      </c>
      <c r="K313" t="s">
        <v>38</v>
      </c>
      <c r="L313">
        <v>0</v>
      </c>
      <c r="M313">
        <v>0</v>
      </c>
      <c r="N313">
        <v>0</v>
      </c>
      <c r="O313">
        <v>0</v>
      </c>
      <c r="P313">
        <v>0</v>
      </c>
      <c r="Q313">
        <v>393</v>
      </c>
      <c r="R313">
        <v>0.26</v>
      </c>
      <c r="S313" t="s">
        <v>27</v>
      </c>
      <c r="T313" s="1">
        <v>45453</v>
      </c>
      <c r="U313">
        <v>0</v>
      </c>
    </row>
    <row r="314" spans="1:21" x14ac:dyDescent="0.25">
      <c r="A314" t="s">
        <v>361</v>
      </c>
      <c r="B314">
        <v>57</v>
      </c>
      <c r="C314" t="s">
        <v>21</v>
      </c>
      <c r="D314" t="s">
        <v>41</v>
      </c>
      <c r="E314" t="s">
        <v>23</v>
      </c>
      <c r="F314" t="s">
        <v>63</v>
      </c>
      <c r="G314">
        <v>5067.41</v>
      </c>
      <c r="H314">
        <v>3800.92</v>
      </c>
      <c r="I314">
        <v>48925.51</v>
      </c>
      <c r="J314" t="s">
        <v>37</v>
      </c>
      <c r="K314" t="s">
        <v>38</v>
      </c>
      <c r="L314">
        <v>0</v>
      </c>
      <c r="M314">
        <v>0</v>
      </c>
      <c r="N314">
        <v>0</v>
      </c>
      <c r="O314">
        <v>0</v>
      </c>
      <c r="P314">
        <v>0</v>
      </c>
      <c r="Q314">
        <v>335</v>
      </c>
      <c r="R314">
        <v>0.8</v>
      </c>
      <c r="S314" t="s">
        <v>27</v>
      </c>
      <c r="T314" s="1">
        <v>44528</v>
      </c>
      <c r="U314">
        <v>0</v>
      </c>
    </row>
    <row r="315" spans="1:21" x14ac:dyDescent="0.25">
      <c r="A315" t="s">
        <v>362</v>
      </c>
      <c r="B315">
        <v>44</v>
      </c>
      <c r="C315" t="s">
        <v>29</v>
      </c>
      <c r="D315" t="s">
        <v>41</v>
      </c>
      <c r="E315" t="s">
        <v>49</v>
      </c>
      <c r="F315" t="s">
        <v>49</v>
      </c>
      <c r="G315">
        <v>5849.22</v>
      </c>
      <c r="H315">
        <v>2539.21</v>
      </c>
      <c r="I315">
        <v>30548.75</v>
      </c>
      <c r="J315" t="s">
        <v>25</v>
      </c>
      <c r="K315" t="s">
        <v>26</v>
      </c>
      <c r="L315">
        <v>55083.72</v>
      </c>
      <c r="M315">
        <v>120</v>
      </c>
      <c r="N315">
        <v>1074.4000000000001</v>
      </c>
      <c r="O315">
        <v>20.27</v>
      </c>
      <c r="P315">
        <v>0.18</v>
      </c>
      <c r="Q315">
        <v>508</v>
      </c>
      <c r="R315">
        <v>0.44</v>
      </c>
      <c r="S315" t="s">
        <v>30</v>
      </c>
      <c r="T315" s="1">
        <v>45245</v>
      </c>
      <c r="U315">
        <v>0</v>
      </c>
    </row>
    <row r="316" spans="1:21" x14ac:dyDescent="0.25">
      <c r="A316" t="s">
        <v>363</v>
      </c>
      <c r="B316">
        <v>24</v>
      </c>
      <c r="C316" t="s">
        <v>29</v>
      </c>
      <c r="D316" t="s">
        <v>35</v>
      </c>
      <c r="E316" t="s">
        <v>31</v>
      </c>
      <c r="F316" t="s">
        <v>63</v>
      </c>
      <c r="G316">
        <v>3583.4</v>
      </c>
      <c r="H316">
        <v>1613.21</v>
      </c>
      <c r="I316">
        <v>19989.400000000001</v>
      </c>
      <c r="J316" t="s">
        <v>37</v>
      </c>
      <c r="K316" t="s">
        <v>38</v>
      </c>
      <c r="L316">
        <v>0</v>
      </c>
      <c r="M316">
        <v>0</v>
      </c>
      <c r="N316">
        <v>0</v>
      </c>
      <c r="O316">
        <v>0</v>
      </c>
      <c r="P316">
        <v>0</v>
      </c>
      <c r="Q316">
        <v>382</v>
      </c>
      <c r="R316">
        <v>0.46</v>
      </c>
      <c r="S316" t="s">
        <v>30</v>
      </c>
      <c r="T316" s="1">
        <v>45471</v>
      </c>
      <c r="U316">
        <v>0</v>
      </c>
    </row>
    <row r="317" spans="1:21" x14ac:dyDescent="0.25">
      <c r="A317" t="s">
        <v>364</v>
      </c>
      <c r="B317">
        <v>49</v>
      </c>
      <c r="C317" t="s">
        <v>21</v>
      </c>
      <c r="D317" t="s">
        <v>41</v>
      </c>
      <c r="E317" t="s">
        <v>23</v>
      </c>
      <c r="F317" t="s">
        <v>49</v>
      </c>
      <c r="G317">
        <v>3281.28</v>
      </c>
      <c r="H317">
        <v>1044.6099999999999</v>
      </c>
      <c r="I317">
        <v>4723.24</v>
      </c>
      <c r="J317" t="s">
        <v>37</v>
      </c>
      <c r="K317" t="s">
        <v>38</v>
      </c>
      <c r="L317">
        <v>0</v>
      </c>
      <c r="M317">
        <v>0</v>
      </c>
      <c r="N317">
        <v>0</v>
      </c>
      <c r="O317">
        <v>0</v>
      </c>
      <c r="P317">
        <v>0</v>
      </c>
      <c r="Q317">
        <v>758</v>
      </c>
      <c r="R317">
        <v>0.12</v>
      </c>
      <c r="S317" t="s">
        <v>27</v>
      </c>
      <c r="T317" s="1">
        <v>45223</v>
      </c>
      <c r="U317">
        <v>0</v>
      </c>
    </row>
    <row r="318" spans="1:21" x14ac:dyDescent="0.25">
      <c r="A318" t="s">
        <v>365</v>
      </c>
      <c r="B318">
        <v>57</v>
      </c>
      <c r="C318" t="s">
        <v>29</v>
      </c>
      <c r="D318" t="s">
        <v>41</v>
      </c>
      <c r="E318" t="s">
        <v>51</v>
      </c>
      <c r="F318" t="s">
        <v>42</v>
      </c>
      <c r="G318">
        <v>5129.1099999999997</v>
      </c>
      <c r="H318">
        <v>4536.38</v>
      </c>
      <c r="I318">
        <v>33482.93</v>
      </c>
      <c r="J318" t="s">
        <v>25</v>
      </c>
      <c r="K318" t="s">
        <v>45</v>
      </c>
      <c r="L318">
        <v>307743.75</v>
      </c>
      <c r="M318">
        <v>60</v>
      </c>
      <c r="N318">
        <v>6683.42</v>
      </c>
      <c r="O318">
        <v>10.95</v>
      </c>
      <c r="P318">
        <v>1.3</v>
      </c>
      <c r="Q318">
        <v>467</v>
      </c>
      <c r="R318">
        <v>0.54</v>
      </c>
      <c r="S318" t="s">
        <v>39</v>
      </c>
      <c r="T318" s="1">
        <v>44458</v>
      </c>
      <c r="U318">
        <v>1</v>
      </c>
    </row>
    <row r="319" spans="1:21" x14ac:dyDescent="0.25">
      <c r="A319" t="s">
        <v>366</v>
      </c>
      <c r="B319">
        <v>36</v>
      </c>
      <c r="C319" t="s">
        <v>29</v>
      </c>
      <c r="D319" t="s">
        <v>41</v>
      </c>
      <c r="E319" t="s">
        <v>31</v>
      </c>
      <c r="F319" t="s">
        <v>24</v>
      </c>
      <c r="G319">
        <v>5406.44</v>
      </c>
      <c r="H319">
        <v>4398.7700000000004</v>
      </c>
      <c r="I319">
        <v>52823.35</v>
      </c>
      <c r="J319" t="s">
        <v>25</v>
      </c>
      <c r="K319" t="s">
        <v>45</v>
      </c>
      <c r="L319">
        <v>487368.35</v>
      </c>
      <c r="M319">
        <v>60</v>
      </c>
      <c r="N319">
        <v>9856.44</v>
      </c>
      <c r="O319">
        <v>7.89</v>
      </c>
      <c r="P319">
        <v>1.82</v>
      </c>
      <c r="Q319">
        <v>786</v>
      </c>
      <c r="R319">
        <v>0.81</v>
      </c>
      <c r="S319" t="s">
        <v>47</v>
      </c>
      <c r="T319" s="1">
        <v>45768</v>
      </c>
      <c r="U319">
        <v>1</v>
      </c>
    </row>
    <row r="320" spans="1:21" x14ac:dyDescent="0.25">
      <c r="A320" t="s">
        <v>367</v>
      </c>
      <c r="B320">
        <v>21</v>
      </c>
      <c r="C320" t="s">
        <v>21</v>
      </c>
      <c r="D320" t="s">
        <v>41</v>
      </c>
      <c r="E320" t="s">
        <v>51</v>
      </c>
      <c r="F320" t="s">
        <v>32</v>
      </c>
      <c r="G320">
        <v>4911.84</v>
      </c>
      <c r="H320">
        <v>2203.13</v>
      </c>
      <c r="I320">
        <v>35964.81</v>
      </c>
      <c r="J320" t="s">
        <v>37</v>
      </c>
      <c r="K320" t="s">
        <v>38</v>
      </c>
      <c r="L320">
        <v>0</v>
      </c>
      <c r="M320">
        <v>0</v>
      </c>
      <c r="N320">
        <v>0</v>
      </c>
      <c r="O320">
        <v>0</v>
      </c>
      <c r="P320">
        <v>0</v>
      </c>
      <c r="Q320">
        <v>727</v>
      </c>
      <c r="R320">
        <v>0.61</v>
      </c>
      <c r="S320" t="s">
        <v>30</v>
      </c>
      <c r="T320" s="1">
        <v>45817</v>
      </c>
      <c r="U320">
        <v>0</v>
      </c>
    </row>
    <row r="321" spans="1:21" x14ac:dyDescent="0.25">
      <c r="A321" t="s">
        <v>368</v>
      </c>
      <c r="B321">
        <v>64</v>
      </c>
      <c r="C321" t="s">
        <v>21</v>
      </c>
      <c r="D321" t="s">
        <v>41</v>
      </c>
      <c r="E321" t="s">
        <v>31</v>
      </c>
      <c r="F321" t="s">
        <v>36</v>
      </c>
      <c r="G321">
        <v>5561.65</v>
      </c>
      <c r="H321">
        <v>2802.24</v>
      </c>
      <c r="I321">
        <v>26746.05</v>
      </c>
      <c r="J321" t="s">
        <v>25</v>
      </c>
      <c r="K321" t="s">
        <v>45</v>
      </c>
      <c r="L321">
        <v>188790.5</v>
      </c>
      <c r="M321">
        <v>180</v>
      </c>
      <c r="N321">
        <v>3562.28</v>
      </c>
      <c r="O321">
        <v>21.75</v>
      </c>
      <c r="P321">
        <v>0.64</v>
      </c>
      <c r="Q321">
        <v>582</v>
      </c>
      <c r="R321">
        <v>0.4</v>
      </c>
      <c r="S321" t="s">
        <v>27</v>
      </c>
      <c r="T321" s="1">
        <v>45313</v>
      </c>
      <c r="U321">
        <v>1</v>
      </c>
    </row>
    <row r="322" spans="1:21" x14ac:dyDescent="0.25">
      <c r="A322" t="s">
        <v>369</v>
      </c>
      <c r="B322">
        <v>28</v>
      </c>
      <c r="C322" t="s">
        <v>21</v>
      </c>
      <c r="D322" t="s">
        <v>41</v>
      </c>
      <c r="E322" t="s">
        <v>31</v>
      </c>
      <c r="F322" t="s">
        <v>52</v>
      </c>
      <c r="G322">
        <v>806.26</v>
      </c>
      <c r="H322">
        <v>300.85000000000002</v>
      </c>
      <c r="I322">
        <v>4875.67</v>
      </c>
      <c r="J322" t="s">
        <v>37</v>
      </c>
      <c r="K322" t="s">
        <v>38</v>
      </c>
      <c r="L322">
        <v>0</v>
      </c>
      <c r="M322">
        <v>0</v>
      </c>
      <c r="N322">
        <v>0</v>
      </c>
      <c r="O322">
        <v>0</v>
      </c>
      <c r="P322">
        <v>0</v>
      </c>
      <c r="Q322">
        <v>391</v>
      </c>
      <c r="R322">
        <v>0.5</v>
      </c>
      <c r="S322" t="s">
        <v>30</v>
      </c>
      <c r="T322" s="1">
        <v>45168</v>
      </c>
      <c r="U322">
        <v>0</v>
      </c>
    </row>
    <row r="323" spans="1:21" x14ac:dyDescent="0.25">
      <c r="A323" t="s">
        <v>370</v>
      </c>
      <c r="B323">
        <v>55</v>
      </c>
      <c r="C323" t="s">
        <v>29</v>
      </c>
      <c r="D323" t="s">
        <v>41</v>
      </c>
      <c r="E323" t="s">
        <v>31</v>
      </c>
      <c r="F323" t="s">
        <v>32</v>
      </c>
      <c r="G323">
        <v>5217.9399999999996</v>
      </c>
      <c r="H323">
        <v>4327.3599999999997</v>
      </c>
      <c r="I323">
        <v>42988.39</v>
      </c>
      <c r="J323" t="s">
        <v>37</v>
      </c>
      <c r="K323" t="s">
        <v>38</v>
      </c>
      <c r="L323">
        <v>0</v>
      </c>
      <c r="M323">
        <v>0</v>
      </c>
      <c r="N323">
        <v>0</v>
      </c>
      <c r="O323">
        <v>0</v>
      </c>
      <c r="P323">
        <v>0</v>
      </c>
      <c r="Q323">
        <v>452</v>
      </c>
      <c r="R323">
        <v>0.69</v>
      </c>
      <c r="S323" t="s">
        <v>39</v>
      </c>
      <c r="T323" s="1">
        <v>45749</v>
      </c>
      <c r="U323">
        <v>0</v>
      </c>
    </row>
    <row r="324" spans="1:21" x14ac:dyDescent="0.25">
      <c r="A324" t="s">
        <v>371</v>
      </c>
      <c r="B324">
        <v>23</v>
      </c>
      <c r="C324" t="s">
        <v>21</v>
      </c>
      <c r="D324" t="s">
        <v>41</v>
      </c>
      <c r="E324" t="s">
        <v>49</v>
      </c>
      <c r="F324" t="s">
        <v>44</v>
      </c>
      <c r="G324">
        <v>8166.39</v>
      </c>
      <c r="H324">
        <v>2558.42</v>
      </c>
      <c r="I324">
        <v>27931.74</v>
      </c>
      <c r="J324" t="s">
        <v>37</v>
      </c>
      <c r="K324" t="s">
        <v>38</v>
      </c>
      <c r="L324">
        <v>0</v>
      </c>
      <c r="M324">
        <v>0</v>
      </c>
      <c r="N324">
        <v>0</v>
      </c>
      <c r="O324">
        <v>0</v>
      </c>
      <c r="P324">
        <v>0</v>
      </c>
      <c r="Q324">
        <v>483</v>
      </c>
      <c r="R324">
        <v>0.28999999999999998</v>
      </c>
      <c r="S324" t="s">
        <v>47</v>
      </c>
      <c r="T324" s="1">
        <v>44853</v>
      </c>
      <c r="U324">
        <v>0</v>
      </c>
    </row>
    <row r="325" spans="1:21" x14ac:dyDescent="0.25">
      <c r="A325" t="s">
        <v>372</v>
      </c>
      <c r="B325">
        <v>19</v>
      </c>
      <c r="C325" t="s">
        <v>29</v>
      </c>
      <c r="D325" t="s">
        <v>41</v>
      </c>
      <c r="E325" t="s">
        <v>23</v>
      </c>
      <c r="F325" t="s">
        <v>63</v>
      </c>
      <c r="G325">
        <v>6762.32</v>
      </c>
      <c r="H325">
        <v>5903.54</v>
      </c>
      <c r="I325">
        <v>49229.29</v>
      </c>
      <c r="J325" t="s">
        <v>37</v>
      </c>
      <c r="K325" t="s">
        <v>38</v>
      </c>
      <c r="L325">
        <v>0</v>
      </c>
      <c r="M325">
        <v>0</v>
      </c>
      <c r="N325">
        <v>0</v>
      </c>
      <c r="O325">
        <v>0</v>
      </c>
      <c r="P325">
        <v>0</v>
      </c>
      <c r="Q325">
        <v>552</v>
      </c>
      <c r="R325">
        <v>0.61</v>
      </c>
      <c r="S325" t="s">
        <v>39</v>
      </c>
      <c r="T325" s="1">
        <v>44476</v>
      </c>
      <c r="U325">
        <v>0</v>
      </c>
    </row>
    <row r="326" spans="1:21" x14ac:dyDescent="0.25">
      <c r="A326" t="s">
        <v>373</v>
      </c>
      <c r="B326">
        <v>48</v>
      </c>
      <c r="C326" t="s">
        <v>29</v>
      </c>
      <c r="D326" t="s">
        <v>41</v>
      </c>
      <c r="E326" t="s">
        <v>51</v>
      </c>
      <c r="F326" t="s">
        <v>42</v>
      </c>
      <c r="G326">
        <v>4086.76</v>
      </c>
      <c r="H326">
        <v>2258.5700000000002</v>
      </c>
      <c r="I326">
        <v>47606.28</v>
      </c>
      <c r="J326" t="s">
        <v>25</v>
      </c>
      <c r="K326" t="s">
        <v>54</v>
      </c>
      <c r="L326">
        <v>36441.040000000001</v>
      </c>
      <c r="M326">
        <v>36</v>
      </c>
      <c r="N326">
        <v>1431.6</v>
      </c>
      <c r="O326">
        <v>24.1</v>
      </c>
      <c r="P326">
        <v>0.35</v>
      </c>
      <c r="Q326">
        <v>704</v>
      </c>
      <c r="R326">
        <v>0.97</v>
      </c>
      <c r="S326" t="s">
        <v>47</v>
      </c>
      <c r="T326" s="1">
        <v>45108</v>
      </c>
      <c r="U326">
        <v>0</v>
      </c>
    </row>
    <row r="327" spans="1:21" x14ac:dyDescent="0.25">
      <c r="A327" t="s">
        <v>374</v>
      </c>
      <c r="B327">
        <v>46</v>
      </c>
      <c r="C327" t="s">
        <v>29</v>
      </c>
      <c r="D327" t="s">
        <v>30</v>
      </c>
      <c r="E327" t="s">
        <v>23</v>
      </c>
      <c r="F327" t="s">
        <v>32</v>
      </c>
      <c r="G327">
        <v>2962.81</v>
      </c>
      <c r="H327">
        <v>2569.5500000000002</v>
      </c>
      <c r="I327">
        <v>14590.07</v>
      </c>
      <c r="J327" t="s">
        <v>37</v>
      </c>
      <c r="K327" t="s">
        <v>38</v>
      </c>
      <c r="L327">
        <v>0</v>
      </c>
      <c r="M327">
        <v>0</v>
      </c>
      <c r="N327">
        <v>0</v>
      </c>
      <c r="O327">
        <v>0</v>
      </c>
      <c r="P327">
        <v>0</v>
      </c>
      <c r="Q327">
        <v>644</v>
      </c>
      <c r="R327">
        <v>0.41</v>
      </c>
      <c r="S327" t="s">
        <v>39</v>
      </c>
      <c r="T327" s="1">
        <v>45285</v>
      </c>
      <c r="U327">
        <v>0</v>
      </c>
    </row>
    <row r="328" spans="1:21" x14ac:dyDescent="0.25">
      <c r="A328" t="s">
        <v>375</v>
      </c>
      <c r="B328">
        <v>68</v>
      </c>
      <c r="C328" t="s">
        <v>21</v>
      </c>
      <c r="D328" t="s">
        <v>41</v>
      </c>
      <c r="E328" t="s">
        <v>31</v>
      </c>
      <c r="F328" t="s">
        <v>42</v>
      </c>
      <c r="G328">
        <v>500</v>
      </c>
      <c r="H328">
        <v>354.16</v>
      </c>
      <c r="I328">
        <v>4705.3900000000003</v>
      </c>
      <c r="J328" t="s">
        <v>37</v>
      </c>
      <c r="K328" t="s">
        <v>38</v>
      </c>
      <c r="L328">
        <v>0</v>
      </c>
      <c r="M328">
        <v>0</v>
      </c>
      <c r="N328">
        <v>0</v>
      </c>
      <c r="O328">
        <v>0</v>
      </c>
      <c r="P328">
        <v>0</v>
      </c>
      <c r="Q328">
        <v>321</v>
      </c>
      <c r="R328">
        <v>0.78</v>
      </c>
      <c r="S328" t="s">
        <v>72</v>
      </c>
      <c r="T328" s="1">
        <v>45787</v>
      </c>
      <c r="U328">
        <v>0</v>
      </c>
    </row>
    <row r="329" spans="1:21" x14ac:dyDescent="0.25">
      <c r="A329" t="s">
        <v>376</v>
      </c>
      <c r="B329">
        <v>47</v>
      </c>
      <c r="C329" t="s">
        <v>29</v>
      </c>
      <c r="D329" t="s">
        <v>41</v>
      </c>
      <c r="E329" t="s">
        <v>51</v>
      </c>
      <c r="F329" t="s">
        <v>32</v>
      </c>
      <c r="G329">
        <v>3261.32</v>
      </c>
      <c r="H329">
        <v>1480.16</v>
      </c>
      <c r="I329">
        <v>9090.8700000000008</v>
      </c>
      <c r="J329" t="s">
        <v>37</v>
      </c>
      <c r="K329" t="s">
        <v>38</v>
      </c>
      <c r="L329">
        <v>0</v>
      </c>
      <c r="M329">
        <v>0</v>
      </c>
      <c r="N329">
        <v>0</v>
      </c>
      <c r="O329">
        <v>0</v>
      </c>
      <c r="P329">
        <v>0</v>
      </c>
      <c r="Q329">
        <v>619</v>
      </c>
      <c r="R329">
        <v>0.23</v>
      </c>
      <c r="S329" t="s">
        <v>72</v>
      </c>
      <c r="T329" s="1">
        <v>45704</v>
      </c>
      <c r="U329">
        <v>0</v>
      </c>
    </row>
    <row r="330" spans="1:21" x14ac:dyDescent="0.25">
      <c r="A330" t="s">
        <v>377</v>
      </c>
      <c r="B330">
        <v>42</v>
      </c>
      <c r="C330" t="s">
        <v>21</v>
      </c>
      <c r="D330" t="s">
        <v>35</v>
      </c>
      <c r="E330" t="s">
        <v>31</v>
      </c>
      <c r="F330" t="s">
        <v>32</v>
      </c>
      <c r="G330">
        <v>4357.84</v>
      </c>
      <c r="H330">
        <v>2601.71</v>
      </c>
      <c r="I330">
        <v>23084.02</v>
      </c>
      <c r="J330" t="s">
        <v>37</v>
      </c>
      <c r="K330" t="s">
        <v>38</v>
      </c>
      <c r="L330">
        <v>0</v>
      </c>
      <c r="M330">
        <v>0</v>
      </c>
      <c r="N330">
        <v>0</v>
      </c>
      <c r="O330">
        <v>0</v>
      </c>
      <c r="P330">
        <v>0</v>
      </c>
      <c r="Q330">
        <v>617</v>
      </c>
      <c r="R330">
        <v>0.44</v>
      </c>
      <c r="S330" t="s">
        <v>27</v>
      </c>
      <c r="T330" s="1">
        <v>45026</v>
      </c>
      <c r="U330">
        <v>0</v>
      </c>
    </row>
    <row r="331" spans="1:21" x14ac:dyDescent="0.25">
      <c r="A331" t="s">
        <v>378</v>
      </c>
      <c r="B331">
        <v>53</v>
      </c>
      <c r="C331" t="s">
        <v>21</v>
      </c>
      <c r="D331" t="s">
        <v>22</v>
      </c>
      <c r="E331" t="s">
        <v>31</v>
      </c>
      <c r="F331" t="s">
        <v>63</v>
      </c>
      <c r="G331">
        <v>1074.52</v>
      </c>
      <c r="H331">
        <v>335.66</v>
      </c>
      <c r="I331">
        <v>12091.59</v>
      </c>
      <c r="J331" t="s">
        <v>37</v>
      </c>
      <c r="K331" t="s">
        <v>38</v>
      </c>
      <c r="L331">
        <v>0</v>
      </c>
      <c r="M331">
        <v>0</v>
      </c>
      <c r="N331">
        <v>0</v>
      </c>
      <c r="O331">
        <v>0</v>
      </c>
      <c r="P331">
        <v>0</v>
      </c>
      <c r="Q331">
        <v>645</v>
      </c>
      <c r="R331">
        <v>0.94</v>
      </c>
      <c r="S331" t="s">
        <v>47</v>
      </c>
      <c r="T331" s="1">
        <v>45228</v>
      </c>
      <c r="U331">
        <v>0</v>
      </c>
    </row>
    <row r="332" spans="1:21" x14ac:dyDescent="0.25">
      <c r="A332" t="s">
        <v>379</v>
      </c>
      <c r="B332">
        <v>38</v>
      </c>
      <c r="C332" t="s">
        <v>21</v>
      </c>
      <c r="D332" t="s">
        <v>41</v>
      </c>
      <c r="E332" t="s">
        <v>51</v>
      </c>
      <c r="F332" t="s">
        <v>23</v>
      </c>
      <c r="G332">
        <v>3724.24</v>
      </c>
      <c r="H332">
        <v>3183.71</v>
      </c>
      <c r="I332">
        <v>14186.73</v>
      </c>
      <c r="J332" t="s">
        <v>37</v>
      </c>
      <c r="K332" t="s">
        <v>38</v>
      </c>
      <c r="L332">
        <v>0</v>
      </c>
      <c r="M332">
        <v>0</v>
      </c>
      <c r="N332">
        <v>0</v>
      </c>
      <c r="O332">
        <v>0</v>
      </c>
      <c r="P332">
        <v>0</v>
      </c>
      <c r="Q332">
        <v>741</v>
      </c>
      <c r="R332">
        <v>0.32</v>
      </c>
      <c r="S332" t="s">
        <v>30</v>
      </c>
      <c r="T332" s="1">
        <v>44844</v>
      </c>
      <c r="U332">
        <v>0</v>
      </c>
    </row>
    <row r="333" spans="1:21" x14ac:dyDescent="0.25">
      <c r="A333" t="s">
        <v>380</v>
      </c>
      <c r="B333">
        <v>47</v>
      </c>
      <c r="C333" t="s">
        <v>21</v>
      </c>
      <c r="D333" t="s">
        <v>41</v>
      </c>
      <c r="E333" t="s">
        <v>49</v>
      </c>
      <c r="F333" t="s">
        <v>36</v>
      </c>
      <c r="G333">
        <v>3313.76</v>
      </c>
      <c r="H333">
        <v>2645.47</v>
      </c>
      <c r="I333">
        <v>31262.34</v>
      </c>
      <c r="J333" t="s">
        <v>37</v>
      </c>
      <c r="K333" t="s">
        <v>38</v>
      </c>
      <c r="L333">
        <v>0</v>
      </c>
      <c r="M333">
        <v>0</v>
      </c>
      <c r="N333">
        <v>0</v>
      </c>
      <c r="O333">
        <v>0</v>
      </c>
      <c r="P333">
        <v>0</v>
      </c>
      <c r="Q333">
        <v>714</v>
      </c>
      <c r="R333">
        <v>0.79</v>
      </c>
      <c r="S333" t="s">
        <v>47</v>
      </c>
      <c r="T333" s="1">
        <v>44966</v>
      </c>
      <c r="U333">
        <v>0</v>
      </c>
    </row>
    <row r="334" spans="1:21" x14ac:dyDescent="0.25">
      <c r="A334" t="s">
        <v>381</v>
      </c>
      <c r="B334">
        <v>45</v>
      </c>
      <c r="C334" t="s">
        <v>30</v>
      </c>
      <c r="D334" t="s">
        <v>41</v>
      </c>
      <c r="E334" t="s">
        <v>31</v>
      </c>
      <c r="F334" t="s">
        <v>42</v>
      </c>
      <c r="G334">
        <v>4634.7700000000004</v>
      </c>
      <c r="H334">
        <v>2922.39</v>
      </c>
      <c r="I334">
        <v>21792.41</v>
      </c>
      <c r="J334" t="s">
        <v>37</v>
      </c>
      <c r="K334" t="s">
        <v>38</v>
      </c>
      <c r="L334">
        <v>0</v>
      </c>
      <c r="M334">
        <v>0</v>
      </c>
      <c r="N334">
        <v>0</v>
      </c>
      <c r="O334">
        <v>0</v>
      </c>
      <c r="P334">
        <v>0</v>
      </c>
      <c r="Q334">
        <v>782</v>
      </c>
      <c r="R334">
        <v>0.39</v>
      </c>
      <c r="S334" t="s">
        <v>72</v>
      </c>
      <c r="T334" s="1">
        <v>44798</v>
      </c>
      <c r="U334">
        <v>0</v>
      </c>
    </row>
    <row r="335" spans="1:21" x14ac:dyDescent="0.25">
      <c r="A335" t="s">
        <v>382</v>
      </c>
      <c r="B335">
        <v>63</v>
      </c>
      <c r="C335" t="s">
        <v>21</v>
      </c>
      <c r="D335" t="s">
        <v>56</v>
      </c>
      <c r="E335" t="s">
        <v>23</v>
      </c>
      <c r="F335" t="s">
        <v>52</v>
      </c>
      <c r="G335">
        <v>5188.59</v>
      </c>
      <c r="H335">
        <v>2028.07</v>
      </c>
      <c r="I335">
        <v>23789.55</v>
      </c>
      <c r="J335" t="s">
        <v>37</v>
      </c>
      <c r="K335" t="s">
        <v>38</v>
      </c>
      <c r="L335">
        <v>0</v>
      </c>
      <c r="M335">
        <v>0</v>
      </c>
      <c r="N335">
        <v>0</v>
      </c>
      <c r="O335">
        <v>0</v>
      </c>
      <c r="P335">
        <v>0</v>
      </c>
      <c r="Q335">
        <v>395</v>
      </c>
      <c r="R335">
        <v>0.38</v>
      </c>
      <c r="S335" t="s">
        <v>72</v>
      </c>
      <c r="T335" s="1">
        <v>45783</v>
      </c>
      <c r="U335">
        <v>0</v>
      </c>
    </row>
    <row r="336" spans="1:21" x14ac:dyDescent="0.25">
      <c r="A336" t="s">
        <v>383</v>
      </c>
      <c r="B336">
        <v>20</v>
      </c>
      <c r="C336" t="s">
        <v>29</v>
      </c>
      <c r="D336" t="s">
        <v>41</v>
      </c>
      <c r="E336" t="s">
        <v>51</v>
      </c>
      <c r="F336" t="s">
        <v>52</v>
      </c>
      <c r="G336">
        <v>7798.12</v>
      </c>
      <c r="H336">
        <v>5977.55</v>
      </c>
      <c r="I336">
        <v>37280.42</v>
      </c>
      <c r="J336" t="s">
        <v>25</v>
      </c>
      <c r="K336" t="s">
        <v>33</v>
      </c>
      <c r="L336">
        <v>40940.629999999997</v>
      </c>
      <c r="M336">
        <v>24</v>
      </c>
      <c r="N336">
        <v>1857.8</v>
      </c>
      <c r="O336">
        <v>8.33</v>
      </c>
      <c r="P336">
        <v>0.24</v>
      </c>
      <c r="Q336">
        <v>389</v>
      </c>
      <c r="R336">
        <v>0.4</v>
      </c>
      <c r="S336" t="s">
        <v>47</v>
      </c>
      <c r="T336" s="1">
        <v>45293</v>
      </c>
      <c r="U336">
        <v>0</v>
      </c>
    </row>
    <row r="337" spans="1:21" x14ac:dyDescent="0.25">
      <c r="A337" t="s">
        <v>384</v>
      </c>
      <c r="B337">
        <v>47</v>
      </c>
      <c r="C337" t="s">
        <v>21</v>
      </c>
      <c r="D337" t="s">
        <v>22</v>
      </c>
      <c r="E337" t="s">
        <v>31</v>
      </c>
      <c r="F337" t="s">
        <v>23</v>
      </c>
      <c r="G337">
        <v>4210.7700000000004</v>
      </c>
      <c r="H337">
        <v>2962.44</v>
      </c>
      <c r="I337">
        <v>32676.1</v>
      </c>
      <c r="J337" t="s">
        <v>37</v>
      </c>
      <c r="K337" t="s">
        <v>38</v>
      </c>
      <c r="L337">
        <v>0</v>
      </c>
      <c r="M337">
        <v>0</v>
      </c>
      <c r="N337">
        <v>0</v>
      </c>
      <c r="O337">
        <v>0</v>
      </c>
      <c r="P337">
        <v>0</v>
      </c>
      <c r="Q337">
        <v>524</v>
      </c>
      <c r="R337">
        <v>0.65</v>
      </c>
      <c r="S337" t="s">
        <v>27</v>
      </c>
      <c r="T337" s="1">
        <v>45400</v>
      </c>
      <c r="U337">
        <v>0</v>
      </c>
    </row>
    <row r="338" spans="1:21" x14ac:dyDescent="0.25">
      <c r="A338" t="s">
        <v>385</v>
      </c>
      <c r="B338">
        <v>30</v>
      </c>
      <c r="C338" t="s">
        <v>21</v>
      </c>
      <c r="D338" t="s">
        <v>35</v>
      </c>
      <c r="E338" t="s">
        <v>31</v>
      </c>
      <c r="F338" t="s">
        <v>24</v>
      </c>
      <c r="G338">
        <v>500</v>
      </c>
      <c r="H338">
        <v>384.57</v>
      </c>
      <c r="I338">
        <v>1154.05</v>
      </c>
      <c r="J338" t="s">
        <v>37</v>
      </c>
      <c r="K338" t="s">
        <v>38</v>
      </c>
      <c r="L338">
        <v>0</v>
      </c>
      <c r="M338">
        <v>0</v>
      </c>
      <c r="N338">
        <v>0</v>
      </c>
      <c r="O338">
        <v>0</v>
      </c>
      <c r="P338">
        <v>0</v>
      </c>
      <c r="Q338">
        <v>498</v>
      </c>
      <c r="R338">
        <v>0.19</v>
      </c>
      <c r="S338" t="s">
        <v>30</v>
      </c>
      <c r="T338" s="1">
        <v>45827</v>
      </c>
      <c r="U338">
        <v>0</v>
      </c>
    </row>
    <row r="339" spans="1:21" x14ac:dyDescent="0.25">
      <c r="A339" t="s">
        <v>386</v>
      </c>
      <c r="B339">
        <v>36</v>
      </c>
      <c r="C339" t="s">
        <v>21</v>
      </c>
      <c r="D339" t="s">
        <v>41</v>
      </c>
      <c r="E339" t="s">
        <v>23</v>
      </c>
      <c r="F339" t="s">
        <v>23</v>
      </c>
      <c r="G339">
        <v>5504.4</v>
      </c>
      <c r="H339">
        <v>1764.63</v>
      </c>
      <c r="I339">
        <v>34427.97</v>
      </c>
      <c r="J339" t="s">
        <v>37</v>
      </c>
      <c r="K339" t="s">
        <v>38</v>
      </c>
      <c r="L339">
        <v>0</v>
      </c>
      <c r="M339">
        <v>0</v>
      </c>
      <c r="N339">
        <v>0</v>
      </c>
      <c r="O339">
        <v>0</v>
      </c>
      <c r="P339">
        <v>0</v>
      </c>
      <c r="Q339">
        <v>646</v>
      </c>
      <c r="R339">
        <v>0.52</v>
      </c>
      <c r="S339" t="s">
        <v>30</v>
      </c>
      <c r="T339" s="1">
        <v>45484</v>
      </c>
      <c r="U339">
        <v>0</v>
      </c>
    </row>
    <row r="340" spans="1:21" x14ac:dyDescent="0.25">
      <c r="A340" t="s">
        <v>387</v>
      </c>
      <c r="B340">
        <v>51</v>
      </c>
      <c r="C340" t="s">
        <v>21</v>
      </c>
      <c r="D340" t="s">
        <v>35</v>
      </c>
      <c r="E340" t="s">
        <v>51</v>
      </c>
      <c r="F340" t="s">
        <v>23</v>
      </c>
      <c r="G340">
        <v>4491.3500000000004</v>
      </c>
      <c r="H340">
        <v>3144.5</v>
      </c>
      <c r="I340">
        <v>22160.76</v>
      </c>
      <c r="J340" t="s">
        <v>25</v>
      </c>
      <c r="K340" t="s">
        <v>54</v>
      </c>
      <c r="L340">
        <v>381439.63</v>
      </c>
      <c r="M340">
        <v>300</v>
      </c>
      <c r="N340">
        <v>7304.3</v>
      </c>
      <c r="O340">
        <v>22.9</v>
      </c>
      <c r="P340">
        <v>1.63</v>
      </c>
      <c r="Q340">
        <v>579</v>
      </c>
      <c r="R340">
        <v>0.41</v>
      </c>
      <c r="S340" t="s">
        <v>72</v>
      </c>
      <c r="T340" s="1">
        <v>45680</v>
      </c>
      <c r="U340">
        <v>1</v>
      </c>
    </row>
    <row r="341" spans="1:21" x14ac:dyDescent="0.25">
      <c r="A341" t="s">
        <v>388</v>
      </c>
      <c r="B341">
        <v>32</v>
      </c>
      <c r="C341" t="s">
        <v>29</v>
      </c>
      <c r="D341" t="s">
        <v>41</v>
      </c>
      <c r="E341" t="s">
        <v>51</v>
      </c>
      <c r="F341" t="s">
        <v>44</v>
      </c>
      <c r="G341">
        <v>3257.74</v>
      </c>
      <c r="H341">
        <v>2055.2600000000002</v>
      </c>
      <c r="I341">
        <v>4029.66</v>
      </c>
      <c r="J341" t="s">
        <v>37</v>
      </c>
      <c r="K341" t="s">
        <v>38</v>
      </c>
      <c r="L341">
        <v>0</v>
      </c>
      <c r="M341">
        <v>0</v>
      </c>
      <c r="N341">
        <v>0</v>
      </c>
      <c r="O341">
        <v>0</v>
      </c>
      <c r="P341">
        <v>0</v>
      </c>
      <c r="Q341">
        <v>594</v>
      </c>
      <c r="R341">
        <v>0.1</v>
      </c>
      <c r="S341" t="s">
        <v>30</v>
      </c>
      <c r="T341" s="1">
        <v>45267</v>
      </c>
      <c r="U341">
        <v>0</v>
      </c>
    </row>
    <row r="342" spans="1:21" x14ac:dyDescent="0.25">
      <c r="A342" t="s">
        <v>389</v>
      </c>
      <c r="B342">
        <v>33</v>
      </c>
      <c r="C342" t="s">
        <v>29</v>
      </c>
      <c r="D342" t="s">
        <v>56</v>
      </c>
      <c r="E342" t="s">
        <v>51</v>
      </c>
      <c r="F342" t="s">
        <v>44</v>
      </c>
      <c r="G342">
        <v>4501.43</v>
      </c>
      <c r="H342">
        <v>3591.35</v>
      </c>
      <c r="I342">
        <v>18620.259999999998</v>
      </c>
      <c r="J342" t="s">
        <v>37</v>
      </c>
      <c r="K342" t="s">
        <v>38</v>
      </c>
      <c r="L342">
        <v>0</v>
      </c>
      <c r="M342">
        <v>0</v>
      </c>
      <c r="N342">
        <v>0</v>
      </c>
      <c r="O342">
        <v>0</v>
      </c>
      <c r="P342">
        <v>0</v>
      </c>
      <c r="Q342">
        <v>773</v>
      </c>
      <c r="R342">
        <v>0.34</v>
      </c>
      <c r="S342" t="s">
        <v>72</v>
      </c>
      <c r="T342" s="1">
        <v>44992</v>
      </c>
      <c r="U342">
        <v>0</v>
      </c>
    </row>
    <row r="343" spans="1:21" x14ac:dyDescent="0.25">
      <c r="A343" t="s">
        <v>390</v>
      </c>
      <c r="B343">
        <v>29</v>
      </c>
      <c r="C343" t="s">
        <v>29</v>
      </c>
      <c r="D343" t="s">
        <v>56</v>
      </c>
      <c r="E343" t="s">
        <v>49</v>
      </c>
      <c r="F343" t="s">
        <v>23</v>
      </c>
      <c r="G343">
        <v>1873.86</v>
      </c>
      <c r="H343">
        <v>1001.88</v>
      </c>
      <c r="I343">
        <v>10210.299999999999</v>
      </c>
      <c r="J343" t="s">
        <v>37</v>
      </c>
      <c r="K343" t="s">
        <v>38</v>
      </c>
      <c r="L343">
        <v>0</v>
      </c>
      <c r="M343">
        <v>0</v>
      </c>
      <c r="N343">
        <v>0</v>
      </c>
      <c r="O343">
        <v>0</v>
      </c>
      <c r="P343">
        <v>0</v>
      </c>
      <c r="Q343">
        <v>455</v>
      </c>
      <c r="R343">
        <v>0.45</v>
      </c>
      <c r="S343" t="s">
        <v>39</v>
      </c>
      <c r="T343" s="1">
        <v>45200</v>
      </c>
      <c r="U343">
        <v>0</v>
      </c>
    </row>
    <row r="344" spans="1:21" x14ac:dyDescent="0.25">
      <c r="A344" t="s">
        <v>391</v>
      </c>
      <c r="B344">
        <v>47</v>
      </c>
      <c r="C344" t="s">
        <v>30</v>
      </c>
      <c r="D344" t="s">
        <v>41</v>
      </c>
      <c r="E344" t="s">
        <v>31</v>
      </c>
      <c r="F344" t="s">
        <v>63</v>
      </c>
      <c r="G344">
        <v>6574.75</v>
      </c>
      <c r="H344">
        <v>3363.92</v>
      </c>
      <c r="I344">
        <v>45078.71</v>
      </c>
      <c r="J344" t="s">
        <v>37</v>
      </c>
      <c r="K344" t="s">
        <v>38</v>
      </c>
      <c r="L344">
        <v>0</v>
      </c>
      <c r="M344">
        <v>0</v>
      </c>
      <c r="N344">
        <v>0</v>
      </c>
      <c r="O344">
        <v>0</v>
      </c>
      <c r="P344">
        <v>0</v>
      </c>
      <c r="Q344">
        <v>657</v>
      </c>
      <c r="R344">
        <v>0.56999999999999995</v>
      </c>
      <c r="S344" t="s">
        <v>47</v>
      </c>
      <c r="T344" s="1">
        <v>44554</v>
      </c>
      <c r="U344">
        <v>0</v>
      </c>
    </row>
    <row r="345" spans="1:21" x14ac:dyDescent="0.25">
      <c r="A345" t="s">
        <v>392</v>
      </c>
      <c r="B345">
        <v>28</v>
      </c>
      <c r="C345" t="s">
        <v>29</v>
      </c>
      <c r="D345" t="s">
        <v>35</v>
      </c>
      <c r="E345" t="s">
        <v>31</v>
      </c>
      <c r="F345" t="s">
        <v>63</v>
      </c>
      <c r="G345">
        <v>7731.77</v>
      </c>
      <c r="H345">
        <v>3283.33</v>
      </c>
      <c r="I345">
        <v>43262.17</v>
      </c>
      <c r="J345" t="s">
        <v>37</v>
      </c>
      <c r="K345" t="s">
        <v>38</v>
      </c>
      <c r="L345">
        <v>0</v>
      </c>
      <c r="M345">
        <v>0</v>
      </c>
      <c r="N345">
        <v>0</v>
      </c>
      <c r="O345">
        <v>0</v>
      </c>
      <c r="P345">
        <v>0</v>
      </c>
      <c r="Q345">
        <v>527</v>
      </c>
      <c r="R345">
        <v>0.47</v>
      </c>
      <c r="S345" t="s">
        <v>47</v>
      </c>
      <c r="T345" s="1">
        <v>45603</v>
      </c>
      <c r="U345">
        <v>0</v>
      </c>
    </row>
    <row r="346" spans="1:21" x14ac:dyDescent="0.25">
      <c r="A346" t="s">
        <v>393</v>
      </c>
      <c r="B346">
        <v>35</v>
      </c>
      <c r="C346" t="s">
        <v>21</v>
      </c>
      <c r="D346" t="s">
        <v>41</v>
      </c>
      <c r="E346" t="s">
        <v>31</v>
      </c>
      <c r="F346" t="s">
        <v>24</v>
      </c>
      <c r="G346">
        <v>3394.8</v>
      </c>
      <c r="H346">
        <v>1293.1099999999999</v>
      </c>
      <c r="I346">
        <v>17980.29</v>
      </c>
      <c r="J346" t="s">
        <v>37</v>
      </c>
      <c r="K346" t="s">
        <v>38</v>
      </c>
      <c r="L346">
        <v>0</v>
      </c>
      <c r="M346">
        <v>0</v>
      </c>
      <c r="N346">
        <v>0</v>
      </c>
      <c r="O346">
        <v>0</v>
      </c>
      <c r="P346">
        <v>0</v>
      </c>
      <c r="Q346">
        <v>577</v>
      </c>
      <c r="R346">
        <v>0.44</v>
      </c>
      <c r="S346" t="s">
        <v>72</v>
      </c>
      <c r="T346" s="1">
        <v>44954</v>
      </c>
      <c r="U346">
        <v>0</v>
      </c>
    </row>
    <row r="347" spans="1:21" x14ac:dyDescent="0.25">
      <c r="A347" t="s">
        <v>394</v>
      </c>
      <c r="B347">
        <v>27</v>
      </c>
      <c r="C347" t="s">
        <v>29</v>
      </c>
      <c r="D347" t="s">
        <v>22</v>
      </c>
      <c r="E347" t="s">
        <v>31</v>
      </c>
      <c r="F347" t="s">
        <v>49</v>
      </c>
      <c r="G347">
        <v>1033.27</v>
      </c>
      <c r="H347">
        <v>702.91</v>
      </c>
      <c r="I347">
        <v>4485.32</v>
      </c>
      <c r="J347" t="s">
        <v>25</v>
      </c>
      <c r="K347" t="s">
        <v>45</v>
      </c>
      <c r="L347">
        <v>85238.67</v>
      </c>
      <c r="M347">
        <v>120</v>
      </c>
      <c r="N347">
        <v>1231.81</v>
      </c>
      <c r="O347">
        <v>12.18</v>
      </c>
      <c r="P347">
        <v>1.19</v>
      </c>
      <c r="Q347">
        <v>561</v>
      </c>
      <c r="R347">
        <v>0.36</v>
      </c>
      <c r="S347" t="s">
        <v>47</v>
      </c>
      <c r="T347" s="1">
        <v>44529</v>
      </c>
      <c r="U347">
        <v>1</v>
      </c>
    </row>
    <row r="348" spans="1:21" x14ac:dyDescent="0.25">
      <c r="A348" t="s">
        <v>395</v>
      </c>
      <c r="B348">
        <v>27</v>
      </c>
      <c r="C348" t="s">
        <v>21</v>
      </c>
      <c r="D348" t="s">
        <v>41</v>
      </c>
      <c r="E348" t="s">
        <v>31</v>
      </c>
      <c r="F348" t="s">
        <v>32</v>
      </c>
      <c r="G348">
        <v>5847.66</v>
      </c>
      <c r="H348">
        <v>2742.98</v>
      </c>
      <c r="I348">
        <v>57605.31</v>
      </c>
      <c r="J348" t="s">
        <v>25</v>
      </c>
      <c r="K348" t="s">
        <v>33</v>
      </c>
      <c r="L348">
        <v>149376.23000000001</v>
      </c>
      <c r="M348">
        <v>24</v>
      </c>
      <c r="N348">
        <v>8244.01</v>
      </c>
      <c r="O348">
        <v>28.59</v>
      </c>
      <c r="P348">
        <v>1.41</v>
      </c>
      <c r="Q348">
        <v>458</v>
      </c>
      <c r="R348">
        <v>0.82</v>
      </c>
      <c r="S348" t="s">
        <v>27</v>
      </c>
      <c r="T348" s="1">
        <v>45352</v>
      </c>
      <c r="U348">
        <v>1</v>
      </c>
    </row>
    <row r="349" spans="1:21" x14ac:dyDescent="0.25">
      <c r="A349" t="s">
        <v>396</v>
      </c>
      <c r="B349">
        <v>30</v>
      </c>
      <c r="C349" t="s">
        <v>29</v>
      </c>
      <c r="D349" t="s">
        <v>35</v>
      </c>
      <c r="E349" t="s">
        <v>31</v>
      </c>
      <c r="F349" t="s">
        <v>24</v>
      </c>
      <c r="G349">
        <v>5499.67</v>
      </c>
      <c r="H349">
        <v>3372.93</v>
      </c>
      <c r="I349">
        <v>56351.02</v>
      </c>
      <c r="J349" t="s">
        <v>37</v>
      </c>
      <c r="K349" t="s">
        <v>38</v>
      </c>
      <c r="L349">
        <v>0</v>
      </c>
      <c r="M349">
        <v>0</v>
      </c>
      <c r="N349">
        <v>0</v>
      </c>
      <c r="O349">
        <v>0</v>
      </c>
      <c r="P349">
        <v>0</v>
      </c>
      <c r="Q349">
        <v>603</v>
      </c>
      <c r="R349">
        <v>0.85</v>
      </c>
      <c r="S349" t="s">
        <v>47</v>
      </c>
      <c r="T349" s="1">
        <v>45071</v>
      </c>
      <c r="U349">
        <v>0</v>
      </c>
    </row>
    <row r="350" spans="1:21" x14ac:dyDescent="0.25">
      <c r="A350" t="s">
        <v>397</v>
      </c>
      <c r="B350">
        <v>37</v>
      </c>
      <c r="C350" t="s">
        <v>29</v>
      </c>
      <c r="D350" t="s">
        <v>41</v>
      </c>
      <c r="E350" t="s">
        <v>31</v>
      </c>
      <c r="F350" t="s">
        <v>36</v>
      </c>
      <c r="G350">
        <v>7030.46</v>
      </c>
      <c r="H350">
        <v>4537.33</v>
      </c>
      <c r="I350">
        <v>21785.48</v>
      </c>
      <c r="J350" t="s">
        <v>37</v>
      </c>
      <c r="K350" t="s">
        <v>38</v>
      </c>
      <c r="L350">
        <v>0</v>
      </c>
      <c r="M350">
        <v>0</v>
      </c>
      <c r="N350">
        <v>0</v>
      </c>
      <c r="O350">
        <v>0</v>
      </c>
      <c r="P350">
        <v>0</v>
      </c>
      <c r="Q350">
        <v>819</v>
      </c>
      <c r="R350">
        <v>0.26</v>
      </c>
      <c r="S350" t="s">
        <v>30</v>
      </c>
      <c r="T350" s="1">
        <v>44459</v>
      </c>
      <c r="U350">
        <v>0</v>
      </c>
    </row>
    <row r="351" spans="1:21" x14ac:dyDescent="0.25">
      <c r="A351" t="s">
        <v>398</v>
      </c>
      <c r="B351">
        <v>60</v>
      </c>
      <c r="C351" t="s">
        <v>29</v>
      </c>
      <c r="D351" t="s">
        <v>41</v>
      </c>
      <c r="E351" t="s">
        <v>51</v>
      </c>
      <c r="F351" t="s">
        <v>44</v>
      </c>
      <c r="G351">
        <v>5572.18</v>
      </c>
      <c r="H351">
        <v>4331.87</v>
      </c>
      <c r="I351">
        <v>33009.199999999997</v>
      </c>
      <c r="J351" t="s">
        <v>37</v>
      </c>
      <c r="K351" t="s">
        <v>38</v>
      </c>
      <c r="L351">
        <v>0</v>
      </c>
      <c r="M351">
        <v>0</v>
      </c>
      <c r="N351">
        <v>0</v>
      </c>
      <c r="O351">
        <v>0</v>
      </c>
      <c r="P351">
        <v>0</v>
      </c>
      <c r="Q351">
        <v>398</v>
      </c>
      <c r="R351">
        <v>0.49</v>
      </c>
      <c r="S351" t="s">
        <v>47</v>
      </c>
      <c r="T351" s="1">
        <v>45203</v>
      </c>
      <c r="U351">
        <v>0</v>
      </c>
    </row>
    <row r="352" spans="1:21" x14ac:dyDescent="0.25">
      <c r="A352" t="s">
        <v>399</v>
      </c>
      <c r="B352">
        <v>51</v>
      </c>
      <c r="C352" t="s">
        <v>21</v>
      </c>
      <c r="D352" t="s">
        <v>35</v>
      </c>
      <c r="E352" t="s">
        <v>51</v>
      </c>
      <c r="F352" t="s">
        <v>32</v>
      </c>
      <c r="G352">
        <v>5029.45</v>
      </c>
      <c r="H352">
        <v>2687.86</v>
      </c>
      <c r="I352">
        <v>14474.91</v>
      </c>
      <c r="J352" t="s">
        <v>25</v>
      </c>
      <c r="K352" t="s">
        <v>33</v>
      </c>
      <c r="L352">
        <v>56271.98</v>
      </c>
      <c r="M352">
        <v>12</v>
      </c>
      <c r="N352">
        <v>5014.45</v>
      </c>
      <c r="O352">
        <v>12.56</v>
      </c>
      <c r="P352">
        <v>1</v>
      </c>
      <c r="Q352">
        <v>637</v>
      </c>
      <c r="R352">
        <v>0.24</v>
      </c>
      <c r="S352" t="s">
        <v>27</v>
      </c>
      <c r="T352" s="1">
        <v>45210</v>
      </c>
      <c r="U352">
        <v>1</v>
      </c>
    </row>
    <row r="353" spans="1:21" x14ac:dyDescent="0.25">
      <c r="A353" t="s">
        <v>400</v>
      </c>
      <c r="B353">
        <v>42</v>
      </c>
      <c r="C353" t="s">
        <v>21</v>
      </c>
      <c r="D353" t="s">
        <v>41</v>
      </c>
      <c r="E353" t="s">
        <v>31</v>
      </c>
      <c r="F353" t="s">
        <v>63</v>
      </c>
      <c r="G353">
        <v>2040.84</v>
      </c>
      <c r="H353">
        <v>1696.63</v>
      </c>
      <c r="I353">
        <v>17825.2</v>
      </c>
      <c r="J353" t="s">
        <v>25</v>
      </c>
      <c r="K353" t="s">
        <v>26</v>
      </c>
      <c r="L353">
        <v>160661.67000000001</v>
      </c>
      <c r="M353">
        <v>180</v>
      </c>
      <c r="N353">
        <v>2216.77</v>
      </c>
      <c r="O353">
        <v>14.71</v>
      </c>
      <c r="P353">
        <v>1.0900000000000001</v>
      </c>
      <c r="Q353">
        <v>442</v>
      </c>
      <c r="R353">
        <v>0.73</v>
      </c>
      <c r="S353" t="s">
        <v>30</v>
      </c>
      <c r="T353" s="1">
        <v>45290</v>
      </c>
      <c r="U353">
        <v>1</v>
      </c>
    </row>
    <row r="354" spans="1:21" x14ac:dyDescent="0.25">
      <c r="A354" t="s">
        <v>401</v>
      </c>
      <c r="B354">
        <v>50</v>
      </c>
      <c r="C354" t="s">
        <v>21</v>
      </c>
      <c r="D354" t="s">
        <v>22</v>
      </c>
      <c r="E354" t="s">
        <v>23</v>
      </c>
      <c r="F354" t="s">
        <v>52</v>
      </c>
      <c r="G354">
        <v>6349.66</v>
      </c>
      <c r="H354">
        <v>1988.59</v>
      </c>
      <c r="I354">
        <v>33172.199999999997</v>
      </c>
      <c r="J354" t="s">
        <v>25</v>
      </c>
      <c r="K354" t="s">
        <v>45</v>
      </c>
      <c r="L354">
        <v>427153.07</v>
      </c>
      <c r="M354">
        <v>60</v>
      </c>
      <c r="N354">
        <v>8145.33</v>
      </c>
      <c r="O354">
        <v>5.43</v>
      </c>
      <c r="P354">
        <v>1.28</v>
      </c>
      <c r="Q354">
        <v>396</v>
      </c>
      <c r="R354">
        <v>0.44</v>
      </c>
      <c r="S354" t="s">
        <v>39</v>
      </c>
      <c r="T354" s="1">
        <v>45011</v>
      </c>
      <c r="U354">
        <v>1</v>
      </c>
    </row>
    <row r="355" spans="1:21" x14ac:dyDescent="0.25">
      <c r="A355" t="s">
        <v>402</v>
      </c>
      <c r="B355">
        <v>52</v>
      </c>
      <c r="C355" t="s">
        <v>29</v>
      </c>
      <c r="D355" t="s">
        <v>22</v>
      </c>
      <c r="E355" t="s">
        <v>23</v>
      </c>
      <c r="F355" t="s">
        <v>52</v>
      </c>
      <c r="G355">
        <v>7008.42</v>
      </c>
      <c r="H355">
        <v>5515.89</v>
      </c>
      <c r="I355">
        <v>66331.740000000005</v>
      </c>
      <c r="J355" t="s">
        <v>25</v>
      </c>
      <c r="K355" t="s">
        <v>26</v>
      </c>
      <c r="L355">
        <v>330540.59999999998</v>
      </c>
      <c r="M355">
        <v>120</v>
      </c>
      <c r="N355">
        <v>5650.81</v>
      </c>
      <c r="O355">
        <v>16.55</v>
      </c>
      <c r="P355">
        <v>0.81</v>
      </c>
      <c r="Q355">
        <v>486</v>
      </c>
      <c r="R355">
        <v>0.79</v>
      </c>
      <c r="S355" t="s">
        <v>27</v>
      </c>
      <c r="T355" s="1">
        <v>45085</v>
      </c>
      <c r="U355">
        <v>1</v>
      </c>
    </row>
    <row r="356" spans="1:21" x14ac:dyDescent="0.25">
      <c r="A356" t="s">
        <v>403</v>
      </c>
      <c r="B356">
        <v>51</v>
      </c>
      <c r="C356" t="s">
        <v>21</v>
      </c>
      <c r="D356" t="s">
        <v>22</v>
      </c>
      <c r="E356" t="s">
        <v>49</v>
      </c>
      <c r="F356" t="s">
        <v>23</v>
      </c>
      <c r="G356">
        <v>3572.02</v>
      </c>
      <c r="H356">
        <v>1156.33</v>
      </c>
      <c r="I356">
        <v>6480.9</v>
      </c>
      <c r="J356" t="s">
        <v>37</v>
      </c>
      <c r="K356" t="s">
        <v>38</v>
      </c>
      <c r="L356">
        <v>0</v>
      </c>
      <c r="M356">
        <v>0</v>
      </c>
      <c r="N356">
        <v>0</v>
      </c>
      <c r="O356">
        <v>0</v>
      </c>
      <c r="P356">
        <v>0</v>
      </c>
      <c r="Q356">
        <v>590</v>
      </c>
      <c r="R356">
        <v>0.15</v>
      </c>
      <c r="S356" t="s">
        <v>72</v>
      </c>
      <c r="T356" s="1">
        <v>45581</v>
      </c>
      <c r="U356">
        <v>0</v>
      </c>
    </row>
    <row r="357" spans="1:21" x14ac:dyDescent="0.25">
      <c r="A357" t="s">
        <v>404</v>
      </c>
      <c r="B357">
        <v>66</v>
      </c>
      <c r="C357" t="s">
        <v>21</v>
      </c>
      <c r="D357" t="s">
        <v>35</v>
      </c>
      <c r="E357" t="s">
        <v>23</v>
      </c>
      <c r="F357" t="s">
        <v>32</v>
      </c>
      <c r="G357">
        <v>3012.07</v>
      </c>
      <c r="H357">
        <v>2645.82</v>
      </c>
      <c r="I357">
        <v>11964.87</v>
      </c>
      <c r="J357" t="s">
        <v>25</v>
      </c>
      <c r="K357" t="s">
        <v>26</v>
      </c>
      <c r="L357">
        <v>454508.85</v>
      </c>
      <c r="M357">
        <v>300</v>
      </c>
      <c r="N357">
        <v>2766.71</v>
      </c>
      <c r="O357">
        <v>5.41</v>
      </c>
      <c r="P357">
        <v>0.92</v>
      </c>
      <c r="Q357">
        <v>688</v>
      </c>
      <c r="R357">
        <v>0.33</v>
      </c>
      <c r="S357" t="s">
        <v>47</v>
      </c>
      <c r="T357" s="1">
        <v>44945</v>
      </c>
      <c r="U357">
        <v>1</v>
      </c>
    </row>
    <row r="358" spans="1:21" x14ac:dyDescent="0.25">
      <c r="A358" t="s">
        <v>405</v>
      </c>
      <c r="B358">
        <v>54</v>
      </c>
      <c r="C358" t="s">
        <v>29</v>
      </c>
      <c r="D358" t="s">
        <v>35</v>
      </c>
      <c r="E358" t="s">
        <v>51</v>
      </c>
      <c r="F358" t="s">
        <v>24</v>
      </c>
      <c r="G358">
        <v>5519.51</v>
      </c>
      <c r="H358">
        <v>3697.42</v>
      </c>
      <c r="I358">
        <v>59206.92</v>
      </c>
      <c r="J358" t="s">
        <v>37</v>
      </c>
      <c r="K358" t="s">
        <v>38</v>
      </c>
      <c r="L358">
        <v>0</v>
      </c>
      <c r="M358">
        <v>0</v>
      </c>
      <c r="N358">
        <v>0</v>
      </c>
      <c r="O358">
        <v>0</v>
      </c>
      <c r="P358">
        <v>0</v>
      </c>
      <c r="Q358">
        <v>588</v>
      </c>
      <c r="R358">
        <v>0.89</v>
      </c>
      <c r="S358" t="s">
        <v>39</v>
      </c>
      <c r="T358" s="1">
        <v>44867</v>
      </c>
      <c r="U358">
        <v>0</v>
      </c>
    </row>
    <row r="359" spans="1:21" x14ac:dyDescent="0.25">
      <c r="A359" t="s">
        <v>406</v>
      </c>
      <c r="B359">
        <v>32</v>
      </c>
      <c r="C359" t="s">
        <v>21</v>
      </c>
      <c r="D359" t="s">
        <v>30</v>
      </c>
      <c r="E359" t="s">
        <v>31</v>
      </c>
      <c r="F359" t="s">
        <v>44</v>
      </c>
      <c r="G359">
        <v>4132.68</v>
      </c>
      <c r="H359">
        <v>1342.39</v>
      </c>
      <c r="I359">
        <v>37854.720000000001</v>
      </c>
      <c r="J359" t="s">
        <v>37</v>
      </c>
      <c r="K359" t="s">
        <v>38</v>
      </c>
      <c r="L359">
        <v>0</v>
      </c>
      <c r="M359">
        <v>0</v>
      </c>
      <c r="N359">
        <v>0</v>
      </c>
      <c r="O359">
        <v>0</v>
      </c>
      <c r="P359">
        <v>0</v>
      </c>
      <c r="Q359">
        <v>743</v>
      </c>
      <c r="R359">
        <v>0.76</v>
      </c>
      <c r="S359" t="s">
        <v>27</v>
      </c>
      <c r="T359" s="1">
        <v>45439</v>
      </c>
      <c r="U359">
        <v>0</v>
      </c>
    </row>
    <row r="360" spans="1:21" x14ac:dyDescent="0.25">
      <c r="A360" t="s">
        <v>407</v>
      </c>
      <c r="B360">
        <v>51</v>
      </c>
      <c r="C360" t="s">
        <v>29</v>
      </c>
      <c r="D360" t="s">
        <v>35</v>
      </c>
      <c r="E360" t="s">
        <v>51</v>
      </c>
      <c r="F360" t="s">
        <v>49</v>
      </c>
      <c r="G360">
        <v>6741.41</v>
      </c>
      <c r="H360">
        <v>5626.67</v>
      </c>
      <c r="I360">
        <v>67534.31</v>
      </c>
      <c r="J360" t="s">
        <v>37</v>
      </c>
      <c r="K360" t="s">
        <v>38</v>
      </c>
      <c r="L360">
        <v>0</v>
      </c>
      <c r="M360">
        <v>0</v>
      </c>
      <c r="N360">
        <v>0</v>
      </c>
      <c r="O360">
        <v>0</v>
      </c>
      <c r="P360">
        <v>0</v>
      </c>
      <c r="Q360">
        <v>524</v>
      </c>
      <c r="R360">
        <v>0.83</v>
      </c>
      <c r="S360" t="s">
        <v>30</v>
      </c>
      <c r="T360" s="1">
        <v>44643</v>
      </c>
      <c r="U360">
        <v>0</v>
      </c>
    </row>
    <row r="361" spans="1:21" x14ac:dyDescent="0.25">
      <c r="A361" t="s">
        <v>408</v>
      </c>
      <c r="B361">
        <v>26</v>
      </c>
      <c r="C361" t="s">
        <v>29</v>
      </c>
      <c r="D361" t="s">
        <v>41</v>
      </c>
      <c r="E361" t="s">
        <v>31</v>
      </c>
      <c r="F361" t="s">
        <v>24</v>
      </c>
      <c r="G361">
        <v>4319.87</v>
      </c>
      <c r="H361">
        <v>1679.06</v>
      </c>
      <c r="I361">
        <v>39694.74</v>
      </c>
      <c r="J361" t="s">
        <v>25</v>
      </c>
      <c r="K361" t="s">
        <v>26</v>
      </c>
      <c r="L361">
        <v>401354.31</v>
      </c>
      <c r="M361">
        <v>180</v>
      </c>
      <c r="N361">
        <v>4889.46</v>
      </c>
      <c r="O361">
        <v>12.28</v>
      </c>
      <c r="P361">
        <v>1.1299999999999999</v>
      </c>
      <c r="Q361">
        <v>747</v>
      </c>
      <c r="R361">
        <v>0.77</v>
      </c>
      <c r="S361" t="s">
        <v>39</v>
      </c>
      <c r="T361" s="1">
        <v>45827</v>
      </c>
      <c r="U361">
        <v>1</v>
      </c>
    </row>
    <row r="362" spans="1:21" x14ac:dyDescent="0.25">
      <c r="A362" t="s">
        <v>409</v>
      </c>
      <c r="B362">
        <v>40</v>
      </c>
      <c r="C362" t="s">
        <v>30</v>
      </c>
      <c r="D362" t="s">
        <v>41</v>
      </c>
      <c r="E362" t="s">
        <v>51</v>
      </c>
      <c r="F362" t="s">
        <v>42</v>
      </c>
      <c r="G362">
        <v>3424.82</v>
      </c>
      <c r="H362">
        <v>2799.79</v>
      </c>
      <c r="I362">
        <v>19144.66</v>
      </c>
      <c r="J362" t="s">
        <v>37</v>
      </c>
      <c r="K362" t="s">
        <v>38</v>
      </c>
      <c r="L362">
        <v>0</v>
      </c>
      <c r="M362">
        <v>0</v>
      </c>
      <c r="N362">
        <v>0</v>
      </c>
      <c r="O362">
        <v>0</v>
      </c>
      <c r="P362">
        <v>0</v>
      </c>
      <c r="Q362">
        <v>381</v>
      </c>
      <c r="R362">
        <v>0.47</v>
      </c>
      <c r="S362" t="s">
        <v>39</v>
      </c>
      <c r="T362" s="1">
        <v>44731</v>
      </c>
      <c r="U362">
        <v>0</v>
      </c>
    </row>
    <row r="363" spans="1:21" x14ac:dyDescent="0.25">
      <c r="A363" t="s">
        <v>410</v>
      </c>
      <c r="B363">
        <v>44</v>
      </c>
      <c r="C363" t="s">
        <v>21</v>
      </c>
      <c r="D363" t="s">
        <v>41</v>
      </c>
      <c r="E363" t="s">
        <v>31</v>
      </c>
      <c r="F363" t="s">
        <v>24</v>
      </c>
      <c r="G363">
        <v>2747.39</v>
      </c>
      <c r="H363">
        <v>1554.08</v>
      </c>
      <c r="I363">
        <v>29263.35</v>
      </c>
      <c r="J363" t="s">
        <v>37</v>
      </c>
      <c r="K363" t="s">
        <v>38</v>
      </c>
      <c r="L363">
        <v>0</v>
      </c>
      <c r="M363">
        <v>0</v>
      </c>
      <c r="N363">
        <v>0</v>
      </c>
      <c r="O363">
        <v>0</v>
      </c>
      <c r="P363">
        <v>0</v>
      </c>
      <c r="Q363">
        <v>559</v>
      </c>
      <c r="R363">
        <v>0.89</v>
      </c>
      <c r="S363" t="s">
        <v>39</v>
      </c>
      <c r="T363" s="1">
        <v>44459</v>
      </c>
      <c r="U363">
        <v>0</v>
      </c>
    </row>
    <row r="364" spans="1:21" x14ac:dyDescent="0.25">
      <c r="A364" t="s">
        <v>411</v>
      </c>
      <c r="B364">
        <v>29</v>
      </c>
      <c r="C364" t="s">
        <v>21</v>
      </c>
      <c r="D364" t="s">
        <v>41</v>
      </c>
      <c r="E364" t="s">
        <v>31</v>
      </c>
      <c r="F364" t="s">
        <v>32</v>
      </c>
      <c r="G364">
        <v>2458.25</v>
      </c>
      <c r="H364">
        <v>1500.63</v>
      </c>
      <c r="I364">
        <v>4240.5200000000004</v>
      </c>
      <c r="J364" t="s">
        <v>25</v>
      </c>
      <c r="K364" t="s">
        <v>54</v>
      </c>
      <c r="L364">
        <v>53730.87</v>
      </c>
      <c r="M364">
        <v>300</v>
      </c>
      <c r="N364">
        <v>306.33</v>
      </c>
      <c r="O364">
        <v>4.75</v>
      </c>
      <c r="P364">
        <v>0.12</v>
      </c>
      <c r="Q364">
        <v>686</v>
      </c>
      <c r="R364">
        <v>0.14000000000000001</v>
      </c>
      <c r="S364" t="s">
        <v>47</v>
      </c>
      <c r="T364" s="1">
        <v>45024</v>
      </c>
      <c r="U364">
        <v>0</v>
      </c>
    </row>
    <row r="365" spans="1:21" x14ac:dyDescent="0.25">
      <c r="A365" t="s">
        <v>412</v>
      </c>
      <c r="B365">
        <v>69</v>
      </c>
      <c r="C365" t="s">
        <v>29</v>
      </c>
      <c r="D365" t="s">
        <v>41</v>
      </c>
      <c r="E365" t="s">
        <v>51</v>
      </c>
      <c r="F365" t="s">
        <v>63</v>
      </c>
      <c r="G365">
        <v>4505.6400000000003</v>
      </c>
      <c r="H365">
        <v>3388.19</v>
      </c>
      <c r="I365">
        <v>33266.61</v>
      </c>
      <c r="J365" t="s">
        <v>37</v>
      </c>
      <c r="K365" t="s">
        <v>38</v>
      </c>
      <c r="L365">
        <v>0</v>
      </c>
      <c r="M365">
        <v>0</v>
      </c>
      <c r="N365">
        <v>0</v>
      </c>
      <c r="O365">
        <v>0</v>
      </c>
      <c r="P365">
        <v>0</v>
      </c>
      <c r="Q365">
        <v>839</v>
      </c>
      <c r="R365">
        <v>0.62</v>
      </c>
      <c r="S365" t="s">
        <v>72</v>
      </c>
      <c r="T365" s="1">
        <v>45251</v>
      </c>
      <c r="U365">
        <v>0</v>
      </c>
    </row>
    <row r="366" spans="1:21" x14ac:dyDescent="0.25">
      <c r="A366" t="s">
        <v>413</v>
      </c>
      <c r="B366">
        <v>67</v>
      </c>
      <c r="C366" t="s">
        <v>21</v>
      </c>
      <c r="D366" t="s">
        <v>41</v>
      </c>
      <c r="E366" t="s">
        <v>31</v>
      </c>
      <c r="F366" t="s">
        <v>44</v>
      </c>
      <c r="G366">
        <v>3652.02</v>
      </c>
      <c r="H366">
        <v>1532.38</v>
      </c>
      <c r="I366">
        <v>20494.32</v>
      </c>
      <c r="J366" t="s">
        <v>37</v>
      </c>
      <c r="K366" t="s">
        <v>38</v>
      </c>
      <c r="L366">
        <v>0</v>
      </c>
      <c r="M366">
        <v>0</v>
      </c>
      <c r="N366">
        <v>0</v>
      </c>
      <c r="O366">
        <v>0</v>
      </c>
      <c r="P366">
        <v>0</v>
      </c>
      <c r="Q366">
        <v>466</v>
      </c>
      <c r="R366">
        <v>0.47</v>
      </c>
      <c r="S366" t="s">
        <v>39</v>
      </c>
      <c r="T366" s="1">
        <v>44889</v>
      </c>
      <c r="U366">
        <v>0</v>
      </c>
    </row>
    <row r="367" spans="1:21" x14ac:dyDescent="0.25">
      <c r="A367" t="s">
        <v>414</v>
      </c>
      <c r="B367">
        <v>55</v>
      </c>
      <c r="C367" t="s">
        <v>29</v>
      </c>
      <c r="D367" t="s">
        <v>35</v>
      </c>
      <c r="E367" t="s">
        <v>31</v>
      </c>
      <c r="F367" t="s">
        <v>52</v>
      </c>
      <c r="G367">
        <v>3530.52</v>
      </c>
      <c r="H367">
        <v>3079.03</v>
      </c>
      <c r="I367">
        <v>10681.07</v>
      </c>
      <c r="J367" t="s">
        <v>25</v>
      </c>
      <c r="K367" t="s">
        <v>33</v>
      </c>
      <c r="L367">
        <v>30067.32</v>
      </c>
      <c r="M367">
        <v>24</v>
      </c>
      <c r="N367">
        <v>1569.95</v>
      </c>
      <c r="O367">
        <v>22.68</v>
      </c>
      <c r="P367">
        <v>0.44</v>
      </c>
      <c r="Q367">
        <v>813</v>
      </c>
      <c r="R367">
        <v>0.25</v>
      </c>
      <c r="S367" t="s">
        <v>72</v>
      </c>
      <c r="T367" s="1">
        <v>44462</v>
      </c>
      <c r="U367">
        <v>1</v>
      </c>
    </row>
    <row r="368" spans="1:21" x14ac:dyDescent="0.25">
      <c r="A368" t="s">
        <v>415</v>
      </c>
      <c r="B368">
        <v>39</v>
      </c>
      <c r="C368" t="s">
        <v>21</v>
      </c>
      <c r="D368" t="s">
        <v>22</v>
      </c>
      <c r="E368" t="s">
        <v>31</v>
      </c>
      <c r="F368" t="s">
        <v>36</v>
      </c>
      <c r="G368">
        <v>4404.4399999999996</v>
      </c>
      <c r="H368">
        <v>1362.43</v>
      </c>
      <c r="I368">
        <v>13616.74</v>
      </c>
      <c r="J368" t="s">
        <v>25</v>
      </c>
      <c r="K368" t="s">
        <v>26</v>
      </c>
      <c r="L368">
        <v>421585.62</v>
      </c>
      <c r="M368">
        <v>120</v>
      </c>
      <c r="N368">
        <v>5819.28</v>
      </c>
      <c r="O368">
        <v>11.05</v>
      </c>
      <c r="P368">
        <v>1.32</v>
      </c>
      <c r="Q368">
        <v>708</v>
      </c>
      <c r="R368">
        <v>0.26</v>
      </c>
      <c r="S368" t="s">
        <v>39</v>
      </c>
      <c r="T368" s="1">
        <v>45583</v>
      </c>
      <c r="U368">
        <v>1</v>
      </c>
    </row>
    <row r="369" spans="1:21" x14ac:dyDescent="0.25">
      <c r="A369" t="s">
        <v>416</v>
      </c>
      <c r="B369">
        <v>36</v>
      </c>
      <c r="C369" t="s">
        <v>21</v>
      </c>
      <c r="D369" t="s">
        <v>41</v>
      </c>
      <c r="E369" t="s">
        <v>31</v>
      </c>
      <c r="F369" t="s">
        <v>52</v>
      </c>
      <c r="G369">
        <v>2143.1</v>
      </c>
      <c r="H369">
        <v>1889.99</v>
      </c>
      <c r="I369">
        <v>12360.21</v>
      </c>
      <c r="J369" t="s">
        <v>37</v>
      </c>
      <c r="K369" t="s">
        <v>38</v>
      </c>
      <c r="L369">
        <v>0</v>
      </c>
      <c r="M369">
        <v>0</v>
      </c>
      <c r="N369">
        <v>0</v>
      </c>
      <c r="O369">
        <v>0</v>
      </c>
      <c r="P369">
        <v>0</v>
      </c>
      <c r="Q369">
        <v>519</v>
      </c>
      <c r="R369">
        <v>0.48</v>
      </c>
      <c r="S369" t="s">
        <v>27</v>
      </c>
      <c r="T369" s="1">
        <v>45180</v>
      </c>
      <c r="U369">
        <v>0</v>
      </c>
    </row>
    <row r="370" spans="1:21" x14ac:dyDescent="0.25">
      <c r="A370" t="s">
        <v>417</v>
      </c>
      <c r="B370">
        <v>61</v>
      </c>
      <c r="C370" t="s">
        <v>21</v>
      </c>
      <c r="D370" t="s">
        <v>56</v>
      </c>
      <c r="E370" t="s">
        <v>31</v>
      </c>
      <c r="F370" t="s">
        <v>42</v>
      </c>
      <c r="G370">
        <v>7400.62</v>
      </c>
      <c r="H370">
        <v>4255.87</v>
      </c>
      <c r="I370">
        <v>52004.44</v>
      </c>
      <c r="J370" t="s">
        <v>37</v>
      </c>
      <c r="K370" t="s">
        <v>38</v>
      </c>
      <c r="L370">
        <v>0</v>
      </c>
      <c r="M370">
        <v>0</v>
      </c>
      <c r="N370">
        <v>0</v>
      </c>
      <c r="O370">
        <v>0</v>
      </c>
      <c r="P370">
        <v>0</v>
      </c>
      <c r="Q370">
        <v>686</v>
      </c>
      <c r="R370">
        <v>0.59</v>
      </c>
      <c r="S370" t="s">
        <v>30</v>
      </c>
      <c r="T370" s="1">
        <v>45750</v>
      </c>
      <c r="U370">
        <v>0</v>
      </c>
    </row>
    <row r="371" spans="1:21" x14ac:dyDescent="0.25">
      <c r="A371" t="s">
        <v>418</v>
      </c>
      <c r="B371">
        <v>29</v>
      </c>
      <c r="C371" t="s">
        <v>29</v>
      </c>
      <c r="D371" t="s">
        <v>22</v>
      </c>
      <c r="E371" t="s">
        <v>51</v>
      </c>
      <c r="F371" t="s">
        <v>32</v>
      </c>
      <c r="G371">
        <v>3118.84</v>
      </c>
      <c r="H371">
        <v>2017.58</v>
      </c>
      <c r="I371">
        <v>7310.44</v>
      </c>
      <c r="J371" t="s">
        <v>37</v>
      </c>
      <c r="K371" t="s">
        <v>38</v>
      </c>
      <c r="L371">
        <v>0</v>
      </c>
      <c r="M371">
        <v>0</v>
      </c>
      <c r="N371">
        <v>0</v>
      </c>
      <c r="O371">
        <v>0</v>
      </c>
      <c r="P371">
        <v>0</v>
      </c>
      <c r="Q371">
        <v>611</v>
      </c>
      <c r="R371">
        <v>0.2</v>
      </c>
      <c r="S371" t="s">
        <v>30</v>
      </c>
      <c r="T371" s="1">
        <v>45083</v>
      </c>
      <c r="U371">
        <v>0</v>
      </c>
    </row>
    <row r="372" spans="1:21" x14ac:dyDescent="0.25">
      <c r="A372" t="s">
        <v>419</v>
      </c>
      <c r="B372">
        <v>44</v>
      </c>
      <c r="C372" t="s">
        <v>21</v>
      </c>
      <c r="D372" t="s">
        <v>22</v>
      </c>
      <c r="E372" t="s">
        <v>31</v>
      </c>
      <c r="F372" t="s">
        <v>52</v>
      </c>
      <c r="G372">
        <v>3943.83</v>
      </c>
      <c r="H372">
        <v>3221.34</v>
      </c>
      <c r="I372">
        <v>21983.5</v>
      </c>
      <c r="J372" t="s">
        <v>37</v>
      </c>
      <c r="K372" t="s">
        <v>38</v>
      </c>
      <c r="L372">
        <v>0</v>
      </c>
      <c r="M372">
        <v>0</v>
      </c>
      <c r="N372">
        <v>0</v>
      </c>
      <c r="O372">
        <v>0</v>
      </c>
      <c r="P372">
        <v>0</v>
      </c>
      <c r="Q372">
        <v>344</v>
      </c>
      <c r="R372">
        <v>0.46</v>
      </c>
      <c r="S372" t="s">
        <v>72</v>
      </c>
      <c r="T372" s="1">
        <v>45240</v>
      </c>
      <c r="U372">
        <v>0</v>
      </c>
    </row>
    <row r="373" spans="1:21" x14ac:dyDescent="0.25">
      <c r="A373" t="s">
        <v>420</v>
      </c>
      <c r="B373">
        <v>19</v>
      </c>
      <c r="C373" t="s">
        <v>29</v>
      </c>
      <c r="D373" t="s">
        <v>35</v>
      </c>
      <c r="E373" t="s">
        <v>31</v>
      </c>
      <c r="F373" t="s">
        <v>44</v>
      </c>
      <c r="G373">
        <v>9642.98</v>
      </c>
      <c r="H373">
        <v>6187.31</v>
      </c>
      <c r="I373">
        <v>107440.93</v>
      </c>
      <c r="J373" t="s">
        <v>37</v>
      </c>
      <c r="K373" t="s">
        <v>38</v>
      </c>
      <c r="L373">
        <v>0</v>
      </c>
      <c r="M373">
        <v>0</v>
      </c>
      <c r="N373">
        <v>0</v>
      </c>
      <c r="O373">
        <v>0</v>
      </c>
      <c r="P373">
        <v>0</v>
      </c>
      <c r="Q373">
        <v>512</v>
      </c>
      <c r="R373">
        <v>0.93</v>
      </c>
      <c r="S373" t="s">
        <v>30</v>
      </c>
      <c r="T373" s="1">
        <v>44404</v>
      </c>
      <c r="U373">
        <v>0</v>
      </c>
    </row>
    <row r="374" spans="1:21" x14ac:dyDescent="0.25">
      <c r="A374" t="s">
        <v>421</v>
      </c>
      <c r="B374">
        <v>27</v>
      </c>
      <c r="C374" t="s">
        <v>21</v>
      </c>
      <c r="D374" t="s">
        <v>22</v>
      </c>
      <c r="E374" t="s">
        <v>31</v>
      </c>
      <c r="F374" t="s">
        <v>23</v>
      </c>
      <c r="G374">
        <v>3652.35</v>
      </c>
      <c r="H374">
        <v>2538.15</v>
      </c>
      <c r="I374">
        <v>7664.58</v>
      </c>
      <c r="J374" t="s">
        <v>37</v>
      </c>
      <c r="K374" t="s">
        <v>38</v>
      </c>
      <c r="L374">
        <v>0</v>
      </c>
      <c r="M374">
        <v>0</v>
      </c>
      <c r="N374">
        <v>0</v>
      </c>
      <c r="O374">
        <v>0</v>
      </c>
      <c r="P374">
        <v>0</v>
      </c>
      <c r="Q374">
        <v>337</v>
      </c>
      <c r="R374">
        <v>0.17</v>
      </c>
      <c r="S374" t="s">
        <v>47</v>
      </c>
      <c r="T374" s="1">
        <v>44513</v>
      </c>
      <c r="U374">
        <v>0</v>
      </c>
    </row>
    <row r="375" spans="1:21" x14ac:dyDescent="0.25">
      <c r="A375" t="s">
        <v>422</v>
      </c>
      <c r="B375">
        <v>37</v>
      </c>
      <c r="C375" t="s">
        <v>21</v>
      </c>
      <c r="D375" t="s">
        <v>35</v>
      </c>
      <c r="E375" t="s">
        <v>31</v>
      </c>
      <c r="F375" t="s">
        <v>52</v>
      </c>
      <c r="G375">
        <v>4818.28</v>
      </c>
      <c r="H375">
        <v>3518.04</v>
      </c>
      <c r="I375">
        <v>47317.64</v>
      </c>
      <c r="J375" t="s">
        <v>25</v>
      </c>
      <c r="K375" t="s">
        <v>45</v>
      </c>
      <c r="L375">
        <v>403694.02</v>
      </c>
      <c r="M375">
        <v>120</v>
      </c>
      <c r="N375">
        <v>9175.2199999999993</v>
      </c>
      <c r="O375">
        <v>24.97</v>
      </c>
      <c r="P375">
        <v>1.9</v>
      </c>
      <c r="Q375">
        <v>755</v>
      </c>
      <c r="R375">
        <v>0.82</v>
      </c>
      <c r="S375" t="s">
        <v>30</v>
      </c>
      <c r="T375" s="1">
        <v>45340</v>
      </c>
      <c r="U375">
        <v>1</v>
      </c>
    </row>
    <row r="376" spans="1:21" x14ac:dyDescent="0.25">
      <c r="A376" t="s">
        <v>423</v>
      </c>
      <c r="B376">
        <v>23</v>
      </c>
      <c r="C376" t="s">
        <v>21</v>
      </c>
      <c r="D376" t="s">
        <v>30</v>
      </c>
      <c r="E376" t="s">
        <v>23</v>
      </c>
      <c r="F376" t="s">
        <v>52</v>
      </c>
      <c r="G376">
        <v>2666.27</v>
      </c>
      <c r="H376">
        <v>838.1</v>
      </c>
      <c r="I376">
        <v>7657.55</v>
      </c>
      <c r="J376" t="s">
        <v>25</v>
      </c>
      <c r="K376" t="s">
        <v>33</v>
      </c>
      <c r="L376">
        <v>40431.14</v>
      </c>
      <c r="M376">
        <v>60</v>
      </c>
      <c r="N376">
        <v>1305.8499999999999</v>
      </c>
      <c r="O376">
        <v>29.91</v>
      </c>
      <c r="P376">
        <v>0.49</v>
      </c>
      <c r="Q376">
        <v>733</v>
      </c>
      <c r="R376">
        <v>0.24</v>
      </c>
      <c r="S376" t="s">
        <v>47</v>
      </c>
      <c r="T376" s="1">
        <v>44852</v>
      </c>
      <c r="U376">
        <v>1</v>
      </c>
    </row>
    <row r="377" spans="1:21" x14ac:dyDescent="0.25">
      <c r="A377" t="s">
        <v>424</v>
      </c>
      <c r="B377">
        <v>59</v>
      </c>
      <c r="C377" t="s">
        <v>21</v>
      </c>
      <c r="D377" t="s">
        <v>35</v>
      </c>
      <c r="E377" t="s">
        <v>31</v>
      </c>
      <c r="F377" t="s">
        <v>36</v>
      </c>
      <c r="G377">
        <v>4894.66</v>
      </c>
      <c r="H377">
        <v>3877</v>
      </c>
      <c r="I377">
        <v>21968.37</v>
      </c>
      <c r="J377" t="s">
        <v>37</v>
      </c>
      <c r="K377" t="s">
        <v>38</v>
      </c>
      <c r="L377">
        <v>0</v>
      </c>
      <c r="M377">
        <v>0</v>
      </c>
      <c r="N377">
        <v>0</v>
      </c>
      <c r="O377">
        <v>0</v>
      </c>
      <c r="P377">
        <v>0</v>
      </c>
      <c r="Q377">
        <v>521</v>
      </c>
      <c r="R377">
        <v>0.37</v>
      </c>
      <c r="S377" t="s">
        <v>39</v>
      </c>
      <c r="T377" s="1">
        <v>45593</v>
      </c>
      <c r="U377">
        <v>0</v>
      </c>
    </row>
    <row r="378" spans="1:21" x14ac:dyDescent="0.25">
      <c r="A378" t="s">
        <v>425</v>
      </c>
      <c r="B378">
        <v>30</v>
      </c>
      <c r="C378" t="s">
        <v>21</v>
      </c>
      <c r="D378" t="s">
        <v>22</v>
      </c>
      <c r="E378" t="s">
        <v>51</v>
      </c>
      <c r="F378" t="s">
        <v>42</v>
      </c>
      <c r="G378">
        <v>6428.21</v>
      </c>
      <c r="H378">
        <v>4261.3</v>
      </c>
      <c r="I378">
        <v>28610.45</v>
      </c>
      <c r="J378" t="s">
        <v>37</v>
      </c>
      <c r="K378" t="s">
        <v>38</v>
      </c>
      <c r="L378">
        <v>0</v>
      </c>
      <c r="M378">
        <v>0</v>
      </c>
      <c r="N378">
        <v>0</v>
      </c>
      <c r="O378">
        <v>0</v>
      </c>
      <c r="P378">
        <v>0</v>
      </c>
      <c r="Q378">
        <v>466</v>
      </c>
      <c r="R378">
        <v>0.37</v>
      </c>
      <c r="S378" t="s">
        <v>27</v>
      </c>
      <c r="T378" s="1">
        <v>45592</v>
      </c>
      <c r="U378">
        <v>0</v>
      </c>
    </row>
    <row r="379" spans="1:21" x14ac:dyDescent="0.25">
      <c r="A379" t="s">
        <v>426</v>
      </c>
      <c r="B379">
        <v>53</v>
      </c>
      <c r="C379" t="s">
        <v>29</v>
      </c>
      <c r="D379" t="s">
        <v>41</v>
      </c>
      <c r="E379" t="s">
        <v>31</v>
      </c>
      <c r="F379" t="s">
        <v>42</v>
      </c>
      <c r="G379">
        <v>5047.0200000000004</v>
      </c>
      <c r="H379">
        <v>3582.86</v>
      </c>
      <c r="I379">
        <v>45278.58</v>
      </c>
      <c r="J379" t="s">
        <v>37</v>
      </c>
      <c r="K379" t="s">
        <v>38</v>
      </c>
      <c r="L379">
        <v>0</v>
      </c>
      <c r="M379">
        <v>0</v>
      </c>
      <c r="N379">
        <v>0</v>
      </c>
      <c r="O379">
        <v>0</v>
      </c>
      <c r="P379">
        <v>0</v>
      </c>
      <c r="Q379">
        <v>373</v>
      </c>
      <c r="R379">
        <v>0.75</v>
      </c>
      <c r="S379" t="s">
        <v>39</v>
      </c>
      <c r="T379" s="1">
        <v>44674</v>
      </c>
      <c r="U379">
        <v>0</v>
      </c>
    </row>
    <row r="380" spans="1:21" x14ac:dyDescent="0.25">
      <c r="A380" t="s">
        <v>427</v>
      </c>
      <c r="B380">
        <v>46</v>
      </c>
      <c r="C380" t="s">
        <v>29</v>
      </c>
      <c r="D380" t="s">
        <v>41</v>
      </c>
      <c r="E380" t="s">
        <v>51</v>
      </c>
      <c r="F380" t="s">
        <v>23</v>
      </c>
      <c r="G380">
        <v>3189.71</v>
      </c>
      <c r="H380">
        <v>2481.56</v>
      </c>
      <c r="I380">
        <v>11167.97</v>
      </c>
      <c r="J380" t="s">
        <v>25</v>
      </c>
      <c r="K380" t="s">
        <v>54</v>
      </c>
      <c r="L380">
        <v>25759.03</v>
      </c>
      <c r="M380">
        <v>60</v>
      </c>
      <c r="N380">
        <v>513.59</v>
      </c>
      <c r="O380">
        <v>7.29</v>
      </c>
      <c r="P380">
        <v>0.16</v>
      </c>
      <c r="Q380">
        <v>452</v>
      </c>
      <c r="R380">
        <v>0.28999999999999998</v>
      </c>
      <c r="S380" t="s">
        <v>39</v>
      </c>
      <c r="T380" s="1">
        <v>44551</v>
      </c>
      <c r="U380">
        <v>0</v>
      </c>
    </row>
    <row r="381" spans="1:21" x14ac:dyDescent="0.25">
      <c r="A381" t="s">
        <v>428</v>
      </c>
      <c r="B381">
        <v>68</v>
      </c>
      <c r="C381" t="s">
        <v>21</v>
      </c>
      <c r="D381" t="s">
        <v>41</v>
      </c>
      <c r="E381" t="s">
        <v>51</v>
      </c>
      <c r="F381" t="s">
        <v>36</v>
      </c>
      <c r="G381">
        <v>3815.8</v>
      </c>
      <c r="H381">
        <v>2397.06</v>
      </c>
      <c r="I381">
        <v>23335.13</v>
      </c>
      <c r="J381" t="s">
        <v>37</v>
      </c>
      <c r="K381" t="s">
        <v>38</v>
      </c>
      <c r="L381">
        <v>0</v>
      </c>
      <c r="M381">
        <v>0</v>
      </c>
      <c r="N381">
        <v>0</v>
      </c>
      <c r="O381">
        <v>0</v>
      </c>
      <c r="P381">
        <v>0</v>
      </c>
      <c r="Q381">
        <v>431</v>
      </c>
      <c r="R381">
        <v>0.51</v>
      </c>
      <c r="S381" t="s">
        <v>30</v>
      </c>
      <c r="T381" s="1">
        <v>44890</v>
      </c>
      <c r="U381">
        <v>0</v>
      </c>
    </row>
    <row r="382" spans="1:21" x14ac:dyDescent="0.25">
      <c r="A382" t="s">
        <v>429</v>
      </c>
      <c r="B382">
        <v>57</v>
      </c>
      <c r="C382" t="s">
        <v>29</v>
      </c>
      <c r="D382" t="s">
        <v>41</v>
      </c>
      <c r="E382" t="s">
        <v>31</v>
      </c>
      <c r="F382" t="s">
        <v>32</v>
      </c>
      <c r="G382">
        <v>2326.16</v>
      </c>
      <c r="H382">
        <v>1386.47</v>
      </c>
      <c r="I382">
        <v>16548.419999999998</v>
      </c>
      <c r="J382" t="s">
        <v>37</v>
      </c>
      <c r="K382" t="s">
        <v>38</v>
      </c>
      <c r="L382">
        <v>0</v>
      </c>
      <c r="M382">
        <v>0</v>
      </c>
      <c r="N382">
        <v>0</v>
      </c>
      <c r="O382">
        <v>0</v>
      </c>
      <c r="P382">
        <v>0</v>
      </c>
      <c r="Q382">
        <v>636</v>
      </c>
      <c r="R382">
        <v>0.59</v>
      </c>
      <c r="S382" t="s">
        <v>27</v>
      </c>
      <c r="T382" s="1">
        <v>45671</v>
      </c>
      <c r="U382">
        <v>0</v>
      </c>
    </row>
    <row r="383" spans="1:21" x14ac:dyDescent="0.25">
      <c r="A383" t="s">
        <v>430</v>
      </c>
      <c r="B383">
        <v>31</v>
      </c>
      <c r="C383" t="s">
        <v>21</v>
      </c>
      <c r="D383" t="s">
        <v>22</v>
      </c>
      <c r="E383" t="s">
        <v>31</v>
      </c>
      <c r="F383" t="s">
        <v>32</v>
      </c>
      <c r="G383">
        <v>5766.22</v>
      </c>
      <c r="H383">
        <v>4739.91</v>
      </c>
      <c r="I383">
        <v>20307.02</v>
      </c>
      <c r="J383" t="s">
        <v>37</v>
      </c>
      <c r="K383" t="s">
        <v>38</v>
      </c>
      <c r="L383">
        <v>0</v>
      </c>
      <c r="M383">
        <v>0</v>
      </c>
      <c r="N383">
        <v>0</v>
      </c>
      <c r="O383">
        <v>0</v>
      </c>
      <c r="P383">
        <v>0</v>
      </c>
      <c r="Q383">
        <v>825</v>
      </c>
      <c r="R383">
        <v>0.28999999999999998</v>
      </c>
      <c r="S383" t="s">
        <v>30</v>
      </c>
      <c r="T383" s="1">
        <v>44411</v>
      </c>
      <c r="U383">
        <v>0</v>
      </c>
    </row>
    <row r="384" spans="1:21" x14ac:dyDescent="0.25">
      <c r="A384" t="s">
        <v>431</v>
      </c>
      <c r="B384">
        <v>55</v>
      </c>
      <c r="C384" t="s">
        <v>29</v>
      </c>
      <c r="D384" t="s">
        <v>41</v>
      </c>
      <c r="E384" t="s">
        <v>31</v>
      </c>
      <c r="F384" t="s">
        <v>23</v>
      </c>
      <c r="G384">
        <v>4087.86</v>
      </c>
      <c r="H384">
        <v>2917.7</v>
      </c>
      <c r="I384">
        <v>40222.1</v>
      </c>
      <c r="J384" t="s">
        <v>37</v>
      </c>
      <c r="K384" t="s">
        <v>38</v>
      </c>
      <c r="L384">
        <v>0</v>
      </c>
      <c r="M384">
        <v>0</v>
      </c>
      <c r="N384">
        <v>0</v>
      </c>
      <c r="O384">
        <v>0</v>
      </c>
      <c r="P384">
        <v>0</v>
      </c>
      <c r="Q384">
        <v>469</v>
      </c>
      <c r="R384">
        <v>0.82</v>
      </c>
      <c r="S384" t="s">
        <v>72</v>
      </c>
      <c r="T384" s="1">
        <v>45324</v>
      </c>
      <c r="U384">
        <v>0</v>
      </c>
    </row>
    <row r="385" spans="1:21" x14ac:dyDescent="0.25">
      <c r="A385" t="s">
        <v>432</v>
      </c>
      <c r="B385">
        <v>36</v>
      </c>
      <c r="C385" t="s">
        <v>21</v>
      </c>
      <c r="D385" t="s">
        <v>41</v>
      </c>
      <c r="E385" t="s">
        <v>31</v>
      </c>
      <c r="F385" t="s">
        <v>42</v>
      </c>
      <c r="G385">
        <v>3645.65</v>
      </c>
      <c r="H385">
        <v>3227.36</v>
      </c>
      <c r="I385">
        <v>19903.32</v>
      </c>
      <c r="J385" t="s">
        <v>37</v>
      </c>
      <c r="K385" t="s">
        <v>38</v>
      </c>
      <c r="L385">
        <v>0</v>
      </c>
      <c r="M385">
        <v>0</v>
      </c>
      <c r="N385">
        <v>0</v>
      </c>
      <c r="O385">
        <v>0</v>
      </c>
      <c r="P385">
        <v>0</v>
      </c>
      <c r="Q385">
        <v>724</v>
      </c>
      <c r="R385">
        <v>0.45</v>
      </c>
      <c r="S385" t="s">
        <v>39</v>
      </c>
      <c r="T385" s="1">
        <v>44824</v>
      </c>
      <c r="U385">
        <v>0</v>
      </c>
    </row>
    <row r="386" spans="1:21" x14ac:dyDescent="0.25">
      <c r="A386" t="s">
        <v>433</v>
      </c>
      <c r="B386">
        <v>68</v>
      </c>
      <c r="C386" t="s">
        <v>29</v>
      </c>
      <c r="D386" t="s">
        <v>41</v>
      </c>
      <c r="E386" t="s">
        <v>31</v>
      </c>
      <c r="F386" t="s">
        <v>49</v>
      </c>
      <c r="G386">
        <v>4126.87</v>
      </c>
      <c r="H386">
        <v>2981.68</v>
      </c>
      <c r="I386">
        <v>6737.44</v>
      </c>
      <c r="J386" t="s">
        <v>37</v>
      </c>
      <c r="K386" t="s">
        <v>38</v>
      </c>
      <c r="L386">
        <v>0</v>
      </c>
      <c r="M386">
        <v>0</v>
      </c>
      <c r="N386">
        <v>0</v>
      </c>
      <c r="O386">
        <v>0</v>
      </c>
      <c r="P386">
        <v>0</v>
      </c>
      <c r="Q386">
        <v>312</v>
      </c>
      <c r="R386">
        <v>0.14000000000000001</v>
      </c>
      <c r="S386" t="s">
        <v>39</v>
      </c>
      <c r="T386" s="1">
        <v>45500</v>
      </c>
      <c r="U386">
        <v>0</v>
      </c>
    </row>
    <row r="387" spans="1:21" x14ac:dyDescent="0.25">
      <c r="A387" t="s">
        <v>434</v>
      </c>
      <c r="B387">
        <v>35</v>
      </c>
      <c r="C387" t="s">
        <v>21</v>
      </c>
      <c r="D387" t="s">
        <v>35</v>
      </c>
      <c r="E387" t="s">
        <v>31</v>
      </c>
      <c r="F387" t="s">
        <v>63</v>
      </c>
      <c r="G387">
        <v>2100.5300000000002</v>
      </c>
      <c r="H387">
        <v>647.58000000000004</v>
      </c>
      <c r="I387">
        <v>21690.52</v>
      </c>
      <c r="J387" t="s">
        <v>37</v>
      </c>
      <c r="K387" t="s">
        <v>38</v>
      </c>
      <c r="L387">
        <v>0</v>
      </c>
      <c r="M387">
        <v>0</v>
      </c>
      <c r="N387">
        <v>0</v>
      </c>
      <c r="O387">
        <v>0</v>
      </c>
      <c r="P387">
        <v>0</v>
      </c>
      <c r="Q387">
        <v>786</v>
      </c>
      <c r="R387">
        <v>0.86</v>
      </c>
      <c r="S387" t="s">
        <v>72</v>
      </c>
      <c r="T387" s="1">
        <v>44940</v>
      </c>
      <c r="U387">
        <v>0</v>
      </c>
    </row>
    <row r="388" spans="1:21" x14ac:dyDescent="0.25">
      <c r="A388" t="s">
        <v>435</v>
      </c>
      <c r="B388">
        <v>34</v>
      </c>
      <c r="C388" t="s">
        <v>21</v>
      </c>
      <c r="D388" t="s">
        <v>41</v>
      </c>
      <c r="E388" t="s">
        <v>51</v>
      </c>
      <c r="F388" t="s">
        <v>44</v>
      </c>
      <c r="G388">
        <v>4495.97</v>
      </c>
      <c r="H388">
        <v>3049.7</v>
      </c>
      <c r="I388">
        <v>30861.74</v>
      </c>
      <c r="J388" t="s">
        <v>37</v>
      </c>
      <c r="K388" t="s">
        <v>38</v>
      </c>
      <c r="L388">
        <v>0</v>
      </c>
      <c r="M388">
        <v>0</v>
      </c>
      <c r="N388">
        <v>0</v>
      </c>
      <c r="O388">
        <v>0</v>
      </c>
      <c r="P388">
        <v>0</v>
      </c>
      <c r="Q388">
        <v>590</v>
      </c>
      <c r="R388">
        <v>0.56999999999999995</v>
      </c>
      <c r="S388" t="s">
        <v>30</v>
      </c>
      <c r="T388" s="1">
        <v>45839</v>
      </c>
      <c r="U388">
        <v>0</v>
      </c>
    </row>
    <row r="389" spans="1:21" x14ac:dyDescent="0.25">
      <c r="A389" t="s">
        <v>436</v>
      </c>
      <c r="B389">
        <v>65</v>
      </c>
      <c r="C389" t="s">
        <v>21</v>
      </c>
      <c r="D389" t="s">
        <v>22</v>
      </c>
      <c r="E389" t="s">
        <v>23</v>
      </c>
      <c r="F389" t="s">
        <v>49</v>
      </c>
      <c r="G389">
        <v>2431.1799999999998</v>
      </c>
      <c r="H389">
        <v>1082.49</v>
      </c>
      <c r="I389">
        <v>3631.84</v>
      </c>
      <c r="J389" t="s">
        <v>37</v>
      </c>
      <c r="K389" t="s">
        <v>38</v>
      </c>
      <c r="L389">
        <v>0</v>
      </c>
      <c r="M389">
        <v>0</v>
      </c>
      <c r="N389">
        <v>0</v>
      </c>
      <c r="O389">
        <v>0</v>
      </c>
      <c r="P389">
        <v>0</v>
      </c>
      <c r="Q389">
        <v>835</v>
      </c>
      <c r="R389">
        <v>0.12</v>
      </c>
      <c r="S389" t="s">
        <v>27</v>
      </c>
      <c r="T389" s="1">
        <v>45301</v>
      </c>
      <c r="U389">
        <v>0</v>
      </c>
    </row>
    <row r="390" spans="1:21" x14ac:dyDescent="0.25">
      <c r="A390" t="s">
        <v>437</v>
      </c>
      <c r="B390">
        <v>45</v>
      </c>
      <c r="C390" t="s">
        <v>29</v>
      </c>
      <c r="D390" t="s">
        <v>41</v>
      </c>
      <c r="E390" t="s">
        <v>23</v>
      </c>
      <c r="F390" t="s">
        <v>32</v>
      </c>
      <c r="G390">
        <v>3240.94</v>
      </c>
      <c r="H390">
        <v>2336.0700000000002</v>
      </c>
      <c r="I390">
        <v>31361.15</v>
      </c>
      <c r="J390" t="s">
        <v>37</v>
      </c>
      <c r="K390" t="s">
        <v>38</v>
      </c>
      <c r="L390">
        <v>0</v>
      </c>
      <c r="M390">
        <v>0</v>
      </c>
      <c r="N390">
        <v>0</v>
      </c>
      <c r="O390">
        <v>0</v>
      </c>
      <c r="P390">
        <v>0</v>
      </c>
      <c r="Q390">
        <v>648</v>
      </c>
      <c r="R390">
        <v>0.81</v>
      </c>
      <c r="S390" t="s">
        <v>72</v>
      </c>
      <c r="T390" s="1">
        <v>45142</v>
      </c>
      <c r="U390">
        <v>0</v>
      </c>
    </row>
    <row r="391" spans="1:21" x14ac:dyDescent="0.25">
      <c r="A391" t="s">
        <v>438</v>
      </c>
      <c r="B391">
        <v>39</v>
      </c>
      <c r="C391" t="s">
        <v>30</v>
      </c>
      <c r="D391" t="s">
        <v>22</v>
      </c>
      <c r="E391" t="s">
        <v>31</v>
      </c>
      <c r="F391" t="s">
        <v>24</v>
      </c>
      <c r="G391">
        <v>4220.7299999999996</v>
      </c>
      <c r="H391">
        <v>2216.67</v>
      </c>
      <c r="I391">
        <v>37300.660000000003</v>
      </c>
      <c r="J391" t="s">
        <v>37</v>
      </c>
      <c r="K391" t="s">
        <v>38</v>
      </c>
      <c r="L391">
        <v>0</v>
      </c>
      <c r="M391">
        <v>0</v>
      </c>
      <c r="N391">
        <v>0</v>
      </c>
      <c r="O391">
        <v>0</v>
      </c>
      <c r="P391">
        <v>0</v>
      </c>
      <c r="Q391">
        <v>504</v>
      </c>
      <c r="R391">
        <v>0.74</v>
      </c>
      <c r="S391" t="s">
        <v>27</v>
      </c>
      <c r="T391" s="1">
        <v>44881</v>
      </c>
      <c r="U391">
        <v>0</v>
      </c>
    </row>
    <row r="392" spans="1:21" x14ac:dyDescent="0.25">
      <c r="A392" t="s">
        <v>439</v>
      </c>
      <c r="B392">
        <v>29</v>
      </c>
      <c r="C392" t="s">
        <v>21</v>
      </c>
      <c r="D392" t="s">
        <v>41</v>
      </c>
      <c r="E392" t="s">
        <v>31</v>
      </c>
      <c r="F392" t="s">
        <v>42</v>
      </c>
      <c r="G392">
        <v>5451.91</v>
      </c>
      <c r="H392">
        <v>4821.34</v>
      </c>
      <c r="I392">
        <v>26219.16</v>
      </c>
      <c r="J392" t="s">
        <v>25</v>
      </c>
      <c r="K392" t="s">
        <v>54</v>
      </c>
      <c r="L392">
        <v>185080.79</v>
      </c>
      <c r="M392">
        <v>360</v>
      </c>
      <c r="N392">
        <v>1179.5899999999999</v>
      </c>
      <c r="O392">
        <v>6.58</v>
      </c>
      <c r="P392">
        <v>0.22</v>
      </c>
      <c r="Q392">
        <v>372</v>
      </c>
      <c r="R392">
        <v>0.4</v>
      </c>
      <c r="S392" t="s">
        <v>27</v>
      </c>
      <c r="T392" s="1">
        <v>44601</v>
      </c>
      <c r="U392">
        <v>0</v>
      </c>
    </row>
    <row r="393" spans="1:21" x14ac:dyDescent="0.25">
      <c r="A393" t="s">
        <v>440</v>
      </c>
      <c r="B393">
        <v>65</v>
      </c>
      <c r="C393" t="s">
        <v>29</v>
      </c>
      <c r="D393" t="s">
        <v>35</v>
      </c>
      <c r="E393" t="s">
        <v>51</v>
      </c>
      <c r="F393" t="s">
        <v>49</v>
      </c>
      <c r="G393">
        <v>1922.23</v>
      </c>
      <c r="H393">
        <v>1174.78</v>
      </c>
      <c r="I393">
        <v>11623.7</v>
      </c>
      <c r="J393" t="s">
        <v>25</v>
      </c>
      <c r="K393" t="s">
        <v>45</v>
      </c>
      <c r="L393">
        <v>170445.77</v>
      </c>
      <c r="M393">
        <v>240</v>
      </c>
      <c r="N393">
        <v>1866.07</v>
      </c>
      <c r="O393">
        <v>11.91</v>
      </c>
      <c r="P393">
        <v>0.97</v>
      </c>
      <c r="Q393">
        <v>807</v>
      </c>
      <c r="R393">
        <v>0.5</v>
      </c>
      <c r="S393" t="s">
        <v>47</v>
      </c>
      <c r="T393" s="1">
        <v>45190</v>
      </c>
      <c r="U393">
        <v>1</v>
      </c>
    </row>
    <row r="394" spans="1:21" x14ac:dyDescent="0.25">
      <c r="A394" t="s">
        <v>441</v>
      </c>
      <c r="B394">
        <v>69</v>
      </c>
      <c r="C394" t="s">
        <v>21</v>
      </c>
      <c r="D394" t="s">
        <v>41</v>
      </c>
      <c r="E394" t="s">
        <v>51</v>
      </c>
      <c r="F394" t="s">
        <v>63</v>
      </c>
      <c r="G394">
        <v>4102.62</v>
      </c>
      <c r="H394">
        <v>3485.27</v>
      </c>
      <c r="I394">
        <v>10675.66</v>
      </c>
      <c r="J394" t="s">
        <v>37</v>
      </c>
      <c r="K394" t="s">
        <v>38</v>
      </c>
      <c r="L394">
        <v>0</v>
      </c>
      <c r="M394">
        <v>0</v>
      </c>
      <c r="N394">
        <v>0</v>
      </c>
      <c r="O394">
        <v>0</v>
      </c>
      <c r="P394">
        <v>0</v>
      </c>
      <c r="Q394">
        <v>335</v>
      </c>
      <c r="R394">
        <v>0.22</v>
      </c>
      <c r="S394" t="s">
        <v>27</v>
      </c>
      <c r="T394" s="1">
        <v>44548</v>
      </c>
      <c r="U394">
        <v>0</v>
      </c>
    </row>
    <row r="395" spans="1:21" x14ac:dyDescent="0.25">
      <c r="A395" t="s">
        <v>442</v>
      </c>
      <c r="B395">
        <v>22</v>
      </c>
      <c r="C395" t="s">
        <v>29</v>
      </c>
      <c r="D395" t="s">
        <v>41</v>
      </c>
      <c r="E395" t="s">
        <v>31</v>
      </c>
      <c r="F395" t="s">
        <v>44</v>
      </c>
      <c r="G395">
        <v>5730.99</v>
      </c>
      <c r="H395">
        <v>2506.2199999999998</v>
      </c>
      <c r="I395">
        <v>8360.1299999999992</v>
      </c>
      <c r="J395" t="s">
        <v>37</v>
      </c>
      <c r="K395" t="s">
        <v>38</v>
      </c>
      <c r="L395">
        <v>0</v>
      </c>
      <c r="M395">
        <v>0</v>
      </c>
      <c r="N395">
        <v>0</v>
      </c>
      <c r="O395">
        <v>0</v>
      </c>
      <c r="P395">
        <v>0</v>
      </c>
      <c r="Q395">
        <v>330</v>
      </c>
      <c r="R395">
        <v>0.12</v>
      </c>
      <c r="S395" t="s">
        <v>72</v>
      </c>
      <c r="T395" s="1">
        <v>44937</v>
      </c>
      <c r="U395">
        <v>0</v>
      </c>
    </row>
    <row r="396" spans="1:21" x14ac:dyDescent="0.25">
      <c r="A396" t="s">
        <v>443</v>
      </c>
      <c r="B396">
        <v>27</v>
      </c>
      <c r="C396" t="s">
        <v>21</v>
      </c>
      <c r="D396" t="s">
        <v>41</v>
      </c>
      <c r="E396" t="s">
        <v>49</v>
      </c>
      <c r="F396" t="s">
        <v>49</v>
      </c>
      <c r="G396">
        <v>4228.1499999999996</v>
      </c>
      <c r="H396">
        <v>2063.71</v>
      </c>
      <c r="I396">
        <v>13091.42</v>
      </c>
      <c r="J396" t="s">
        <v>37</v>
      </c>
      <c r="K396" t="s">
        <v>38</v>
      </c>
      <c r="L396">
        <v>0</v>
      </c>
      <c r="M396">
        <v>0</v>
      </c>
      <c r="N396">
        <v>0</v>
      </c>
      <c r="O396">
        <v>0</v>
      </c>
      <c r="P396">
        <v>0</v>
      </c>
      <c r="Q396">
        <v>815</v>
      </c>
      <c r="R396">
        <v>0.26</v>
      </c>
      <c r="S396" t="s">
        <v>72</v>
      </c>
      <c r="T396" s="1">
        <v>45722</v>
      </c>
      <c r="U396">
        <v>0</v>
      </c>
    </row>
    <row r="397" spans="1:21" x14ac:dyDescent="0.25">
      <c r="A397" t="s">
        <v>444</v>
      </c>
      <c r="B397">
        <v>66</v>
      </c>
      <c r="C397" t="s">
        <v>21</v>
      </c>
      <c r="D397" t="s">
        <v>41</v>
      </c>
      <c r="E397" t="s">
        <v>23</v>
      </c>
      <c r="F397" t="s">
        <v>36</v>
      </c>
      <c r="G397">
        <v>5161.62</v>
      </c>
      <c r="H397">
        <v>3649.56</v>
      </c>
      <c r="I397">
        <v>24767.87</v>
      </c>
      <c r="J397" t="s">
        <v>37</v>
      </c>
      <c r="K397" t="s">
        <v>38</v>
      </c>
      <c r="L397">
        <v>0</v>
      </c>
      <c r="M397">
        <v>0</v>
      </c>
      <c r="N397">
        <v>0</v>
      </c>
      <c r="O397">
        <v>0</v>
      </c>
      <c r="P397">
        <v>0</v>
      </c>
      <c r="Q397">
        <v>514</v>
      </c>
      <c r="R397">
        <v>0.4</v>
      </c>
      <c r="S397" t="s">
        <v>27</v>
      </c>
      <c r="T397" s="1">
        <v>45111</v>
      </c>
      <c r="U397">
        <v>0</v>
      </c>
    </row>
    <row r="398" spans="1:21" x14ac:dyDescent="0.25">
      <c r="A398" t="s">
        <v>445</v>
      </c>
      <c r="B398">
        <v>26</v>
      </c>
      <c r="C398" t="s">
        <v>29</v>
      </c>
      <c r="D398" t="s">
        <v>22</v>
      </c>
      <c r="E398" t="s">
        <v>23</v>
      </c>
      <c r="F398" t="s">
        <v>44</v>
      </c>
      <c r="G398">
        <v>4935.22</v>
      </c>
      <c r="H398">
        <v>2448.86</v>
      </c>
      <c r="I398">
        <v>33167.51</v>
      </c>
      <c r="J398" t="s">
        <v>25</v>
      </c>
      <c r="K398" t="s">
        <v>33</v>
      </c>
      <c r="L398">
        <v>341693.78</v>
      </c>
      <c r="M398">
        <v>120</v>
      </c>
      <c r="N398">
        <v>4784.53</v>
      </c>
      <c r="O398">
        <v>11.4</v>
      </c>
      <c r="P398">
        <v>0.97</v>
      </c>
      <c r="Q398">
        <v>683</v>
      </c>
      <c r="R398">
        <v>0.56000000000000005</v>
      </c>
      <c r="S398" t="s">
        <v>39</v>
      </c>
      <c r="T398" s="1">
        <v>44664</v>
      </c>
      <c r="U398">
        <v>1</v>
      </c>
    </row>
    <row r="399" spans="1:21" x14ac:dyDescent="0.25">
      <c r="A399" t="s">
        <v>446</v>
      </c>
      <c r="B399">
        <v>55</v>
      </c>
      <c r="C399" t="s">
        <v>21</v>
      </c>
      <c r="D399" t="s">
        <v>35</v>
      </c>
      <c r="E399" t="s">
        <v>23</v>
      </c>
      <c r="F399" t="s">
        <v>49</v>
      </c>
      <c r="G399">
        <v>3532.8</v>
      </c>
      <c r="H399">
        <v>2354.65</v>
      </c>
      <c r="I399">
        <v>30420.21</v>
      </c>
      <c r="J399" t="s">
        <v>25</v>
      </c>
      <c r="K399" t="s">
        <v>54</v>
      </c>
      <c r="L399">
        <v>73850.78</v>
      </c>
      <c r="M399">
        <v>300</v>
      </c>
      <c r="N399">
        <v>1504.01</v>
      </c>
      <c r="O399">
        <v>24.38</v>
      </c>
      <c r="P399">
        <v>0.43</v>
      </c>
      <c r="Q399">
        <v>727</v>
      </c>
      <c r="R399">
        <v>0.72</v>
      </c>
      <c r="S399" t="s">
        <v>72</v>
      </c>
      <c r="T399" s="1">
        <v>44938</v>
      </c>
      <c r="U399">
        <v>1</v>
      </c>
    </row>
    <row r="400" spans="1:21" x14ac:dyDescent="0.25">
      <c r="A400" t="s">
        <v>447</v>
      </c>
      <c r="B400">
        <v>56</v>
      </c>
      <c r="C400" t="s">
        <v>29</v>
      </c>
      <c r="D400" t="s">
        <v>41</v>
      </c>
      <c r="E400" t="s">
        <v>49</v>
      </c>
      <c r="F400" t="s">
        <v>63</v>
      </c>
      <c r="G400">
        <v>5012.34</v>
      </c>
      <c r="H400">
        <v>2599.16</v>
      </c>
      <c r="I400">
        <v>22201.21</v>
      </c>
      <c r="J400" t="s">
        <v>25</v>
      </c>
      <c r="K400" t="s">
        <v>45</v>
      </c>
      <c r="L400">
        <v>105807.13</v>
      </c>
      <c r="M400">
        <v>12</v>
      </c>
      <c r="N400">
        <v>9322.81</v>
      </c>
      <c r="O400">
        <v>10.42</v>
      </c>
      <c r="P400">
        <v>1.86</v>
      </c>
      <c r="Q400">
        <v>436</v>
      </c>
      <c r="R400">
        <v>0.37</v>
      </c>
      <c r="S400" t="s">
        <v>27</v>
      </c>
      <c r="T400" s="1">
        <v>44814</v>
      </c>
      <c r="U400">
        <v>1</v>
      </c>
    </row>
    <row r="401" spans="1:21" x14ac:dyDescent="0.25">
      <c r="A401" t="s">
        <v>448</v>
      </c>
      <c r="B401">
        <v>48</v>
      </c>
      <c r="C401" t="s">
        <v>29</v>
      </c>
      <c r="D401" t="s">
        <v>41</v>
      </c>
      <c r="E401" t="s">
        <v>31</v>
      </c>
      <c r="F401" t="s">
        <v>32</v>
      </c>
      <c r="G401">
        <v>1734.9</v>
      </c>
      <c r="H401">
        <v>1496.68</v>
      </c>
      <c r="I401">
        <v>10296.69</v>
      </c>
      <c r="J401" t="s">
        <v>37</v>
      </c>
      <c r="K401" t="s">
        <v>38</v>
      </c>
      <c r="L401">
        <v>0</v>
      </c>
      <c r="M401">
        <v>0</v>
      </c>
      <c r="N401">
        <v>0</v>
      </c>
      <c r="O401">
        <v>0</v>
      </c>
      <c r="P401">
        <v>0</v>
      </c>
      <c r="Q401">
        <v>523</v>
      </c>
      <c r="R401">
        <v>0.49</v>
      </c>
      <c r="S401" t="s">
        <v>30</v>
      </c>
      <c r="T401" s="1">
        <v>45407</v>
      </c>
      <c r="U401">
        <v>0</v>
      </c>
    </row>
    <row r="402" spans="1:21" x14ac:dyDescent="0.25">
      <c r="A402" t="s">
        <v>449</v>
      </c>
      <c r="B402">
        <v>47</v>
      </c>
      <c r="C402" t="s">
        <v>29</v>
      </c>
      <c r="D402" t="s">
        <v>35</v>
      </c>
      <c r="E402" t="s">
        <v>31</v>
      </c>
      <c r="F402" t="s">
        <v>24</v>
      </c>
      <c r="G402">
        <v>7252.24</v>
      </c>
      <c r="H402">
        <v>2772.94</v>
      </c>
      <c r="I402">
        <v>10008.85</v>
      </c>
      <c r="J402" t="s">
        <v>25</v>
      </c>
      <c r="K402" t="s">
        <v>45</v>
      </c>
      <c r="L402">
        <v>307417.09000000003</v>
      </c>
      <c r="M402">
        <v>360</v>
      </c>
      <c r="N402">
        <v>6816.96</v>
      </c>
      <c r="O402">
        <v>26.6</v>
      </c>
      <c r="P402">
        <v>0.94</v>
      </c>
      <c r="Q402">
        <v>698</v>
      </c>
      <c r="R402">
        <v>0.12</v>
      </c>
      <c r="S402" t="s">
        <v>39</v>
      </c>
      <c r="T402" s="1">
        <v>45758</v>
      </c>
      <c r="U402">
        <v>1</v>
      </c>
    </row>
    <row r="403" spans="1:21" x14ac:dyDescent="0.25">
      <c r="A403" t="s">
        <v>450</v>
      </c>
      <c r="B403">
        <v>61</v>
      </c>
      <c r="C403" t="s">
        <v>21</v>
      </c>
      <c r="D403" t="s">
        <v>30</v>
      </c>
      <c r="E403" t="s">
        <v>31</v>
      </c>
      <c r="F403" t="s">
        <v>23</v>
      </c>
      <c r="G403">
        <v>4646.6400000000003</v>
      </c>
      <c r="H403">
        <v>3540.62</v>
      </c>
      <c r="I403">
        <v>23672.34</v>
      </c>
      <c r="J403" t="s">
        <v>37</v>
      </c>
      <c r="K403" t="s">
        <v>38</v>
      </c>
      <c r="L403">
        <v>0</v>
      </c>
      <c r="M403">
        <v>0</v>
      </c>
      <c r="N403">
        <v>0</v>
      </c>
      <c r="O403">
        <v>0</v>
      </c>
      <c r="P403">
        <v>0</v>
      </c>
      <c r="Q403">
        <v>433</v>
      </c>
      <c r="R403">
        <v>0.42</v>
      </c>
      <c r="S403" t="s">
        <v>30</v>
      </c>
      <c r="T403" s="1">
        <v>44707</v>
      </c>
      <c r="U403">
        <v>0</v>
      </c>
    </row>
    <row r="404" spans="1:21" x14ac:dyDescent="0.25">
      <c r="A404" t="s">
        <v>451</v>
      </c>
      <c r="B404">
        <v>57</v>
      </c>
      <c r="C404" t="s">
        <v>21</v>
      </c>
      <c r="D404" t="s">
        <v>41</v>
      </c>
      <c r="E404" t="s">
        <v>23</v>
      </c>
      <c r="F404" t="s">
        <v>23</v>
      </c>
      <c r="G404">
        <v>3421.21</v>
      </c>
      <c r="H404">
        <v>2150.17</v>
      </c>
      <c r="I404">
        <v>17329.21</v>
      </c>
      <c r="J404" t="s">
        <v>37</v>
      </c>
      <c r="K404" t="s">
        <v>38</v>
      </c>
      <c r="L404">
        <v>0</v>
      </c>
      <c r="M404">
        <v>0</v>
      </c>
      <c r="N404">
        <v>0</v>
      </c>
      <c r="O404">
        <v>0</v>
      </c>
      <c r="P404">
        <v>0</v>
      </c>
      <c r="Q404">
        <v>339</v>
      </c>
      <c r="R404">
        <v>0.42</v>
      </c>
      <c r="S404" t="s">
        <v>47</v>
      </c>
      <c r="T404" s="1">
        <v>45205</v>
      </c>
      <c r="U404">
        <v>0</v>
      </c>
    </row>
    <row r="405" spans="1:21" x14ac:dyDescent="0.25">
      <c r="A405" t="s">
        <v>452</v>
      </c>
      <c r="B405">
        <v>62</v>
      </c>
      <c r="C405" t="s">
        <v>29</v>
      </c>
      <c r="D405" t="s">
        <v>41</v>
      </c>
      <c r="E405" t="s">
        <v>51</v>
      </c>
      <c r="F405" t="s">
        <v>49</v>
      </c>
      <c r="G405">
        <v>5837.77</v>
      </c>
      <c r="H405">
        <v>2183.4</v>
      </c>
      <c r="I405">
        <v>39679.14</v>
      </c>
      <c r="J405" t="s">
        <v>37</v>
      </c>
      <c r="K405" t="s">
        <v>38</v>
      </c>
      <c r="L405">
        <v>0</v>
      </c>
      <c r="M405">
        <v>0</v>
      </c>
      <c r="N405">
        <v>0</v>
      </c>
      <c r="O405">
        <v>0</v>
      </c>
      <c r="P405">
        <v>0</v>
      </c>
      <c r="Q405">
        <v>408</v>
      </c>
      <c r="R405">
        <v>0.56999999999999995</v>
      </c>
      <c r="S405" t="s">
        <v>39</v>
      </c>
      <c r="T405" s="1">
        <v>44980</v>
      </c>
      <c r="U405">
        <v>0</v>
      </c>
    </row>
    <row r="406" spans="1:21" x14ac:dyDescent="0.25">
      <c r="A406" t="s">
        <v>453</v>
      </c>
      <c r="B406">
        <v>46</v>
      </c>
      <c r="C406" t="s">
        <v>21</v>
      </c>
      <c r="D406" t="s">
        <v>41</v>
      </c>
      <c r="E406" t="s">
        <v>31</v>
      </c>
      <c r="F406" t="s">
        <v>32</v>
      </c>
      <c r="G406">
        <v>2736.65</v>
      </c>
      <c r="H406">
        <v>2006.76</v>
      </c>
      <c r="I406">
        <v>12803.82</v>
      </c>
      <c r="J406" t="s">
        <v>37</v>
      </c>
      <c r="K406" t="s">
        <v>38</v>
      </c>
      <c r="L406">
        <v>0</v>
      </c>
      <c r="M406">
        <v>0</v>
      </c>
      <c r="N406">
        <v>0</v>
      </c>
      <c r="O406">
        <v>0</v>
      </c>
      <c r="P406">
        <v>0</v>
      </c>
      <c r="Q406">
        <v>537</v>
      </c>
      <c r="R406">
        <v>0.39</v>
      </c>
      <c r="S406" t="s">
        <v>27</v>
      </c>
      <c r="T406" s="1">
        <v>44589</v>
      </c>
      <c r="U406">
        <v>0</v>
      </c>
    </row>
    <row r="407" spans="1:21" x14ac:dyDescent="0.25">
      <c r="A407" t="s">
        <v>454</v>
      </c>
      <c r="B407">
        <v>38</v>
      </c>
      <c r="C407" t="s">
        <v>21</v>
      </c>
      <c r="D407" t="s">
        <v>22</v>
      </c>
      <c r="E407" t="s">
        <v>49</v>
      </c>
      <c r="F407" t="s">
        <v>36</v>
      </c>
      <c r="G407">
        <v>6213.98</v>
      </c>
      <c r="H407">
        <v>2735.13</v>
      </c>
      <c r="I407">
        <v>12008.9</v>
      </c>
      <c r="J407" t="s">
        <v>37</v>
      </c>
      <c r="K407" t="s">
        <v>38</v>
      </c>
      <c r="L407">
        <v>0</v>
      </c>
      <c r="M407">
        <v>0</v>
      </c>
      <c r="N407">
        <v>0</v>
      </c>
      <c r="O407">
        <v>0</v>
      </c>
      <c r="P407">
        <v>0</v>
      </c>
      <c r="Q407">
        <v>649</v>
      </c>
      <c r="R407">
        <v>0.16</v>
      </c>
      <c r="S407" t="s">
        <v>72</v>
      </c>
      <c r="T407" s="1">
        <v>45537</v>
      </c>
      <c r="U407">
        <v>0</v>
      </c>
    </row>
    <row r="408" spans="1:21" x14ac:dyDescent="0.25">
      <c r="A408" t="s">
        <v>455</v>
      </c>
      <c r="B408">
        <v>51</v>
      </c>
      <c r="C408" t="s">
        <v>29</v>
      </c>
      <c r="D408" t="s">
        <v>41</v>
      </c>
      <c r="E408" t="s">
        <v>23</v>
      </c>
      <c r="F408" t="s">
        <v>42</v>
      </c>
      <c r="G408">
        <v>956.57</v>
      </c>
      <c r="H408">
        <v>446.11</v>
      </c>
      <c r="I408">
        <v>10458.23</v>
      </c>
      <c r="J408" t="s">
        <v>37</v>
      </c>
      <c r="K408" t="s">
        <v>38</v>
      </c>
      <c r="L408">
        <v>0</v>
      </c>
      <c r="M408">
        <v>0</v>
      </c>
      <c r="N408">
        <v>0</v>
      </c>
      <c r="O408">
        <v>0</v>
      </c>
      <c r="P408">
        <v>0</v>
      </c>
      <c r="Q408">
        <v>846</v>
      </c>
      <c r="R408">
        <v>0.91</v>
      </c>
      <c r="S408" t="s">
        <v>30</v>
      </c>
      <c r="T408" s="1">
        <v>45816</v>
      </c>
      <c r="U408">
        <v>0</v>
      </c>
    </row>
    <row r="409" spans="1:21" x14ac:dyDescent="0.25">
      <c r="A409" t="s">
        <v>456</v>
      </c>
      <c r="B409">
        <v>36</v>
      </c>
      <c r="C409" t="s">
        <v>29</v>
      </c>
      <c r="D409" t="s">
        <v>35</v>
      </c>
      <c r="E409" t="s">
        <v>31</v>
      </c>
      <c r="F409" t="s">
        <v>63</v>
      </c>
      <c r="G409">
        <v>5726.79</v>
      </c>
      <c r="H409">
        <v>3906.95</v>
      </c>
      <c r="I409">
        <v>46396.61</v>
      </c>
      <c r="J409" t="s">
        <v>25</v>
      </c>
      <c r="K409" t="s">
        <v>45</v>
      </c>
      <c r="L409">
        <v>22381.119999999999</v>
      </c>
      <c r="M409">
        <v>36</v>
      </c>
      <c r="N409">
        <v>829.71</v>
      </c>
      <c r="O409">
        <v>19.82</v>
      </c>
      <c r="P409">
        <v>0.14000000000000001</v>
      </c>
      <c r="Q409">
        <v>429</v>
      </c>
      <c r="R409">
        <v>0.68</v>
      </c>
      <c r="S409" t="s">
        <v>39</v>
      </c>
      <c r="T409" s="1">
        <v>45759</v>
      </c>
      <c r="U409">
        <v>0</v>
      </c>
    </row>
    <row r="410" spans="1:21" x14ac:dyDescent="0.25">
      <c r="A410" t="s">
        <v>457</v>
      </c>
      <c r="B410">
        <v>58</v>
      </c>
      <c r="C410" t="s">
        <v>21</v>
      </c>
      <c r="D410" t="s">
        <v>41</v>
      </c>
      <c r="E410" t="s">
        <v>51</v>
      </c>
      <c r="F410" t="s">
        <v>63</v>
      </c>
      <c r="G410">
        <v>1261.06</v>
      </c>
      <c r="H410">
        <v>781.82</v>
      </c>
      <c r="I410">
        <v>10862.91</v>
      </c>
      <c r="J410" t="s">
        <v>37</v>
      </c>
      <c r="K410" t="s">
        <v>38</v>
      </c>
      <c r="L410">
        <v>0</v>
      </c>
      <c r="M410">
        <v>0</v>
      </c>
      <c r="N410">
        <v>0</v>
      </c>
      <c r="O410">
        <v>0</v>
      </c>
      <c r="P410">
        <v>0</v>
      </c>
      <c r="Q410">
        <v>366</v>
      </c>
      <c r="R410">
        <v>0.72</v>
      </c>
      <c r="S410" t="s">
        <v>27</v>
      </c>
      <c r="T410" s="1">
        <v>45201</v>
      </c>
      <c r="U410">
        <v>0</v>
      </c>
    </row>
    <row r="411" spans="1:21" x14ac:dyDescent="0.25">
      <c r="A411" t="s">
        <v>458</v>
      </c>
      <c r="B411">
        <v>60</v>
      </c>
      <c r="C411" t="s">
        <v>29</v>
      </c>
      <c r="D411" t="s">
        <v>41</v>
      </c>
      <c r="E411" t="s">
        <v>31</v>
      </c>
      <c r="F411" t="s">
        <v>44</v>
      </c>
      <c r="G411">
        <v>5104.37</v>
      </c>
      <c r="H411">
        <v>1996.07</v>
      </c>
      <c r="I411">
        <v>41158.800000000003</v>
      </c>
      <c r="J411" t="s">
        <v>37</v>
      </c>
      <c r="K411" t="s">
        <v>38</v>
      </c>
      <c r="L411">
        <v>0</v>
      </c>
      <c r="M411">
        <v>0</v>
      </c>
      <c r="N411">
        <v>0</v>
      </c>
      <c r="O411">
        <v>0</v>
      </c>
      <c r="P411">
        <v>0</v>
      </c>
      <c r="Q411">
        <v>410</v>
      </c>
      <c r="R411">
        <v>0.67</v>
      </c>
      <c r="S411" t="s">
        <v>47</v>
      </c>
      <c r="T411" s="1">
        <v>44499</v>
      </c>
      <c r="U411">
        <v>0</v>
      </c>
    </row>
    <row r="412" spans="1:21" x14ac:dyDescent="0.25">
      <c r="A412" t="s">
        <v>459</v>
      </c>
      <c r="B412">
        <v>44</v>
      </c>
      <c r="C412" t="s">
        <v>29</v>
      </c>
      <c r="D412" t="s">
        <v>41</v>
      </c>
      <c r="E412" t="s">
        <v>23</v>
      </c>
      <c r="F412" t="s">
        <v>63</v>
      </c>
      <c r="G412">
        <v>5404.5</v>
      </c>
      <c r="H412">
        <v>4608.82</v>
      </c>
      <c r="I412">
        <v>30881.34</v>
      </c>
      <c r="J412" t="s">
        <v>37</v>
      </c>
      <c r="K412" t="s">
        <v>38</v>
      </c>
      <c r="L412">
        <v>0</v>
      </c>
      <c r="M412">
        <v>0</v>
      </c>
      <c r="N412">
        <v>0</v>
      </c>
      <c r="O412">
        <v>0</v>
      </c>
      <c r="P412">
        <v>0</v>
      </c>
      <c r="Q412">
        <v>698</v>
      </c>
      <c r="R412">
        <v>0.48</v>
      </c>
      <c r="S412" t="s">
        <v>27</v>
      </c>
      <c r="T412" s="1">
        <v>44628</v>
      </c>
      <c r="U412">
        <v>0</v>
      </c>
    </row>
    <row r="413" spans="1:21" x14ac:dyDescent="0.25">
      <c r="A413" t="s">
        <v>460</v>
      </c>
      <c r="B413">
        <v>31</v>
      </c>
      <c r="C413" t="s">
        <v>21</v>
      </c>
      <c r="D413" t="s">
        <v>22</v>
      </c>
      <c r="E413" t="s">
        <v>51</v>
      </c>
      <c r="F413" t="s">
        <v>42</v>
      </c>
      <c r="G413">
        <v>4683.1899999999996</v>
      </c>
      <c r="H413">
        <v>2205.02</v>
      </c>
      <c r="I413">
        <v>15355.01</v>
      </c>
      <c r="J413" t="s">
        <v>25</v>
      </c>
      <c r="K413" t="s">
        <v>33</v>
      </c>
      <c r="L413">
        <v>214291.7</v>
      </c>
      <c r="M413">
        <v>300</v>
      </c>
      <c r="N413">
        <v>4422.3999999999996</v>
      </c>
      <c r="O413">
        <v>24.71</v>
      </c>
      <c r="P413">
        <v>0.94</v>
      </c>
      <c r="Q413">
        <v>404</v>
      </c>
      <c r="R413">
        <v>0.27</v>
      </c>
      <c r="S413" t="s">
        <v>47</v>
      </c>
      <c r="T413" s="1">
        <v>45510</v>
      </c>
      <c r="U413">
        <v>1</v>
      </c>
    </row>
    <row r="414" spans="1:21" x14ac:dyDescent="0.25">
      <c r="A414" t="s">
        <v>461</v>
      </c>
      <c r="B414">
        <v>24</v>
      </c>
      <c r="C414" t="s">
        <v>21</v>
      </c>
      <c r="D414" t="s">
        <v>41</v>
      </c>
      <c r="E414" t="s">
        <v>31</v>
      </c>
      <c r="F414" t="s">
        <v>32</v>
      </c>
      <c r="G414">
        <v>7574.75</v>
      </c>
      <c r="H414">
        <v>5640.39</v>
      </c>
      <c r="I414">
        <v>15687.03</v>
      </c>
      <c r="J414" t="s">
        <v>25</v>
      </c>
      <c r="K414" t="s">
        <v>54</v>
      </c>
      <c r="L414">
        <v>330138.58</v>
      </c>
      <c r="M414">
        <v>300</v>
      </c>
      <c r="N414">
        <v>5930.38</v>
      </c>
      <c r="O414">
        <v>21.45</v>
      </c>
      <c r="P414">
        <v>0.78</v>
      </c>
      <c r="Q414">
        <v>454</v>
      </c>
      <c r="R414">
        <v>0.17</v>
      </c>
      <c r="S414" t="s">
        <v>47</v>
      </c>
      <c r="T414" s="1">
        <v>45358</v>
      </c>
      <c r="U414">
        <v>1</v>
      </c>
    </row>
    <row r="415" spans="1:21" x14ac:dyDescent="0.25">
      <c r="A415" t="s">
        <v>462</v>
      </c>
      <c r="B415">
        <v>28</v>
      </c>
      <c r="C415" t="s">
        <v>21</v>
      </c>
      <c r="D415" t="s">
        <v>41</v>
      </c>
      <c r="E415" t="s">
        <v>31</v>
      </c>
      <c r="F415" t="s">
        <v>63</v>
      </c>
      <c r="G415">
        <v>5330.43</v>
      </c>
      <c r="H415">
        <v>4515.76</v>
      </c>
      <c r="I415">
        <v>40878.83</v>
      </c>
      <c r="J415" t="s">
        <v>37</v>
      </c>
      <c r="K415" t="s">
        <v>38</v>
      </c>
      <c r="L415">
        <v>0</v>
      </c>
      <c r="M415">
        <v>0</v>
      </c>
      <c r="N415">
        <v>0</v>
      </c>
      <c r="O415">
        <v>0</v>
      </c>
      <c r="P415">
        <v>0</v>
      </c>
      <c r="Q415">
        <v>776</v>
      </c>
      <c r="R415">
        <v>0.64</v>
      </c>
      <c r="S415" t="s">
        <v>27</v>
      </c>
      <c r="T415" s="1">
        <v>45004</v>
      </c>
      <c r="U415">
        <v>0</v>
      </c>
    </row>
    <row r="416" spans="1:21" x14ac:dyDescent="0.25">
      <c r="A416" t="s">
        <v>463</v>
      </c>
      <c r="B416">
        <v>48</v>
      </c>
      <c r="C416" t="s">
        <v>29</v>
      </c>
      <c r="D416" t="s">
        <v>35</v>
      </c>
      <c r="E416" t="s">
        <v>31</v>
      </c>
      <c r="F416" t="s">
        <v>23</v>
      </c>
      <c r="G416">
        <v>3425.41</v>
      </c>
      <c r="H416">
        <v>1033.76</v>
      </c>
      <c r="I416">
        <v>20730.080000000002</v>
      </c>
      <c r="J416" t="s">
        <v>25</v>
      </c>
      <c r="K416" t="s">
        <v>45</v>
      </c>
      <c r="L416">
        <v>288667.3</v>
      </c>
      <c r="M416">
        <v>120</v>
      </c>
      <c r="N416">
        <v>5643.89</v>
      </c>
      <c r="O416">
        <v>20.34</v>
      </c>
      <c r="P416">
        <v>1.65</v>
      </c>
      <c r="Q416">
        <v>376</v>
      </c>
      <c r="R416">
        <v>0.5</v>
      </c>
      <c r="S416" t="s">
        <v>47</v>
      </c>
      <c r="T416" s="1">
        <v>45284</v>
      </c>
      <c r="U416">
        <v>1</v>
      </c>
    </row>
    <row r="417" spans="1:21" x14ac:dyDescent="0.25">
      <c r="A417" t="s">
        <v>464</v>
      </c>
      <c r="B417">
        <v>57</v>
      </c>
      <c r="C417" t="s">
        <v>29</v>
      </c>
      <c r="D417" t="s">
        <v>35</v>
      </c>
      <c r="E417" t="s">
        <v>49</v>
      </c>
      <c r="F417" t="s">
        <v>36</v>
      </c>
      <c r="G417">
        <v>4752.62</v>
      </c>
      <c r="H417">
        <v>4008.54</v>
      </c>
      <c r="I417">
        <v>43643.11</v>
      </c>
      <c r="J417" t="s">
        <v>25</v>
      </c>
      <c r="K417" t="s">
        <v>45</v>
      </c>
      <c r="L417">
        <v>385834.6</v>
      </c>
      <c r="M417">
        <v>240</v>
      </c>
      <c r="N417">
        <v>7085.3</v>
      </c>
      <c r="O417">
        <v>21.74</v>
      </c>
      <c r="P417">
        <v>1.49</v>
      </c>
      <c r="Q417">
        <v>427</v>
      </c>
      <c r="R417">
        <v>0.77</v>
      </c>
      <c r="S417" t="s">
        <v>39</v>
      </c>
      <c r="T417" s="1">
        <v>45637</v>
      </c>
      <c r="U417">
        <v>1</v>
      </c>
    </row>
    <row r="418" spans="1:21" x14ac:dyDescent="0.25">
      <c r="A418" t="s">
        <v>465</v>
      </c>
      <c r="B418">
        <v>23</v>
      </c>
      <c r="C418" t="s">
        <v>21</v>
      </c>
      <c r="D418" t="s">
        <v>41</v>
      </c>
      <c r="E418" t="s">
        <v>51</v>
      </c>
      <c r="F418" t="s">
        <v>49</v>
      </c>
      <c r="G418">
        <v>4467.1000000000004</v>
      </c>
      <c r="H418">
        <v>3162.3</v>
      </c>
      <c r="I418">
        <v>22571.31</v>
      </c>
      <c r="J418" t="s">
        <v>37</v>
      </c>
      <c r="K418" t="s">
        <v>38</v>
      </c>
      <c r="L418">
        <v>0</v>
      </c>
      <c r="M418">
        <v>0</v>
      </c>
      <c r="N418">
        <v>0</v>
      </c>
      <c r="O418">
        <v>0</v>
      </c>
      <c r="P418">
        <v>0</v>
      </c>
      <c r="Q418">
        <v>677</v>
      </c>
      <c r="R418">
        <v>0.42</v>
      </c>
      <c r="S418" t="s">
        <v>47</v>
      </c>
      <c r="T418" s="1">
        <v>45577</v>
      </c>
      <c r="U418">
        <v>0</v>
      </c>
    </row>
    <row r="419" spans="1:21" x14ac:dyDescent="0.25">
      <c r="A419" t="s">
        <v>466</v>
      </c>
      <c r="B419">
        <v>21</v>
      </c>
      <c r="C419" t="s">
        <v>30</v>
      </c>
      <c r="D419" t="s">
        <v>35</v>
      </c>
      <c r="E419" t="s">
        <v>31</v>
      </c>
      <c r="F419" t="s">
        <v>42</v>
      </c>
      <c r="G419">
        <v>3610.05</v>
      </c>
      <c r="H419">
        <v>1832.79</v>
      </c>
      <c r="I419">
        <v>15368.17</v>
      </c>
      <c r="J419" t="s">
        <v>25</v>
      </c>
      <c r="K419" t="s">
        <v>54</v>
      </c>
      <c r="L419">
        <v>219177.45</v>
      </c>
      <c r="M419">
        <v>360</v>
      </c>
      <c r="N419">
        <v>2474.3200000000002</v>
      </c>
      <c r="O419">
        <v>13.29</v>
      </c>
      <c r="P419">
        <v>0.69</v>
      </c>
      <c r="Q419">
        <v>539</v>
      </c>
      <c r="R419">
        <v>0.35</v>
      </c>
      <c r="S419" t="s">
        <v>39</v>
      </c>
      <c r="T419" s="1">
        <v>45808</v>
      </c>
      <c r="U419">
        <v>1</v>
      </c>
    </row>
    <row r="420" spans="1:21" x14ac:dyDescent="0.25">
      <c r="A420" t="s">
        <v>467</v>
      </c>
      <c r="B420">
        <v>33</v>
      </c>
      <c r="C420" t="s">
        <v>30</v>
      </c>
      <c r="D420" t="s">
        <v>30</v>
      </c>
      <c r="E420" t="s">
        <v>51</v>
      </c>
      <c r="F420" t="s">
        <v>52</v>
      </c>
      <c r="G420">
        <v>3111.71</v>
      </c>
      <c r="H420">
        <v>2701.07</v>
      </c>
      <c r="I420">
        <v>19843.98</v>
      </c>
      <c r="J420" t="s">
        <v>37</v>
      </c>
      <c r="K420" t="s">
        <v>38</v>
      </c>
      <c r="L420">
        <v>0</v>
      </c>
      <c r="M420">
        <v>0</v>
      </c>
      <c r="N420">
        <v>0</v>
      </c>
      <c r="O420">
        <v>0</v>
      </c>
      <c r="P420">
        <v>0</v>
      </c>
      <c r="Q420">
        <v>360</v>
      </c>
      <c r="R420">
        <v>0.53</v>
      </c>
      <c r="S420" t="s">
        <v>27</v>
      </c>
      <c r="T420" s="1">
        <v>45204</v>
      </c>
      <c r="U420">
        <v>0</v>
      </c>
    </row>
    <row r="421" spans="1:21" x14ac:dyDescent="0.25">
      <c r="A421" t="s">
        <v>468</v>
      </c>
      <c r="B421">
        <v>28</v>
      </c>
      <c r="C421" t="s">
        <v>29</v>
      </c>
      <c r="D421" t="s">
        <v>22</v>
      </c>
      <c r="E421" t="s">
        <v>31</v>
      </c>
      <c r="F421" t="s">
        <v>32</v>
      </c>
      <c r="G421">
        <v>4104.8900000000003</v>
      </c>
      <c r="H421">
        <v>1925.15</v>
      </c>
      <c r="I421">
        <v>21090.57</v>
      </c>
      <c r="J421" t="s">
        <v>37</v>
      </c>
      <c r="K421" t="s">
        <v>38</v>
      </c>
      <c r="L421">
        <v>0</v>
      </c>
      <c r="M421">
        <v>0</v>
      </c>
      <c r="N421">
        <v>0</v>
      </c>
      <c r="O421">
        <v>0</v>
      </c>
      <c r="P421">
        <v>0</v>
      </c>
      <c r="Q421">
        <v>765</v>
      </c>
      <c r="R421">
        <v>0.43</v>
      </c>
      <c r="S421" t="s">
        <v>47</v>
      </c>
      <c r="T421" s="1">
        <v>45034</v>
      </c>
      <c r="U421">
        <v>0</v>
      </c>
    </row>
    <row r="422" spans="1:21" x14ac:dyDescent="0.25">
      <c r="A422" t="s">
        <v>469</v>
      </c>
      <c r="B422">
        <v>50</v>
      </c>
      <c r="C422" t="s">
        <v>30</v>
      </c>
      <c r="D422" t="s">
        <v>35</v>
      </c>
      <c r="E422" t="s">
        <v>31</v>
      </c>
      <c r="F422" t="s">
        <v>52</v>
      </c>
      <c r="G422">
        <v>4520.74</v>
      </c>
      <c r="H422">
        <v>1840.82</v>
      </c>
      <c r="I422">
        <v>35959.919999999998</v>
      </c>
      <c r="J422" t="s">
        <v>25</v>
      </c>
      <c r="K422" t="s">
        <v>54</v>
      </c>
      <c r="L422">
        <v>4309.53</v>
      </c>
      <c r="M422">
        <v>360</v>
      </c>
      <c r="N422">
        <v>78.27</v>
      </c>
      <c r="O422">
        <v>21.76</v>
      </c>
      <c r="P422">
        <v>0.02</v>
      </c>
      <c r="Q422">
        <v>385</v>
      </c>
      <c r="R422">
        <v>0.66</v>
      </c>
      <c r="S422" t="s">
        <v>39</v>
      </c>
      <c r="T422" s="1">
        <v>44978</v>
      </c>
      <c r="U422">
        <v>0</v>
      </c>
    </row>
    <row r="423" spans="1:21" x14ac:dyDescent="0.25">
      <c r="A423" t="s">
        <v>470</v>
      </c>
      <c r="B423">
        <v>38</v>
      </c>
      <c r="C423" t="s">
        <v>21</v>
      </c>
      <c r="D423" t="s">
        <v>22</v>
      </c>
      <c r="E423" t="s">
        <v>31</v>
      </c>
      <c r="F423" t="s">
        <v>24</v>
      </c>
      <c r="G423">
        <v>3169.24</v>
      </c>
      <c r="H423">
        <v>2070.15</v>
      </c>
      <c r="I423">
        <v>16877.89</v>
      </c>
      <c r="J423" t="s">
        <v>25</v>
      </c>
      <c r="K423" t="s">
        <v>26</v>
      </c>
      <c r="L423">
        <v>145956.57999999999</v>
      </c>
      <c r="M423">
        <v>60</v>
      </c>
      <c r="N423">
        <v>2767.1</v>
      </c>
      <c r="O423">
        <v>5.19</v>
      </c>
      <c r="P423">
        <v>0.87</v>
      </c>
      <c r="Q423">
        <v>787</v>
      </c>
      <c r="R423">
        <v>0.44</v>
      </c>
      <c r="S423" t="s">
        <v>72</v>
      </c>
      <c r="T423" s="1">
        <v>44474</v>
      </c>
      <c r="U423">
        <v>1</v>
      </c>
    </row>
    <row r="424" spans="1:21" x14ac:dyDescent="0.25">
      <c r="A424" t="s">
        <v>471</v>
      </c>
      <c r="B424">
        <v>62</v>
      </c>
      <c r="C424" t="s">
        <v>21</v>
      </c>
      <c r="D424" t="s">
        <v>35</v>
      </c>
      <c r="E424" t="s">
        <v>31</v>
      </c>
      <c r="F424" t="s">
        <v>42</v>
      </c>
      <c r="G424">
        <v>4277.3100000000004</v>
      </c>
      <c r="H424">
        <v>2222.7600000000002</v>
      </c>
      <c r="I424">
        <v>37455.78</v>
      </c>
      <c r="J424" t="s">
        <v>37</v>
      </c>
      <c r="K424" t="s">
        <v>38</v>
      </c>
      <c r="L424">
        <v>0</v>
      </c>
      <c r="M424">
        <v>0</v>
      </c>
      <c r="N424">
        <v>0</v>
      </c>
      <c r="O424">
        <v>0</v>
      </c>
      <c r="P424">
        <v>0</v>
      </c>
      <c r="Q424">
        <v>708</v>
      </c>
      <c r="R424">
        <v>0.73</v>
      </c>
      <c r="S424" t="s">
        <v>72</v>
      </c>
      <c r="T424" s="1">
        <v>44698</v>
      </c>
      <c r="U424">
        <v>0</v>
      </c>
    </row>
    <row r="425" spans="1:21" x14ac:dyDescent="0.25">
      <c r="A425" t="s">
        <v>472</v>
      </c>
      <c r="B425">
        <v>50</v>
      </c>
      <c r="C425" t="s">
        <v>21</v>
      </c>
      <c r="D425" t="s">
        <v>41</v>
      </c>
      <c r="E425" t="s">
        <v>51</v>
      </c>
      <c r="F425" t="s">
        <v>44</v>
      </c>
      <c r="G425">
        <v>7728.53</v>
      </c>
      <c r="H425">
        <v>4249.9799999999996</v>
      </c>
      <c r="I425">
        <v>90839.73</v>
      </c>
      <c r="J425" t="s">
        <v>25</v>
      </c>
      <c r="K425" t="s">
        <v>45</v>
      </c>
      <c r="L425">
        <v>282776.61</v>
      </c>
      <c r="M425">
        <v>180</v>
      </c>
      <c r="N425">
        <v>6649.96</v>
      </c>
      <c r="O425">
        <v>27.76</v>
      </c>
      <c r="P425">
        <v>0.86</v>
      </c>
      <c r="Q425">
        <v>679</v>
      </c>
      <c r="R425">
        <v>0.98</v>
      </c>
      <c r="S425" t="s">
        <v>27</v>
      </c>
      <c r="T425" s="1">
        <v>44688</v>
      </c>
      <c r="U425">
        <v>1</v>
      </c>
    </row>
    <row r="426" spans="1:21" x14ac:dyDescent="0.25">
      <c r="A426" t="s">
        <v>473</v>
      </c>
      <c r="B426">
        <v>51</v>
      </c>
      <c r="C426" t="s">
        <v>29</v>
      </c>
      <c r="D426" t="s">
        <v>41</v>
      </c>
      <c r="E426" t="s">
        <v>31</v>
      </c>
      <c r="F426" t="s">
        <v>23</v>
      </c>
      <c r="G426">
        <v>2864.45</v>
      </c>
      <c r="H426">
        <v>2009.66</v>
      </c>
      <c r="I426">
        <v>29855.19</v>
      </c>
      <c r="J426" t="s">
        <v>37</v>
      </c>
      <c r="K426" t="s">
        <v>38</v>
      </c>
      <c r="L426">
        <v>0</v>
      </c>
      <c r="M426">
        <v>0</v>
      </c>
      <c r="N426">
        <v>0</v>
      </c>
      <c r="O426">
        <v>0</v>
      </c>
      <c r="P426">
        <v>0</v>
      </c>
      <c r="Q426">
        <v>423</v>
      </c>
      <c r="R426">
        <v>0.87</v>
      </c>
      <c r="S426" t="s">
        <v>30</v>
      </c>
      <c r="T426" s="1">
        <v>45213</v>
      </c>
      <c r="U426">
        <v>0</v>
      </c>
    </row>
    <row r="427" spans="1:21" x14ac:dyDescent="0.25">
      <c r="A427" t="s">
        <v>474</v>
      </c>
      <c r="B427">
        <v>55</v>
      </c>
      <c r="C427" t="s">
        <v>29</v>
      </c>
      <c r="D427" t="s">
        <v>41</v>
      </c>
      <c r="E427" t="s">
        <v>31</v>
      </c>
      <c r="F427" t="s">
        <v>63</v>
      </c>
      <c r="G427">
        <v>500</v>
      </c>
      <c r="H427">
        <v>152.88999999999999</v>
      </c>
      <c r="I427">
        <v>2761.98</v>
      </c>
      <c r="J427" t="s">
        <v>37</v>
      </c>
      <c r="K427" t="s">
        <v>38</v>
      </c>
      <c r="L427">
        <v>0</v>
      </c>
      <c r="M427">
        <v>0</v>
      </c>
      <c r="N427">
        <v>0</v>
      </c>
      <c r="O427">
        <v>0</v>
      </c>
      <c r="P427">
        <v>0</v>
      </c>
      <c r="Q427">
        <v>423</v>
      </c>
      <c r="R427">
        <v>0.46</v>
      </c>
      <c r="S427" t="s">
        <v>39</v>
      </c>
      <c r="T427" s="1">
        <v>45127</v>
      </c>
      <c r="U427">
        <v>0</v>
      </c>
    </row>
    <row r="428" spans="1:21" x14ac:dyDescent="0.25">
      <c r="A428" t="s">
        <v>475</v>
      </c>
      <c r="B428">
        <v>38</v>
      </c>
      <c r="C428" t="s">
        <v>29</v>
      </c>
      <c r="D428" t="s">
        <v>41</v>
      </c>
      <c r="E428" t="s">
        <v>31</v>
      </c>
      <c r="F428" t="s">
        <v>36</v>
      </c>
      <c r="G428">
        <v>4521.42</v>
      </c>
      <c r="H428">
        <v>3148.32</v>
      </c>
      <c r="I428">
        <v>49959.29</v>
      </c>
      <c r="J428" t="s">
        <v>37</v>
      </c>
      <c r="K428" t="s">
        <v>38</v>
      </c>
      <c r="L428">
        <v>0</v>
      </c>
      <c r="M428">
        <v>0</v>
      </c>
      <c r="N428">
        <v>0</v>
      </c>
      <c r="O428">
        <v>0</v>
      </c>
      <c r="P428">
        <v>0</v>
      </c>
      <c r="Q428">
        <v>558</v>
      </c>
      <c r="R428">
        <v>0.92</v>
      </c>
      <c r="S428" t="s">
        <v>30</v>
      </c>
      <c r="T428" s="1">
        <v>45716</v>
      </c>
      <c r="U428">
        <v>0</v>
      </c>
    </row>
    <row r="429" spans="1:21" x14ac:dyDescent="0.25">
      <c r="A429" t="s">
        <v>476</v>
      </c>
      <c r="B429">
        <v>31</v>
      </c>
      <c r="C429" t="s">
        <v>29</v>
      </c>
      <c r="D429" t="s">
        <v>41</v>
      </c>
      <c r="E429" t="s">
        <v>23</v>
      </c>
      <c r="F429" t="s">
        <v>63</v>
      </c>
      <c r="G429">
        <v>4042.77</v>
      </c>
      <c r="H429">
        <v>2955.25</v>
      </c>
      <c r="I429">
        <v>41785.160000000003</v>
      </c>
      <c r="J429" t="s">
        <v>37</v>
      </c>
      <c r="K429" t="s">
        <v>38</v>
      </c>
      <c r="L429">
        <v>0</v>
      </c>
      <c r="M429">
        <v>0</v>
      </c>
      <c r="N429">
        <v>0</v>
      </c>
      <c r="O429">
        <v>0</v>
      </c>
      <c r="P429">
        <v>0</v>
      </c>
      <c r="Q429">
        <v>507</v>
      </c>
      <c r="R429">
        <v>0.86</v>
      </c>
      <c r="S429" t="s">
        <v>27</v>
      </c>
      <c r="T429" s="1">
        <v>44717</v>
      </c>
      <c r="U429">
        <v>0</v>
      </c>
    </row>
    <row r="430" spans="1:21" x14ac:dyDescent="0.25">
      <c r="A430" t="s">
        <v>477</v>
      </c>
      <c r="B430">
        <v>53</v>
      </c>
      <c r="C430" t="s">
        <v>29</v>
      </c>
      <c r="D430" t="s">
        <v>41</v>
      </c>
      <c r="E430" t="s">
        <v>31</v>
      </c>
      <c r="F430" t="s">
        <v>44</v>
      </c>
      <c r="G430">
        <v>5304.77</v>
      </c>
      <c r="H430">
        <v>2310.13</v>
      </c>
      <c r="I430">
        <v>61916.12</v>
      </c>
      <c r="J430" t="s">
        <v>37</v>
      </c>
      <c r="K430" t="s">
        <v>38</v>
      </c>
      <c r="L430">
        <v>0</v>
      </c>
      <c r="M430">
        <v>0</v>
      </c>
      <c r="N430">
        <v>0</v>
      </c>
      <c r="O430">
        <v>0</v>
      </c>
      <c r="P430">
        <v>0</v>
      </c>
      <c r="Q430">
        <v>417</v>
      </c>
      <c r="R430">
        <v>0.97</v>
      </c>
      <c r="S430" t="s">
        <v>30</v>
      </c>
      <c r="T430" s="1">
        <v>44589</v>
      </c>
      <c r="U430">
        <v>0</v>
      </c>
    </row>
    <row r="431" spans="1:21" x14ac:dyDescent="0.25">
      <c r="A431" t="s">
        <v>478</v>
      </c>
      <c r="B431">
        <v>62</v>
      </c>
      <c r="C431" t="s">
        <v>21</v>
      </c>
      <c r="D431" t="s">
        <v>22</v>
      </c>
      <c r="E431" t="s">
        <v>31</v>
      </c>
      <c r="F431" t="s">
        <v>44</v>
      </c>
      <c r="G431">
        <v>3449.74</v>
      </c>
      <c r="H431">
        <v>2124.5500000000002</v>
      </c>
      <c r="I431">
        <v>35980.43</v>
      </c>
      <c r="J431" t="s">
        <v>25</v>
      </c>
      <c r="K431" t="s">
        <v>54</v>
      </c>
      <c r="L431">
        <v>143888.98000000001</v>
      </c>
      <c r="M431">
        <v>120</v>
      </c>
      <c r="N431">
        <v>2191.92</v>
      </c>
      <c r="O431">
        <v>13.51</v>
      </c>
      <c r="P431">
        <v>0.64</v>
      </c>
      <c r="Q431">
        <v>631</v>
      </c>
      <c r="R431">
        <v>0.87</v>
      </c>
      <c r="S431" t="s">
        <v>72</v>
      </c>
      <c r="T431" s="1">
        <v>45844</v>
      </c>
      <c r="U431">
        <v>1</v>
      </c>
    </row>
    <row r="432" spans="1:21" x14ac:dyDescent="0.25">
      <c r="A432" t="s">
        <v>479</v>
      </c>
      <c r="B432">
        <v>46</v>
      </c>
      <c r="C432" t="s">
        <v>29</v>
      </c>
      <c r="D432" t="s">
        <v>41</v>
      </c>
      <c r="E432" t="s">
        <v>31</v>
      </c>
      <c r="F432" t="s">
        <v>63</v>
      </c>
      <c r="G432">
        <v>5486.9</v>
      </c>
      <c r="H432">
        <v>4129.6400000000003</v>
      </c>
      <c r="I432">
        <v>50631.47</v>
      </c>
      <c r="J432" t="s">
        <v>37</v>
      </c>
      <c r="K432" t="s">
        <v>38</v>
      </c>
      <c r="L432">
        <v>0</v>
      </c>
      <c r="M432">
        <v>0</v>
      </c>
      <c r="N432">
        <v>0</v>
      </c>
      <c r="O432">
        <v>0</v>
      </c>
      <c r="P432">
        <v>0</v>
      </c>
      <c r="Q432">
        <v>529</v>
      </c>
      <c r="R432">
        <v>0.77</v>
      </c>
      <c r="S432" t="s">
        <v>72</v>
      </c>
      <c r="T432" s="1">
        <v>45150</v>
      </c>
      <c r="U432">
        <v>0</v>
      </c>
    </row>
    <row r="433" spans="1:21" x14ac:dyDescent="0.25">
      <c r="A433" t="s">
        <v>480</v>
      </c>
      <c r="B433">
        <v>37</v>
      </c>
      <c r="C433" t="s">
        <v>21</v>
      </c>
      <c r="D433" t="s">
        <v>35</v>
      </c>
      <c r="E433" t="s">
        <v>31</v>
      </c>
      <c r="F433" t="s">
        <v>63</v>
      </c>
      <c r="G433">
        <v>4305.3500000000004</v>
      </c>
      <c r="H433">
        <v>1956.39</v>
      </c>
      <c r="I433">
        <v>30873.27</v>
      </c>
      <c r="J433" t="s">
        <v>37</v>
      </c>
      <c r="K433" t="s">
        <v>38</v>
      </c>
      <c r="L433">
        <v>0</v>
      </c>
      <c r="M433">
        <v>0</v>
      </c>
      <c r="N433">
        <v>0</v>
      </c>
      <c r="O433">
        <v>0</v>
      </c>
      <c r="P433">
        <v>0</v>
      </c>
      <c r="Q433">
        <v>474</v>
      </c>
      <c r="R433">
        <v>0.6</v>
      </c>
      <c r="S433" t="s">
        <v>72</v>
      </c>
      <c r="T433" s="1">
        <v>45555</v>
      </c>
      <c r="U433">
        <v>0</v>
      </c>
    </row>
    <row r="434" spans="1:21" x14ac:dyDescent="0.25">
      <c r="A434" t="s">
        <v>481</v>
      </c>
      <c r="B434">
        <v>58</v>
      </c>
      <c r="C434" t="s">
        <v>30</v>
      </c>
      <c r="D434" t="s">
        <v>22</v>
      </c>
      <c r="E434" t="s">
        <v>31</v>
      </c>
      <c r="F434" t="s">
        <v>63</v>
      </c>
      <c r="G434">
        <v>4291.74</v>
      </c>
      <c r="H434">
        <v>2950.48</v>
      </c>
      <c r="I434">
        <v>17684.830000000002</v>
      </c>
      <c r="J434" t="s">
        <v>37</v>
      </c>
      <c r="K434" t="s">
        <v>38</v>
      </c>
      <c r="L434">
        <v>0</v>
      </c>
      <c r="M434">
        <v>0</v>
      </c>
      <c r="N434">
        <v>0</v>
      </c>
      <c r="O434">
        <v>0</v>
      </c>
      <c r="P434">
        <v>0</v>
      </c>
      <c r="Q434">
        <v>841</v>
      </c>
      <c r="R434">
        <v>0.34</v>
      </c>
      <c r="S434" t="s">
        <v>47</v>
      </c>
      <c r="T434" s="1">
        <v>44822</v>
      </c>
      <c r="U434">
        <v>0</v>
      </c>
    </row>
    <row r="435" spans="1:21" x14ac:dyDescent="0.25">
      <c r="A435" t="s">
        <v>482</v>
      </c>
      <c r="B435">
        <v>22</v>
      </c>
      <c r="C435" t="s">
        <v>29</v>
      </c>
      <c r="D435" t="s">
        <v>22</v>
      </c>
      <c r="E435" t="s">
        <v>51</v>
      </c>
      <c r="F435" t="s">
        <v>24</v>
      </c>
      <c r="G435">
        <v>4024.61</v>
      </c>
      <c r="H435">
        <v>1548.3</v>
      </c>
      <c r="I435">
        <v>47245.04</v>
      </c>
      <c r="J435" t="s">
        <v>37</v>
      </c>
      <c r="K435" t="s">
        <v>38</v>
      </c>
      <c r="L435">
        <v>0</v>
      </c>
      <c r="M435">
        <v>0</v>
      </c>
      <c r="N435">
        <v>0</v>
      </c>
      <c r="O435">
        <v>0</v>
      </c>
      <c r="P435">
        <v>0</v>
      </c>
      <c r="Q435">
        <v>548</v>
      </c>
      <c r="R435">
        <v>0.98</v>
      </c>
      <c r="S435" t="s">
        <v>30</v>
      </c>
      <c r="T435" s="1">
        <v>44761</v>
      </c>
      <c r="U435">
        <v>0</v>
      </c>
    </row>
    <row r="436" spans="1:21" x14ac:dyDescent="0.25">
      <c r="A436" t="s">
        <v>483</v>
      </c>
      <c r="B436">
        <v>65</v>
      </c>
      <c r="C436" t="s">
        <v>21</v>
      </c>
      <c r="D436" t="s">
        <v>41</v>
      </c>
      <c r="E436" t="s">
        <v>51</v>
      </c>
      <c r="F436" t="s">
        <v>44</v>
      </c>
      <c r="G436">
        <v>3820.09</v>
      </c>
      <c r="H436">
        <v>3089.02</v>
      </c>
      <c r="I436">
        <v>20813.75</v>
      </c>
      <c r="J436" t="s">
        <v>25</v>
      </c>
      <c r="K436" t="s">
        <v>33</v>
      </c>
      <c r="L436">
        <v>157017.45000000001</v>
      </c>
      <c r="M436">
        <v>120</v>
      </c>
      <c r="N436">
        <v>1524.89</v>
      </c>
      <c r="O436">
        <v>3.12</v>
      </c>
      <c r="P436">
        <v>0.4</v>
      </c>
      <c r="Q436">
        <v>315</v>
      </c>
      <c r="R436">
        <v>0.45</v>
      </c>
      <c r="S436" t="s">
        <v>30</v>
      </c>
      <c r="T436" s="1">
        <v>45704</v>
      </c>
      <c r="U436">
        <v>0</v>
      </c>
    </row>
    <row r="437" spans="1:21" x14ac:dyDescent="0.25">
      <c r="A437" t="s">
        <v>484</v>
      </c>
      <c r="B437">
        <v>41</v>
      </c>
      <c r="C437" t="s">
        <v>21</v>
      </c>
      <c r="D437" t="s">
        <v>35</v>
      </c>
      <c r="E437" t="s">
        <v>51</v>
      </c>
      <c r="F437" t="s">
        <v>23</v>
      </c>
      <c r="G437">
        <v>5490.5</v>
      </c>
      <c r="H437">
        <v>2622.14</v>
      </c>
      <c r="I437">
        <v>12310.18</v>
      </c>
      <c r="J437" t="s">
        <v>37</v>
      </c>
      <c r="K437" t="s">
        <v>38</v>
      </c>
      <c r="L437">
        <v>0</v>
      </c>
      <c r="M437">
        <v>0</v>
      </c>
      <c r="N437">
        <v>0</v>
      </c>
      <c r="O437">
        <v>0</v>
      </c>
      <c r="P437">
        <v>0</v>
      </c>
      <c r="Q437">
        <v>445</v>
      </c>
      <c r="R437">
        <v>0.19</v>
      </c>
      <c r="S437" t="s">
        <v>72</v>
      </c>
      <c r="T437" s="1">
        <v>44977</v>
      </c>
      <c r="U437">
        <v>0</v>
      </c>
    </row>
    <row r="438" spans="1:21" x14ac:dyDescent="0.25">
      <c r="A438" t="s">
        <v>485</v>
      </c>
      <c r="B438">
        <v>28</v>
      </c>
      <c r="C438" t="s">
        <v>29</v>
      </c>
      <c r="D438" t="s">
        <v>41</v>
      </c>
      <c r="E438" t="s">
        <v>23</v>
      </c>
      <c r="F438" t="s">
        <v>36</v>
      </c>
      <c r="G438">
        <v>500</v>
      </c>
      <c r="H438">
        <v>276.60000000000002</v>
      </c>
      <c r="I438">
        <v>3900.21</v>
      </c>
      <c r="J438" t="s">
        <v>37</v>
      </c>
      <c r="K438" t="s">
        <v>38</v>
      </c>
      <c r="L438">
        <v>0</v>
      </c>
      <c r="M438">
        <v>0</v>
      </c>
      <c r="N438">
        <v>0</v>
      </c>
      <c r="O438">
        <v>0</v>
      </c>
      <c r="P438">
        <v>0</v>
      </c>
      <c r="Q438">
        <v>683</v>
      </c>
      <c r="R438">
        <v>0.65</v>
      </c>
      <c r="S438" t="s">
        <v>72</v>
      </c>
      <c r="T438" s="1">
        <v>45172</v>
      </c>
      <c r="U438">
        <v>0</v>
      </c>
    </row>
    <row r="439" spans="1:21" x14ac:dyDescent="0.25">
      <c r="A439" t="s">
        <v>486</v>
      </c>
      <c r="B439">
        <v>23</v>
      </c>
      <c r="C439" t="s">
        <v>29</v>
      </c>
      <c r="D439" t="s">
        <v>41</v>
      </c>
      <c r="E439" t="s">
        <v>51</v>
      </c>
      <c r="F439" t="s">
        <v>44</v>
      </c>
      <c r="G439">
        <v>7050.4</v>
      </c>
      <c r="H439">
        <v>5131.17</v>
      </c>
      <c r="I439">
        <v>33589.5</v>
      </c>
      <c r="J439" t="s">
        <v>37</v>
      </c>
      <c r="K439" t="s">
        <v>38</v>
      </c>
      <c r="L439">
        <v>0</v>
      </c>
      <c r="M439">
        <v>0</v>
      </c>
      <c r="N439">
        <v>0</v>
      </c>
      <c r="O439">
        <v>0</v>
      </c>
      <c r="P439">
        <v>0</v>
      </c>
      <c r="Q439">
        <v>695</v>
      </c>
      <c r="R439">
        <v>0.4</v>
      </c>
      <c r="S439" t="s">
        <v>72</v>
      </c>
      <c r="T439" s="1">
        <v>44408</v>
      </c>
      <c r="U439">
        <v>0</v>
      </c>
    </row>
    <row r="440" spans="1:21" x14ac:dyDescent="0.25">
      <c r="A440" t="s">
        <v>487</v>
      </c>
      <c r="B440">
        <v>19</v>
      </c>
      <c r="C440" t="s">
        <v>29</v>
      </c>
      <c r="D440" t="s">
        <v>56</v>
      </c>
      <c r="E440" t="s">
        <v>23</v>
      </c>
      <c r="F440" t="s">
        <v>52</v>
      </c>
      <c r="G440">
        <v>6573.76</v>
      </c>
      <c r="H440">
        <v>3281.33</v>
      </c>
      <c r="I440">
        <v>25234.58</v>
      </c>
      <c r="J440" t="s">
        <v>25</v>
      </c>
      <c r="K440" t="s">
        <v>45</v>
      </c>
      <c r="L440">
        <v>399728.24</v>
      </c>
      <c r="M440">
        <v>360</v>
      </c>
      <c r="N440">
        <v>7530.72</v>
      </c>
      <c r="O440">
        <v>22.58</v>
      </c>
      <c r="P440">
        <v>1.1499999999999999</v>
      </c>
      <c r="Q440">
        <v>425</v>
      </c>
      <c r="R440">
        <v>0.32</v>
      </c>
      <c r="S440" t="s">
        <v>39</v>
      </c>
      <c r="T440" s="1">
        <v>44807</v>
      </c>
      <c r="U440">
        <v>1</v>
      </c>
    </row>
    <row r="441" spans="1:21" x14ac:dyDescent="0.25">
      <c r="A441" t="s">
        <v>488</v>
      </c>
      <c r="B441">
        <v>28</v>
      </c>
      <c r="C441" t="s">
        <v>29</v>
      </c>
      <c r="D441" t="s">
        <v>22</v>
      </c>
      <c r="E441" t="s">
        <v>31</v>
      </c>
      <c r="F441" t="s">
        <v>42</v>
      </c>
      <c r="G441">
        <v>5157.09</v>
      </c>
      <c r="H441">
        <v>2851.07</v>
      </c>
      <c r="I441">
        <v>31469.71</v>
      </c>
      <c r="J441" t="s">
        <v>25</v>
      </c>
      <c r="K441" t="s">
        <v>33</v>
      </c>
      <c r="L441">
        <v>238907.19</v>
      </c>
      <c r="M441">
        <v>36</v>
      </c>
      <c r="N441">
        <v>7222.64</v>
      </c>
      <c r="O441">
        <v>5.58</v>
      </c>
      <c r="P441">
        <v>1.4</v>
      </c>
      <c r="Q441">
        <v>539</v>
      </c>
      <c r="R441">
        <v>0.51</v>
      </c>
      <c r="S441" t="s">
        <v>47</v>
      </c>
      <c r="T441" s="1">
        <v>45559</v>
      </c>
      <c r="U441">
        <v>1</v>
      </c>
    </row>
    <row r="442" spans="1:21" x14ac:dyDescent="0.25">
      <c r="A442" t="s">
        <v>489</v>
      </c>
      <c r="B442">
        <v>56</v>
      </c>
      <c r="C442" t="s">
        <v>29</v>
      </c>
      <c r="D442" t="s">
        <v>35</v>
      </c>
      <c r="E442" t="s">
        <v>31</v>
      </c>
      <c r="F442" t="s">
        <v>49</v>
      </c>
      <c r="G442">
        <v>7830.55</v>
      </c>
      <c r="H442">
        <v>6414.79</v>
      </c>
      <c r="I442">
        <v>52888.59</v>
      </c>
      <c r="J442" t="s">
        <v>37</v>
      </c>
      <c r="K442" t="s">
        <v>38</v>
      </c>
      <c r="L442">
        <v>0</v>
      </c>
      <c r="M442">
        <v>0</v>
      </c>
      <c r="N442">
        <v>0</v>
      </c>
      <c r="O442">
        <v>0</v>
      </c>
      <c r="P442">
        <v>0</v>
      </c>
      <c r="Q442">
        <v>651</v>
      </c>
      <c r="R442">
        <v>0.56000000000000005</v>
      </c>
      <c r="S442" t="s">
        <v>27</v>
      </c>
      <c r="T442" s="1">
        <v>45423</v>
      </c>
      <c r="U442">
        <v>0</v>
      </c>
    </row>
    <row r="443" spans="1:21" x14ac:dyDescent="0.25">
      <c r="A443" t="s">
        <v>490</v>
      </c>
      <c r="B443">
        <v>47</v>
      </c>
      <c r="C443" t="s">
        <v>29</v>
      </c>
      <c r="D443" t="s">
        <v>22</v>
      </c>
      <c r="E443" t="s">
        <v>31</v>
      </c>
      <c r="F443" t="s">
        <v>52</v>
      </c>
      <c r="G443">
        <v>3614.67</v>
      </c>
      <c r="H443">
        <v>2278.14</v>
      </c>
      <c r="I443">
        <v>36419.699999999997</v>
      </c>
      <c r="J443" t="s">
        <v>37</v>
      </c>
      <c r="K443" t="s">
        <v>38</v>
      </c>
      <c r="L443">
        <v>0</v>
      </c>
      <c r="M443">
        <v>0</v>
      </c>
      <c r="N443">
        <v>0</v>
      </c>
      <c r="O443">
        <v>0</v>
      </c>
      <c r="P443">
        <v>0</v>
      </c>
      <c r="Q443">
        <v>521</v>
      </c>
      <c r="R443">
        <v>0.84</v>
      </c>
      <c r="S443" t="s">
        <v>47</v>
      </c>
      <c r="T443" s="1">
        <v>45494</v>
      </c>
      <c r="U443">
        <v>0</v>
      </c>
    </row>
    <row r="444" spans="1:21" x14ac:dyDescent="0.25">
      <c r="A444" t="s">
        <v>491</v>
      </c>
      <c r="B444">
        <v>61</v>
      </c>
      <c r="C444" t="s">
        <v>29</v>
      </c>
      <c r="D444" t="s">
        <v>35</v>
      </c>
      <c r="E444" t="s">
        <v>51</v>
      </c>
      <c r="F444" t="s">
        <v>24</v>
      </c>
      <c r="G444">
        <v>2786.3</v>
      </c>
      <c r="H444">
        <v>2027.04</v>
      </c>
      <c r="I444">
        <v>4514.9399999999996</v>
      </c>
      <c r="J444" t="s">
        <v>37</v>
      </c>
      <c r="K444" t="s">
        <v>38</v>
      </c>
      <c r="L444">
        <v>0</v>
      </c>
      <c r="M444">
        <v>0</v>
      </c>
      <c r="N444">
        <v>0</v>
      </c>
      <c r="O444">
        <v>0</v>
      </c>
      <c r="P444">
        <v>0</v>
      </c>
      <c r="Q444">
        <v>503</v>
      </c>
      <c r="R444">
        <v>0.14000000000000001</v>
      </c>
      <c r="S444" t="s">
        <v>47</v>
      </c>
      <c r="T444" s="1">
        <v>44473</v>
      </c>
      <c r="U444">
        <v>0</v>
      </c>
    </row>
    <row r="445" spans="1:21" x14ac:dyDescent="0.25">
      <c r="A445" t="s">
        <v>492</v>
      </c>
      <c r="B445">
        <v>63</v>
      </c>
      <c r="C445" t="s">
        <v>30</v>
      </c>
      <c r="D445" t="s">
        <v>35</v>
      </c>
      <c r="E445" t="s">
        <v>31</v>
      </c>
      <c r="F445" t="s">
        <v>49</v>
      </c>
      <c r="G445">
        <v>4565.3</v>
      </c>
      <c r="H445">
        <v>1709.62</v>
      </c>
      <c r="I445">
        <v>46318.239999999998</v>
      </c>
      <c r="J445" t="s">
        <v>25</v>
      </c>
      <c r="K445" t="s">
        <v>54</v>
      </c>
      <c r="L445">
        <v>357628.42</v>
      </c>
      <c r="M445">
        <v>360</v>
      </c>
      <c r="N445">
        <v>4031.7</v>
      </c>
      <c r="O445">
        <v>13.27</v>
      </c>
      <c r="P445">
        <v>0.88</v>
      </c>
      <c r="Q445">
        <v>716</v>
      </c>
      <c r="R445">
        <v>0.85</v>
      </c>
      <c r="S445" t="s">
        <v>30</v>
      </c>
      <c r="T445" s="1">
        <v>44932</v>
      </c>
      <c r="U445">
        <v>1</v>
      </c>
    </row>
    <row r="446" spans="1:21" x14ac:dyDescent="0.25">
      <c r="A446" t="s">
        <v>493</v>
      </c>
      <c r="B446">
        <v>42</v>
      </c>
      <c r="C446" t="s">
        <v>29</v>
      </c>
      <c r="D446" t="s">
        <v>41</v>
      </c>
      <c r="E446" t="s">
        <v>31</v>
      </c>
      <c r="F446" t="s">
        <v>24</v>
      </c>
      <c r="G446">
        <v>2463.6999999999998</v>
      </c>
      <c r="H446">
        <v>1891.44</v>
      </c>
      <c r="I446">
        <v>9602.2999999999993</v>
      </c>
      <c r="J446" t="s">
        <v>37</v>
      </c>
      <c r="K446" t="s">
        <v>38</v>
      </c>
      <c r="L446">
        <v>0</v>
      </c>
      <c r="M446">
        <v>0</v>
      </c>
      <c r="N446">
        <v>0</v>
      </c>
      <c r="O446">
        <v>0</v>
      </c>
      <c r="P446">
        <v>0</v>
      </c>
      <c r="Q446">
        <v>319</v>
      </c>
      <c r="R446">
        <v>0.32</v>
      </c>
      <c r="S446" t="s">
        <v>47</v>
      </c>
      <c r="T446" s="1">
        <v>44863</v>
      </c>
      <c r="U446">
        <v>0</v>
      </c>
    </row>
    <row r="447" spans="1:21" x14ac:dyDescent="0.25">
      <c r="A447" t="s">
        <v>494</v>
      </c>
      <c r="B447">
        <v>26</v>
      </c>
      <c r="C447" t="s">
        <v>21</v>
      </c>
      <c r="D447" t="s">
        <v>22</v>
      </c>
      <c r="E447" t="s">
        <v>51</v>
      </c>
      <c r="F447" t="s">
        <v>52</v>
      </c>
      <c r="G447">
        <v>1764.55</v>
      </c>
      <c r="H447">
        <v>739.48</v>
      </c>
      <c r="I447">
        <v>11626.25</v>
      </c>
      <c r="J447" t="s">
        <v>37</v>
      </c>
      <c r="K447" t="s">
        <v>38</v>
      </c>
      <c r="L447">
        <v>0</v>
      </c>
      <c r="M447">
        <v>0</v>
      </c>
      <c r="N447">
        <v>0</v>
      </c>
      <c r="O447">
        <v>0</v>
      </c>
      <c r="P447">
        <v>0</v>
      </c>
      <c r="Q447">
        <v>424</v>
      </c>
      <c r="R447">
        <v>0.55000000000000004</v>
      </c>
      <c r="S447" t="s">
        <v>30</v>
      </c>
      <c r="T447" s="1">
        <v>45710</v>
      </c>
      <c r="U447">
        <v>0</v>
      </c>
    </row>
    <row r="448" spans="1:21" x14ac:dyDescent="0.25">
      <c r="A448" t="s">
        <v>495</v>
      </c>
      <c r="B448">
        <v>50</v>
      </c>
      <c r="C448" t="s">
        <v>21</v>
      </c>
      <c r="D448" t="s">
        <v>41</v>
      </c>
      <c r="E448" t="s">
        <v>31</v>
      </c>
      <c r="F448" t="s">
        <v>63</v>
      </c>
      <c r="G448">
        <v>1807.93</v>
      </c>
      <c r="H448">
        <v>919.76</v>
      </c>
      <c r="I448">
        <v>15869.56</v>
      </c>
      <c r="J448" t="s">
        <v>37</v>
      </c>
      <c r="K448" t="s">
        <v>38</v>
      </c>
      <c r="L448">
        <v>0</v>
      </c>
      <c r="M448">
        <v>0</v>
      </c>
      <c r="N448">
        <v>0</v>
      </c>
      <c r="O448">
        <v>0</v>
      </c>
      <c r="P448">
        <v>0</v>
      </c>
      <c r="Q448">
        <v>344</v>
      </c>
      <c r="R448">
        <v>0.73</v>
      </c>
      <c r="S448" t="s">
        <v>30</v>
      </c>
      <c r="T448" s="1">
        <v>45205</v>
      </c>
      <c r="U448">
        <v>0</v>
      </c>
    </row>
    <row r="449" spans="1:21" x14ac:dyDescent="0.25">
      <c r="A449" t="s">
        <v>496</v>
      </c>
      <c r="B449">
        <v>51</v>
      </c>
      <c r="C449" t="s">
        <v>21</v>
      </c>
      <c r="D449" t="s">
        <v>35</v>
      </c>
      <c r="E449" t="s">
        <v>31</v>
      </c>
      <c r="F449" t="s">
        <v>42</v>
      </c>
      <c r="G449">
        <v>3601.92</v>
      </c>
      <c r="H449">
        <v>2039.52</v>
      </c>
      <c r="I449">
        <v>25742.91</v>
      </c>
      <c r="J449" t="s">
        <v>37</v>
      </c>
      <c r="K449" t="s">
        <v>38</v>
      </c>
      <c r="L449">
        <v>0</v>
      </c>
      <c r="M449">
        <v>0</v>
      </c>
      <c r="N449">
        <v>0</v>
      </c>
      <c r="O449">
        <v>0</v>
      </c>
      <c r="P449">
        <v>0</v>
      </c>
      <c r="Q449">
        <v>821</v>
      </c>
      <c r="R449">
        <v>0.6</v>
      </c>
      <c r="S449" t="s">
        <v>72</v>
      </c>
      <c r="T449" s="1">
        <v>45234</v>
      </c>
      <c r="U449">
        <v>0</v>
      </c>
    </row>
    <row r="450" spans="1:21" x14ac:dyDescent="0.25">
      <c r="A450" t="s">
        <v>497</v>
      </c>
      <c r="B450">
        <v>50</v>
      </c>
      <c r="C450" t="s">
        <v>21</v>
      </c>
      <c r="D450" t="s">
        <v>35</v>
      </c>
      <c r="E450" t="s">
        <v>51</v>
      </c>
      <c r="F450" t="s">
        <v>42</v>
      </c>
      <c r="G450">
        <v>1613.79</v>
      </c>
      <c r="H450">
        <v>1326.32</v>
      </c>
      <c r="I450">
        <v>13995.3</v>
      </c>
      <c r="J450" t="s">
        <v>25</v>
      </c>
      <c r="K450" t="s">
        <v>45</v>
      </c>
      <c r="L450">
        <v>168565.6</v>
      </c>
      <c r="M450">
        <v>240</v>
      </c>
      <c r="N450">
        <v>3107.54</v>
      </c>
      <c r="O450">
        <v>21.83</v>
      </c>
      <c r="P450">
        <v>1.93</v>
      </c>
      <c r="Q450">
        <v>517</v>
      </c>
      <c r="R450">
        <v>0.72</v>
      </c>
      <c r="S450" t="s">
        <v>72</v>
      </c>
      <c r="T450" s="1">
        <v>44701</v>
      </c>
      <c r="U450">
        <v>1</v>
      </c>
    </row>
    <row r="451" spans="1:21" x14ac:dyDescent="0.25">
      <c r="A451" t="s">
        <v>498</v>
      </c>
      <c r="B451">
        <v>30</v>
      </c>
      <c r="C451" t="s">
        <v>29</v>
      </c>
      <c r="D451" t="s">
        <v>41</v>
      </c>
      <c r="E451" t="s">
        <v>31</v>
      </c>
      <c r="F451" t="s">
        <v>52</v>
      </c>
      <c r="G451">
        <v>3685.35</v>
      </c>
      <c r="H451">
        <v>1559.27</v>
      </c>
      <c r="I451">
        <v>40490.74</v>
      </c>
      <c r="J451" t="s">
        <v>25</v>
      </c>
      <c r="K451" t="s">
        <v>45</v>
      </c>
      <c r="L451">
        <v>200856.82</v>
      </c>
      <c r="M451">
        <v>360</v>
      </c>
      <c r="N451">
        <v>1530.2</v>
      </c>
      <c r="O451">
        <v>8.4</v>
      </c>
      <c r="P451">
        <v>0.42</v>
      </c>
      <c r="Q451">
        <v>390</v>
      </c>
      <c r="R451">
        <v>0.92</v>
      </c>
      <c r="S451" t="s">
        <v>72</v>
      </c>
      <c r="T451" s="1">
        <v>44531</v>
      </c>
      <c r="U451">
        <v>1</v>
      </c>
    </row>
    <row r="452" spans="1:21" x14ac:dyDescent="0.25">
      <c r="A452" t="s">
        <v>499</v>
      </c>
      <c r="B452">
        <v>48</v>
      </c>
      <c r="C452" t="s">
        <v>21</v>
      </c>
      <c r="D452" t="s">
        <v>22</v>
      </c>
      <c r="E452" t="s">
        <v>31</v>
      </c>
      <c r="F452" t="s">
        <v>23</v>
      </c>
      <c r="G452">
        <v>5852.14</v>
      </c>
      <c r="H452">
        <v>3732.87</v>
      </c>
      <c r="I452">
        <v>37493</v>
      </c>
      <c r="J452" t="s">
        <v>37</v>
      </c>
      <c r="K452" t="s">
        <v>38</v>
      </c>
      <c r="L452">
        <v>0</v>
      </c>
      <c r="M452">
        <v>0</v>
      </c>
      <c r="N452">
        <v>0</v>
      </c>
      <c r="O452">
        <v>0</v>
      </c>
      <c r="P452">
        <v>0</v>
      </c>
      <c r="Q452">
        <v>808</v>
      </c>
      <c r="R452">
        <v>0.53</v>
      </c>
      <c r="S452" t="s">
        <v>39</v>
      </c>
      <c r="T452" s="1">
        <v>44425</v>
      </c>
      <c r="U452">
        <v>0</v>
      </c>
    </row>
    <row r="453" spans="1:21" x14ac:dyDescent="0.25">
      <c r="A453" t="s">
        <v>500</v>
      </c>
      <c r="B453">
        <v>60</v>
      </c>
      <c r="C453" t="s">
        <v>21</v>
      </c>
      <c r="D453" t="s">
        <v>35</v>
      </c>
      <c r="E453" t="s">
        <v>31</v>
      </c>
      <c r="F453" t="s">
        <v>42</v>
      </c>
      <c r="G453">
        <v>3598.44</v>
      </c>
      <c r="H453">
        <v>1595.13</v>
      </c>
      <c r="I453">
        <v>33671.269999999997</v>
      </c>
      <c r="J453" t="s">
        <v>37</v>
      </c>
      <c r="K453" t="s">
        <v>38</v>
      </c>
      <c r="L453">
        <v>0</v>
      </c>
      <c r="M453">
        <v>0</v>
      </c>
      <c r="N453">
        <v>0</v>
      </c>
      <c r="O453">
        <v>0</v>
      </c>
      <c r="P453">
        <v>0</v>
      </c>
      <c r="Q453">
        <v>572</v>
      </c>
      <c r="R453">
        <v>0.78</v>
      </c>
      <c r="S453" t="s">
        <v>39</v>
      </c>
      <c r="T453" s="1">
        <v>45813</v>
      </c>
      <c r="U453">
        <v>0</v>
      </c>
    </row>
    <row r="454" spans="1:21" x14ac:dyDescent="0.25">
      <c r="A454" t="s">
        <v>501</v>
      </c>
      <c r="B454">
        <v>59</v>
      </c>
      <c r="C454" t="s">
        <v>21</v>
      </c>
      <c r="D454" t="s">
        <v>35</v>
      </c>
      <c r="E454" t="s">
        <v>31</v>
      </c>
      <c r="F454" t="s">
        <v>42</v>
      </c>
      <c r="G454">
        <v>2913.08</v>
      </c>
      <c r="H454">
        <v>2011.27</v>
      </c>
      <c r="I454">
        <v>34130.49</v>
      </c>
      <c r="J454" t="s">
        <v>25</v>
      </c>
      <c r="K454" t="s">
        <v>33</v>
      </c>
      <c r="L454">
        <v>329651.01</v>
      </c>
      <c r="M454">
        <v>360</v>
      </c>
      <c r="N454">
        <v>3693.03</v>
      </c>
      <c r="O454">
        <v>13.18</v>
      </c>
      <c r="P454">
        <v>1.27</v>
      </c>
      <c r="Q454">
        <v>768</v>
      </c>
      <c r="R454">
        <v>0.98</v>
      </c>
      <c r="S454" t="s">
        <v>72</v>
      </c>
      <c r="T454" s="1">
        <v>45231</v>
      </c>
      <c r="U454">
        <v>1</v>
      </c>
    </row>
    <row r="455" spans="1:21" x14ac:dyDescent="0.25">
      <c r="A455" t="s">
        <v>502</v>
      </c>
      <c r="B455">
        <v>36</v>
      </c>
      <c r="C455" t="s">
        <v>29</v>
      </c>
      <c r="D455" t="s">
        <v>56</v>
      </c>
      <c r="E455" t="s">
        <v>51</v>
      </c>
      <c r="F455" t="s">
        <v>24</v>
      </c>
      <c r="G455">
        <v>5869.87</v>
      </c>
      <c r="H455">
        <v>3432.62</v>
      </c>
      <c r="I455">
        <v>30003.52</v>
      </c>
      <c r="J455" t="s">
        <v>25</v>
      </c>
      <c r="K455" t="s">
        <v>54</v>
      </c>
      <c r="L455">
        <v>64852.34</v>
      </c>
      <c r="M455">
        <v>120</v>
      </c>
      <c r="N455">
        <v>1171.8900000000001</v>
      </c>
      <c r="O455">
        <v>18.079999999999998</v>
      </c>
      <c r="P455">
        <v>0.2</v>
      </c>
      <c r="Q455">
        <v>390</v>
      </c>
      <c r="R455">
        <v>0.43</v>
      </c>
      <c r="S455" t="s">
        <v>27</v>
      </c>
      <c r="T455" s="1">
        <v>45798</v>
      </c>
      <c r="U455">
        <v>0</v>
      </c>
    </row>
    <row r="456" spans="1:21" x14ac:dyDescent="0.25">
      <c r="A456" t="s">
        <v>503</v>
      </c>
      <c r="B456">
        <v>33</v>
      </c>
      <c r="C456" t="s">
        <v>21</v>
      </c>
      <c r="D456" t="s">
        <v>41</v>
      </c>
      <c r="E456" t="s">
        <v>31</v>
      </c>
      <c r="F456" t="s">
        <v>52</v>
      </c>
      <c r="G456">
        <v>4537.08</v>
      </c>
      <c r="H456">
        <v>2012.25</v>
      </c>
      <c r="I456">
        <v>19328.09</v>
      </c>
      <c r="J456" t="s">
        <v>37</v>
      </c>
      <c r="K456" t="s">
        <v>38</v>
      </c>
      <c r="L456">
        <v>0</v>
      </c>
      <c r="M456">
        <v>0</v>
      </c>
      <c r="N456">
        <v>0</v>
      </c>
      <c r="O456">
        <v>0</v>
      </c>
      <c r="P456">
        <v>0</v>
      </c>
      <c r="Q456">
        <v>631</v>
      </c>
      <c r="R456">
        <v>0.36</v>
      </c>
      <c r="S456" t="s">
        <v>47</v>
      </c>
      <c r="T456" s="1">
        <v>44421</v>
      </c>
      <c r="U456">
        <v>0</v>
      </c>
    </row>
    <row r="457" spans="1:21" x14ac:dyDescent="0.25">
      <c r="A457" t="s">
        <v>504</v>
      </c>
      <c r="B457">
        <v>63</v>
      </c>
      <c r="C457" t="s">
        <v>21</v>
      </c>
      <c r="D457" t="s">
        <v>41</v>
      </c>
      <c r="E457" t="s">
        <v>51</v>
      </c>
      <c r="F457" t="s">
        <v>63</v>
      </c>
      <c r="G457">
        <v>2897.67</v>
      </c>
      <c r="H457">
        <v>1928.75</v>
      </c>
      <c r="I457">
        <v>10569.01</v>
      </c>
      <c r="J457" t="s">
        <v>25</v>
      </c>
      <c r="K457" t="s">
        <v>54</v>
      </c>
      <c r="L457">
        <v>149800.48000000001</v>
      </c>
      <c r="M457">
        <v>240</v>
      </c>
      <c r="N457">
        <v>2301.52</v>
      </c>
      <c r="O457">
        <v>17.91</v>
      </c>
      <c r="P457">
        <v>0.79</v>
      </c>
      <c r="Q457">
        <v>314</v>
      </c>
      <c r="R457">
        <v>0.3</v>
      </c>
      <c r="S457" t="s">
        <v>39</v>
      </c>
      <c r="T457" s="1">
        <v>44800</v>
      </c>
      <c r="U457">
        <v>1</v>
      </c>
    </row>
    <row r="458" spans="1:21" x14ac:dyDescent="0.25">
      <c r="A458" t="s">
        <v>505</v>
      </c>
      <c r="B458">
        <v>18</v>
      </c>
      <c r="C458" t="s">
        <v>29</v>
      </c>
      <c r="D458" t="s">
        <v>35</v>
      </c>
      <c r="E458" t="s">
        <v>31</v>
      </c>
      <c r="F458" t="s">
        <v>32</v>
      </c>
      <c r="G458">
        <v>4409.92</v>
      </c>
      <c r="H458">
        <v>2399.7800000000002</v>
      </c>
      <c r="I458">
        <v>41318.21</v>
      </c>
      <c r="J458" t="s">
        <v>37</v>
      </c>
      <c r="K458" t="s">
        <v>38</v>
      </c>
      <c r="L458">
        <v>0</v>
      </c>
      <c r="M458">
        <v>0</v>
      </c>
      <c r="N458">
        <v>0</v>
      </c>
      <c r="O458">
        <v>0</v>
      </c>
      <c r="P458">
        <v>0</v>
      </c>
      <c r="Q458">
        <v>478</v>
      </c>
      <c r="R458">
        <v>0.78</v>
      </c>
      <c r="S458" t="s">
        <v>39</v>
      </c>
      <c r="T458" s="1">
        <v>44831</v>
      </c>
      <c r="U458">
        <v>0</v>
      </c>
    </row>
    <row r="459" spans="1:21" x14ac:dyDescent="0.25">
      <c r="A459" t="s">
        <v>506</v>
      </c>
      <c r="B459">
        <v>52</v>
      </c>
      <c r="C459" t="s">
        <v>29</v>
      </c>
      <c r="D459" t="s">
        <v>30</v>
      </c>
      <c r="E459" t="s">
        <v>49</v>
      </c>
      <c r="F459" t="s">
        <v>63</v>
      </c>
      <c r="G459">
        <v>5029.3900000000003</v>
      </c>
      <c r="H459">
        <v>3555.25</v>
      </c>
      <c r="I459">
        <v>56382.78</v>
      </c>
      <c r="J459" t="s">
        <v>37</v>
      </c>
      <c r="K459" t="s">
        <v>38</v>
      </c>
      <c r="L459">
        <v>0</v>
      </c>
      <c r="M459">
        <v>0</v>
      </c>
      <c r="N459">
        <v>0</v>
      </c>
      <c r="O459">
        <v>0</v>
      </c>
      <c r="P459">
        <v>0</v>
      </c>
      <c r="Q459">
        <v>402</v>
      </c>
      <c r="R459">
        <v>0.93</v>
      </c>
      <c r="S459" t="s">
        <v>39</v>
      </c>
      <c r="T459" s="1">
        <v>45452</v>
      </c>
      <c r="U459">
        <v>0</v>
      </c>
    </row>
    <row r="460" spans="1:21" x14ac:dyDescent="0.25">
      <c r="A460" t="s">
        <v>507</v>
      </c>
      <c r="B460">
        <v>38</v>
      </c>
      <c r="C460" t="s">
        <v>29</v>
      </c>
      <c r="D460" t="s">
        <v>56</v>
      </c>
      <c r="E460" t="s">
        <v>31</v>
      </c>
      <c r="F460" t="s">
        <v>49</v>
      </c>
      <c r="G460">
        <v>2358.92</v>
      </c>
      <c r="H460">
        <v>737.36</v>
      </c>
      <c r="I460">
        <v>5081.7299999999996</v>
      </c>
      <c r="J460" t="s">
        <v>25</v>
      </c>
      <c r="K460" t="s">
        <v>45</v>
      </c>
      <c r="L460">
        <v>42548.76</v>
      </c>
      <c r="M460">
        <v>240</v>
      </c>
      <c r="N460">
        <v>948.43</v>
      </c>
      <c r="O460">
        <v>26.61</v>
      </c>
      <c r="P460">
        <v>0.4</v>
      </c>
      <c r="Q460">
        <v>697</v>
      </c>
      <c r="R460">
        <v>0.18</v>
      </c>
      <c r="S460" t="s">
        <v>27</v>
      </c>
      <c r="T460" s="1">
        <v>44607</v>
      </c>
      <c r="U460">
        <v>0</v>
      </c>
    </row>
    <row r="461" spans="1:21" x14ac:dyDescent="0.25">
      <c r="A461" t="s">
        <v>508</v>
      </c>
      <c r="B461">
        <v>22</v>
      </c>
      <c r="C461" t="s">
        <v>29</v>
      </c>
      <c r="D461" t="s">
        <v>35</v>
      </c>
      <c r="E461" t="s">
        <v>51</v>
      </c>
      <c r="F461" t="s">
        <v>23</v>
      </c>
      <c r="G461">
        <v>3712.27</v>
      </c>
      <c r="H461">
        <v>2343.6</v>
      </c>
      <c r="I461">
        <v>15414.12</v>
      </c>
      <c r="J461" t="s">
        <v>37</v>
      </c>
      <c r="K461" t="s">
        <v>38</v>
      </c>
      <c r="L461">
        <v>0</v>
      </c>
      <c r="M461">
        <v>0</v>
      </c>
      <c r="N461">
        <v>0</v>
      </c>
      <c r="O461">
        <v>0</v>
      </c>
      <c r="P461">
        <v>0</v>
      </c>
      <c r="Q461">
        <v>609</v>
      </c>
      <c r="R461">
        <v>0.35</v>
      </c>
      <c r="S461" t="s">
        <v>27</v>
      </c>
      <c r="T461" s="1">
        <v>44667</v>
      </c>
      <c r="U461">
        <v>0</v>
      </c>
    </row>
    <row r="462" spans="1:21" x14ac:dyDescent="0.25">
      <c r="A462" t="s">
        <v>509</v>
      </c>
      <c r="B462">
        <v>65</v>
      </c>
      <c r="C462" t="s">
        <v>29</v>
      </c>
      <c r="D462" t="s">
        <v>35</v>
      </c>
      <c r="E462" t="s">
        <v>31</v>
      </c>
      <c r="F462" t="s">
        <v>44</v>
      </c>
      <c r="G462">
        <v>2100</v>
      </c>
      <c r="H462">
        <v>1151.8900000000001</v>
      </c>
      <c r="I462">
        <v>20475.37</v>
      </c>
      <c r="J462" t="s">
        <v>37</v>
      </c>
      <c r="K462" t="s">
        <v>38</v>
      </c>
      <c r="L462">
        <v>0</v>
      </c>
      <c r="M462">
        <v>0</v>
      </c>
      <c r="N462">
        <v>0</v>
      </c>
      <c r="O462">
        <v>0</v>
      </c>
      <c r="P462">
        <v>0</v>
      </c>
      <c r="Q462">
        <v>811</v>
      </c>
      <c r="R462">
        <v>0.81</v>
      </c>
      <c r="S462" t="s">
        <v>39</v>
      </c>
      <c r="T462" s="1">
        <v>45687</v>
      </c>
      <c r="U462">
        <v>0</v>
      </c>
    </row>
    <row r="463" spans="1:21" x14ac:dyDescent="0.25">
      <c r="A463" t="s">
        <v>510</v>
      </c>
      <c r="B463">
        <v>55</v>
      </c>
      <c r="C463" t="s">
        <v>21</v>
      </c>
      <c r="D463" t="s">
        <v>41</v>
      </c>
      <c r="E463" t="s">
        <v>31</v>
      </c>
      <c r="F463" t="s">
        <v>23</v>
      </c>
      <c r="G463">
        <v>4142</v>
      </c>
      <c r="H463">
        <v>2527.06</v>
      </c>
      <c r="I463">
        <v>28569.64</v>
      </c>
      <c r="J463" t="s">
        <v>37</v>
      </c>
      <c r="K463" t="s">
        <v>38</v>
      </c>
      <c r="L463">
        <v>0</v>
      </c>
      <c r="M463">
        <v>0</v>
      </c>
      <c r="N463">
        <v>0</v>
      </c>
      <c r="O463">
        <v>0</v>
      </c>
      <c r="P463">
        <v>0</v>
      </c>
      <c r="Q463">
        <v>793</v>
      </c>
      <c r="R463">
        <v>0.56999999999999995</v>
      </c>
      <c r="S463" t="s">
        <v>39</v>
      </c>
      <c r="T463" s="1">
        <v>45238</v>
      </c>
      <c r="U463">
        <v>0</v>
      </c>
    </row>
    <row r="464" spans="1:21" x14ac:dyDescent="0.25">
      <c r="A464" t="s">
        <v>511</v>
      </c>
      <c r="B464">
        <v>20</v>
      </c>
      <c r="C464" t="s">
        <v>29</v>
      </c>
      <c r="D464" t="s">
        <v>22</v>
      </c>
      <c r="E464" t="s">
        <v>31</v>
      </c>
      <c r="F464" t="s">
        <v>49</v>
      </c>
      <c r="G464">
        <v>6686.55</v>
      </c>
      <c r="H464">
        <v>4778.51</v>
      </c>
      <c r="I464">
        <v>58076.06</v>
      </c>
      <c r="J464" t="s">
        <v>37</v>
      </c>
      <c r="K464" t="s">
        <v>38</v>
      </c>
      <c r="L464">
        <v>0</v>
      </c>
      <c r="M464">
        <v>0</v>
      </c>
      <c r="N464">
        <v>0</v>
      </c>
      <c r="O464">
        <v>0</v>
      </c>
      <c r="P464">
        <v>0</v>
      </c>
      <c r="Q464">
        <v>569</v>
      </c>
      <c r="R464">
        <v>0.72</v>
      </c>
      <c r="S464" t="s">
        <v>30</v>
      </c>
      <c r="T464" s="1">
        <v>45399</v>
      </c>
      <c r="U464">
        <v>0</v>
      </c>
    </row>
    <row r="465" spans="1:21" x14ac:dyDescent="0.25">
      <c r="A465" t="s">
        <v>512</v>
      </c>
      <c r="B465">
        <v>34</v>
      </c>
      <c r="C465" t="s">
        <v>30</v>
      </c>
      <c r="D465" t="s">
        <v>22</v>
      </c>
      <c r="E465" t="s">
        <v>31</v>
      </c>
      <c r="F465" t="s">
        <v>44</v>
      </c>
      <c r="G465">
        <v>6271.41</v>
      </c>
      <c r="H465">
        <v>4343.46</v>
      </c>
      <c r="I465">
        <v>58568.9</v>
      </c>
      <c r="J465" t="s">
        <v>37</v>
      </c>
      <c r="K465" t="s">
        <v>38</v>
      </c>
      <c r="L465">
        <v>0</v>
      </c>
      <c r="M465">
        <v>0</v>
      </c>
      <c r="N465">
        <v>0</v>
      </c>
      <c r="O465">
        <v>0</v>
      </c>
      <c r="P465">
        <v>0</v>
      </c>
      <c r="Q465">
        <v>515</v>
      </c>
      <c r="R465">
        <v>0.78</v>
      </c>
      <c r="S465" t="s">
        <v>47</v>
      </c>
      <c r="T465" s="1">
        <v>45202</v>
      </c>
      <c r="U465">
        <v>0</v>
      </c>
    </row>
    <row r="466" spans="1:21" x14ac:dyDescent="0.25">
      <c r="A466" t="s">
        <v>513</v>
      </c>
      <c r="B466">
        <v>59</v>
      </c>
      <c r="C466" t="s">
        <v>21</v>
      </c>
      <c r="D466" t="s">
        <v>41</v>
      </c>
      <c r="E466" t="s">
        <v>31</v>
      </c>
      <c r="F466" t="s">
        <v>32</v>
      </c>
      <c r="G466">
        <v>4789.55</v>
      </c>
      <c r="H466">
        <v>3673.09</v>
      </c>
      <c r="I466">
        <v>17715.25</v>
      </c>
      <c r="J466" t="s">
        <v>37</v>
      </c>
      <c r="K466" t="s">
        <v>38</v>
      </c>
      <c r="L466">
        <v>0</v>
      </c>
      <c r="M466">
        <v>0</v>
      </c>
      <c r="N466">
        <v>0</v>
      </c>
      <c r="O466">
        <v>0</v>
      </c>
      <c r="P466">
        <v>0</v>
      </c>
      <c r="Q466">
        <v>323</v>
      </c>
      <c r="R466">
        <v>0.31</v>
      </c>
      <c r="S466" t="s">
        <v>72</v>
      </c>
      <c r="T466" s="1">
        <v>45150</v>
      </c>
      <c r="U466">
        <v>0</v>
      </c>
    </row>
    <row r="467" spans="1:21" x14ac:dyDescent="0.25">
      <c r="A467" t="s">
        <v>514</v>
      </c>
      <c r="B467">
        <v>43</v>
      </c>
      <c r="C467" t="s">
        <v>21</v>
      </c>
      <c r="D467" t="s">
        <v>35</v>
      </c>
      <c r="E467" t="s">
        <v>51</v>
      </c>
      <c r="F467" t="s">
        <v>24</v>
      </c>
      <c r="G467">
        <v>5391.96</v>
      </c>
      <c r="H467">
        <v>2322.16</v>
      </c>
      <c r="I467">
        <v>56093.85</v>
      </c>
      <c r="J467" t="s">
        <v>37</v>
      </c>
      <c r="K467" t="s">
        <v>38</v>
      </c>
      <c r="L467">
        <v>0</v>
      </c>
      <c r="M467">
        <v>0</v>
      </c>
      <c r="N467">
        <v>0</v>
      </c>
      <c r="O467">
        <v>0</v>
      </c>
      <c r="P467">
        <v>0</v>
      </c>
      <c r="Q467">
        <v>579</v>
      </c>
      <c r="R467">
        <v>0.87</v>
      </c>
      <c r="S467" t="s">
        <v>72</v>
      </c>
      <c r="T467" s="1">
        <v>45032</v>
      </c>
      <c r="U467">
        <v>0</v>
      </c>
    </row>
    <row r="468" spans="1:21" x14ac:dyDescent="0.25">
      <c r="A468" t="s">
        <v>515</v>
      </c>
      <c r="B468">
        <v>29</v>
      </c>
      <c r="C468" t="s">
        <v>21</v>
      </c>
      <c r="D468" t="s">
        <v>22</v>
      </c>
      <c r="E468" t="s">
        <v>31</v>
      </c>
      <c r="F468" t="s">
        <v>24</v>
      </c>
      <c r="G468">
        <v>1857.48</v>
      </c>
      <c r="H468">
        <v>563.85</v>
      </c>
      <c r="I468">
        <v>8777.84</v>
      </c>
      <c r="J468" t="s">
        <v>37</v>
      </c>
      <c r="K468" t="s">
        <v>38</v>
      </c>
      <c r="L468">
        <v>0</v>
      </c>
      <c r="M468">
        <v>0</v>
      </c>
      <c r="N468">
        <v>0</v>
      </c>
      <c r="O468">
        <v>0</v>
      </c>
      <c r="P468">
        <v>0</v>
      </c>
      <c r="Q468">
        <v>814</v>
      </c>
      <c r="R468">
        <v>0.39</v>
      </c>
      <c r="S468" t="s">
        <v>30</v>
      </c>
      <c r="T468" s="1">
        <v>44572</v>
      </c>
      <c r="U468">
        <v>0</v>
      </c>
    </row>
    <row r="469" spans="1:21" x14ac:dyDescent="0.25">
      <c r="A469" t="s">
        <v>516</v>
      </c>
      <c r="B469">
        <v>29</v>
      </c>
      <c r="C469" t="s">
        <v>29</v>
      </c>
      <c r="D469" t="s">
        <v>41</v>
      </c>
      <c r="E469" t="s">
        <v>31</v>
      </c>
      <c r="F469" t="s">
        <v>23</v>
      </c>
      <c r="G469">
        <v>5312.94</v>
      </c>
      <c r="H469">
        <v>3280.87</v>
      </c>
      <c r="I469">
        <v>33330.15</v>
      </c>
      <c r="J469" t="s">
        <v>25</v>
      </c>
      <c r="K469" t="s">
        <v>26</v>
      </c>
      <c r="L469">
        <v>209340.5</v>
      </c>
      <c r="M469">
        <v>300</v>
      </c>
      <c r="N469">
        <v>4958.84</v>
      </c>
      <c r="O469">
        <v>28.4</v>
      </c>
      <c r="P469">
        <v>0.93</v>
      </c>
      <c r="Q469">
        <v>763</v>
      </c>
      <c r="R469">
        <v>0.52</v>
      </c>
      <c r="S469" t="s">
        <v>30</v>
      </c>
      <c r="T469" s="1">
        <v>44942</v>
      </c>
      <c r="U469">
        <v>1</v>
      </c>
    </row>
    <row r="470" spans="1:21" x14ac:dyDescent="0.25">
      <c r="A470" t="s">
        <v>517</v>
      </c>
      <c r="B470">
        <v>24</v>
      </c>
      <c r="C470" t="s">
        <v>21</v>
      </c>
      <c r="D470" t="s">
        <v>35</v>
      </c>
      <c r="E470" t="s">
        <v>51</v>
      </c>
      <c r="F470" t="s">
        <v>42</v>
      </c>
      <c r="G470">
        <v>6126.16</v>
      </c>
      <c r="H470">
        <v>4766.95</v>
      </c>
      <c r="I470">
        <v>31655.200000000001</v>
      </c>
      <c r="J470" t="s">
        <v>25</v>
      </c>
      <c r="K470" t="s">
        <v>45</v>
      </c>
      <c r="L470">
        <v>30353.39</v>
      </c>
      <c r="M470">
        <v>24</v>
      </c>
      <c r="N470">
        <v>1414.28</v>
      </c>
      <c r="O470">
        <v>10.97</v>
      </c>
      <c r="P470">
        <v>0.23</v>
      </c>
      <c r="Q470">
        <v>656</v>
      </c>
      <c r="R470">
        <v>0.43</v>
      </c>
      <c r="S470" t="s">
        <v>72</v>
      </c>
      <c r="T470" s="1">
        <v>45493</v>
      </c>
      <c r="U470">
        <v>0</v>
      </c>
    </row>
    <row r="471" spans="1:21" x14ac:dyDescent="0.25">
      <c r="A471" t="s">
        <v>518</v>
      </c>
      <c r="B471">
        <v>59</v>
      </c>
      <c r="C471" t="s">
        <v>21</v>
      </c>
      <c r="D471" t="s">
        <v>35</v>
      </c>
      <c r="E471" t="s">
        <v>31</v>
      </c>
      <c r="F471" t="s">
        <v>49</v>
      </c>
      <c r="G471">
        <v>2666.99</v>
      </c>
      <c r="H471">
        <v>819.02</v>
      </c>
      <c r="I471">
        <v>9262.91</v>
      </c>
      <c r="J471" t="s">
        <v>37</v>
      </c>
      <c r="K471" t="s">
        <v>38</v>
      </c>
      <c r="L471">
        <v>0</v>
      </c>
      <c r="M471">
        <v>0</v>
      </c>
      <c r="N471">
        <v>0</v>
      </c>
      <c r="O471">
        <v>0</v>
      </c>
      <c r="P471">
        <v>0</v>
      </c>
      <c r="Q471">
        <v>456</v>
      </c>
      <c r="R471">
        <v>0.28999999999999998</v>
      </c>
      <c r="S471" t="s">
        <v>72</v>
      </c>
      <c r="T471" s="1">
        <v>45635</v>
      </c>
      <c r="U471">
        <v>0</v>
      </c>
    </row>
    <row r="472" spans="1:21" x14ac:dyDescent="0.25">
      <c r="A472" t="s">
        <v>519</v>
      </c>
      <c r="B472">
        <v>47</v>
      </c>
      <c r="C472" t="s">
        <v>21</v>
      </c>
      <c r="D472" t="s">
        <v>22</v>
      </c>
      <c r="E472" t="s">
        <v>51</v>
      </c>
      <c r="F472" t="s">
        <v>32</v>
      </c>
      <c r="G472">
        <v>3708.41</v>
      </c>
      <c r="H472">
        <v>2364.27</v>
      </c>
      <c r="I472">
        <v>36917.519999999997</v>
      </c>
      <c r="J472" t="s">
        <v>37</v>
      </c>
      <c r="K472" t="s">
        <v>38</v>
      </c>
      <c r="L472">
        <v>0</v>
      </c>
      <c r="M472">
        <v>0</v>
      </c>
      <c r="N472">
        <v>0</v>
      </c>
      <c r="O472">
        <v>0</v>
      </c>
      <c r="P472">
        <v>0</v>
      </c>
      <c r="Q472">
        <v>746</v>
      </c>
      <c r="R472">
        <v>0.83</v>
      </c>
      <c r="S472" t="s">
        <v>47</v>
      </c>
      <c r="T472" s="1">
        <v>45846</v>
      </c>
      <c r="U472">
        <v>0</v>
      </c>
    </row>
    <row r="473" spans="1:21" x14ac:dyDescent="0.25">
      <c r="A473" t="s">
        <v>520</v>
      </c>
      <c r="B473">
        <v>25</v>
      </c>
      <c r="C473" t="s">
        <v>30</v>
      </c>
      <c r="D473" t="s">
        <v>41</v>
      </c>
      <c r="E473" t="s">
        <v>23</v>
      </c>
      <c r="F473" t="s">
        <v>44</v>
      </c>
      <c r="G473">
        <v>5642.62</v>
      </c>
      <c r="H473">
        <v>2715.13</v>
      </c>
      <c r="I473">
        <v>62865.69</v>
      </c>
      <c r="J473" t="s">
        <v>25</v>
      </c>
      <c r="K473" t="s">
        <v>45</v>
      </c>
      <c r="L473">
        <v>218719.69</v>
      </c>
      <c r="M473">
        <v>360</v>
      </c>
      <c r="N473">
        <v>3205.36</v>
      </c>
      <c r="O473">
        <v>17.489999999999998</v>
      </c>
      <c r="P473">
        <v>0.56999999999999995</v>
      </c>
      <c r="Q473">
        <v>822</v>
      </c>
      <c r="R473">
        <v>0.93</v>
      </c>
      <c r="S473" t="s">
        <v>47</v>
      </c>
      <c r="T473" s="1">
        <v>45215</v>
      </c>
      <c r="U473">
        <v>1</v>
      </c>
    </row>
    <row r="474" spans="1:21" x14ac:dyDescent="0.25">
      <c r="A474" t="s">
        <v>521</v>
      </c>
      <c r="B474">
        <v>34</v>
      </c>
      <c r="C474" t="s">
        <v>21</v>
      </c>
      <c r="D474" t="s">
        <v>35</v>
      </c>
      <c r="E474" t="s">
        <v>31</v>
      </c>
      <c r="F474" t="s">
        <v>32</v>
      </c>
      <c r="G474">
        <v>3381.94</v>
      </c>
      <c r="H474">
        <v>1291</v>
      </c>
      <c r="I474">
        <v>15542.27</v>
      </c>
      <c r="J474" t="s">
        <v>37</v>
      </c>
      <c r="K474" t="s">
        <v>38</v>
      </c>
      <c r="L474">
        <v>0</v>
      </c>
      <c r="M474">
        <v>0</v>
      </c>
      <c r="N474">
        <v>0</v>
      </c>
      <c r="O474">
        <v>0</v>
      </c>
      <c r="P474">
        <v>0</v>
      </c>
      <c r="Q474">
        <v>589</v>
      </c>
      <c r="R474">
        <v>0.38</v>
      </c>
      <c r="S474" t="s">
        <v>39</v>
      </c>
      <c r="T474" s="1">
        <v>45487</v>
      </c>
      <c r="U474">
        <v>0</v>
      </c>
    </row>
    <row r="475" spans="1:21" x14ac:dyDescent="0.25">
      <c r="A475" t="s">
        <v>522</v>
      </c>
      <c r="B475">
        <v>33</v>
      </c>
      <c r="C475" t="s">
        <v>29</v>
      </c>
      <c r="D475" t="s">
        <v>22</v>
      </c>
      <c r="E475" t="s">
        <v>31</v>
      </c>
      <c r="F475" t="s">
        <v>32</v>
      </c>
      <c r="G475">
        <v>5627.51</v>
      </c>
      <c r="H475">
        <v>4965.05</v>
      </c>
      <c r="I475">
        <v>29973.85</v>
      </c>
      <c r="J475" t="s">
        <v>37</v>
      </c>
      <c r="K475" t="s">
        <v>38</v>
      </c>
      <c r="L475">
        <v>0</v>
      </c>
      <c r="M475">
        <v>0</v>
      </c>
      <c r="N475">
        <v>0</v>
      </c>
      <c r="O475">
        <v>0</v>
      </c>
      <c r="P475">
        <v>0</v>
      </c>
      <c r="Q475">
        <v>323</v>
      </c>
      <c r="R475">
        <v>0.44</v>
      </c>
      <c r="S475" t="s">
        <v>39</v>
      </c>
      <c r="T475" s="1">
        <v>45525</v>
      </c>
      <c r="U475">
        <v>0</v>
      </c>
    </row>
    <row r="476" spans="1:21" x14ac:dyDescent="0.25">
      <c r="A476" t="s">
        <v>523</v>
      </c>
      <c r="B476">
        <v>27</v>
      </c>
      <c r="C476" t="s">
        <v>29</v>
      </c>
      <c r="D476" t="s">
        <v>22</v>
      </c>
      <c r="E476" t="s">
        <v>31</v>
      </c>
      <c r="F476" t="s">
        <v>49</v>
      </c>
      <c r="G476">
        <v>5514.02</v>
      </c>
      <c r="H476">
        <v>1799.11</v>
      </c>
      <c r="I476">
        <v>64551.41</v>
      </c>
      <c r="J476" t="s">
        <v>37</v>
      </c>
      <c r="K476" t="s">
        <v>38</v>
      </c>
      <c r="L476">
        <v>0</v>
      </c>
      <c r="M476">
        <v>0</v>
      </c>
      <c r="N476">
        <v>0</v>
      </c>
      <c r="O476">
        <v>0</v>
      </c>
      <c r="P476">
        <v>0</v>
      </c>
      <c r="Q476">
        <v>359</v>
      </c>
      <c r="R476">
        <v>0.98</v>
      </c>
      <c r="S476" t="s">
        <v>72</v>
      </c>
      <c r="T476" s="1">
        <v>45311</v>
      </c>
      <c r="U476">
        <v>0</v>
      </c>
    </row>
    <row r="477" spans="1:21" x14ac:dyDescent="0.25">
      <c r="A477" t="s">
        <v>524</v>
      </c>
      <c r="B477">
        <v>41</v>
      </c>
      <c r="C477" t="s">
        <v>29</v>
      </c>
      <c r="D477" t="s">
        <v>41</v>
      </c>
      <c r="E477" t="s">
        <v>51</v>
      </c>
      <c r="F477" t="s">
        <v>52</v>
      </c>
      <c r="G477">
        <v>5761.81</v>
      </c>
      <c r="H477">
        <v>4593.08</v>
      </c>
      <c r="I477">
        <v>9621.2099999999991</v>
      </c>
      <c r="J477" t="s">
        <v>25</v>
      </c>
      <c r="K477" t="s">
        <v>26</v>
      </c>
      <c r="L477">
        <v>381767.89</v>
      </c>
      <c r="M477">
        <v>60</v>
      </c>
      <c r="N477">
        <v>7199.19</v>
      </c>
      <c r="O477">
        <v>4.97</v>
      </c>
      <c r="P477">
        <v>1.25</v>
      </c>
      <c r="Q477">
        <v>603</v>
      </c>
      <c r="R477">
        <v>0.14000000000000001</v>
      </c>
      <c r="S477" t="s">
        <v>30</v>
      </c>
      <c r="T477" s="1">
        <v>45145</v>
      </c>
      <c r="U477">
        <v>1</v>
      </c>
    </row>
    <row r="478" spans="1:21" x14ac:dyDescent="0.25">
      <c r="A478" t="s">
        <v>525</v>
      </c>
      <c r="B478">
        <v>54</v>
      </c>
      <c r="C478" t="s">
        <v>21</v>
      </c>
      <c r="D478" t="s">
        <v>35</v>
      </c>
      <c r="E478" t="s">
        <v>51</v>
      </c>
      <c r="F478" t="s">
        <v>49</v>
      </c>
      <c r="G478">
        <v>5731.87</v>
      </c>
      <c r="H478">
        <v>2751.07</v>
      </c>
      <c r="I478">
        <v>63003.69</v>
      </c>
      <c r="J478" t="s">
        <v>25</v>
      </c>
      <c r="K478" t="s">
        <v>26</v>
      </c>
      <c r="L478">
        <v>132946.25</v>
      </c>
      <c r="M478">
        <v>36</v>
      </c>
      <c r="N478">
        <v>4410.6400000000003</v>
      </c>
      <c r="O478">
        <v>11.92</v>
      </c>
      <c r="P478">
        <v>0.77</v>
      </c>
      <c r="Q478">
        <v>518</v>
      </c>
      <c r="R478">
        <v>0.92</v>
      </c>
      <c r="S478" t="s">
        <v>72</v>
      </c>
      <c r="T478" s="1">
        <v>44923</v>
      </c>
      <c r="U478">
        <v>1</v>
      </c>
    </row>
    <row r="479" spans="1:21" x14ac:dyDescent="0.25">
      <c r="A479" t="s">
        <v>526</v>
      </c>
      <c r="B479">
        <v>45</v>
      </c>
      <c r="C479" t="s">
        <v>29</v>
      </c>
      <c r="D479" t="s">
        <v>41</v>
      </c>
      <c r="E479" t="s">
        <v>51</v>
      </c>
      <c r="F479" t="s">
        <v>42</v>
      </c>
      <c r="G479">
        <v>7130.92</v>
      </c>
      <c r="H479">
        <v>4610.68</v>
      </c>
      <c r="I479">
        <v>39328.269999999997</v>
      </c>
      <c r="J479" t="s">
        <v>37</v>
      </c>
      <c r="K479" t="s">
        <v>38</v>
      </c>
      <c r="L479">
        <v>0</v>
      </c>
      <c r="M479">
        <v>0</v>
      </c>
      <c r="N479">
        <v>0</v>
      </c>
      <c r="O479">
        <v>0</v>
      </c>
      <c r="P479">
        <v>0</v>
      </c>
      <c r="Q479">
        <v>499</v>
      </c>
      <c r="R479">
        <v>0.46</v>
      </c>
      <c r="S479" t="s">
        <v>39</v>
      </c>
      <c r="T479" s="1">
        <v>45355</v>
      </c>
      <c r="U479">
        <v>0</v>
      </c>
    </row>
    <row r="480" spans="1:21" x14ac:dyDescent="0.25">
      <c r="A480" t="s">
        <v>527</v>
      </c>
      <c r="B480">
        <v>56</v>
      </c>
      <c r="C480" t="s">
        <v>29</v>
      </c>
      <c r="D480" t="s">
        <v>22</v>
      </c>
      <c r="E480" t="s">
        <v>51</v>
      </c>
      <c r="F480" t="s">
        <v>49</v>
      </c>
      <c r="G480">
        <v>4426.91</v>
      </c>
      <c r="H480">
        <v>2679.28</v>
      </c>
      <c r="I480">
        <v>50939.3</v>
      </c>
      <c r="J480" t="s">
        <v>37</v>
      </c>
      <c r="K480" t="s">
        <v>38</v>
      </c>
      <c r="L480">
        <v>0</v>
      </c>
      <c r="M480">
        <v>0</v>
      </c>
      <c r="N480">
        <v>0</v>
      </c>
      <c r="O480">
        <v>0</v>
      </c>
      <c r="P480">
        <v>0</v>
      </c>
      <c r="Q480">
        <v>315</v>
      </c>
      <c r="R480">
        <v>0.96</v>
      </c>
      <c r="S480" t="s">
        <v>27</v>
      </c>
      <c r="T480" s="1">
        <v>44543</v>
      </c>
      <c r="U480">
        <v>0</v>
      </c>
    </row>
    <row r="481" spans="1:21" x14ac:dyDescent="0.25">
      <c r="A481" t="s">
        <v>528</v>
      </c>
      <c r="B481">
        <v>43</v>
      </c>
      <c r="C481" t="s">
        <v>29</v>
      </c>
      <c r="D481" t="s">
        <v>35</v>
      </c>
      <c r="E481" t="s">
        <v>31</v>
      </c>
      <c r="F481" t="s">
        <v>32</v>
      </c>
      <c r="G481">
        <v>3114.94</v>
      </c>
      <c r="H481">
        <v>1278.05</v>
      </c>
      <c r="I481">
        <v>19812.71</v>
      </c>
      <c r="J481" t="s">
        <v>37</v>
      </c>
      <c r="K481" t="s">
        <v>38</v>
      </c>
      <c r="L481">
        <v>0</v>
      </c>
      <c r="M481">
        <v>0</v>
      </c>
      <c r="N481">
        <v>0</v>
      </c>
      <c r="O481">
        <v>0</v>
      </c>
      <c r="P481">
        <v>0</v>
      </c>
      <c r="Q481">
        <v>553</v>
      </c>
      <c r="R481">
        <v>0.53</v>
      </c>
      <c r="S481" t="s">
        <v>30</v>
      </c>
      <c r="T481" s="1">
        <v>44942</v>
      </c>
      <c r="U481">
        <v>0</v>
      </c>
    </row>
    <row r="482" spans="1:21" x14ac:dyDescent="0.25">
      <c r="A482" t="s">
        <v>529</v>
      </c>
      <c r="B482">
        <v>40</v>
      </c>
      <c r="C482" t="s">
        <v>21</v>
      </c>
      <c r="D482" t="s">
        <v>41</v>
      </c>
      <c r="E482" t="s">
        <v>49</v>
      </c>
      <c r="F482" t="s">
        <v>24</v>
      </c>
      <c r="G482">
        <v>4057.89</v>
      </c>
      <c r="H482">
        <v>2189.71</v>
      </c>
      <c r="I482">
        <v>40563.120000000003</v>
      </c>
      <c r="J482" t="s">
        <v>37</v>
      </c>
      <c r="K482" t="s">
        <v>38</v>
      </c>
      <c r="L482">
        <v>0</v>
      </c>
      <c r="M482">
        <v>0</v>
      </c>
      <c r="N482">
        <v>0</v>
      </c>
      <c r="O482">
        <v>0</v>
      </c>
      <c r="P482">
        <v>0</v>
      </c>
      <c r="Q482">
        <v>785</v>
      </c>
      <c r="R482">
        <v>0.83</v>
      </c>
      <c r="S482" t="s">
        <v>72</v>
      </c>
      <c r="T482" s="1">
        <v>45130</v>
      </c>
      <c r="U482">
        <v>0</v>
      </c>
    </row>
    <row r="483" spans="1:21" x14ac:dyDescent="0.25">
      <c r="A483" t="s">
        <v>530</v>
      </c>
      <c r="B483">
        <v>48</v>
      </c>
      <c r="C483" t="s">
        <v>29</v>
      </c>
      <c r="D483" t="s">
        <v>35</v>
      </c>
      <c r="E483" t="s">
        <v>51</v>
      </c>
      <c r="F483" t="s">
        <v>24</v>
      </c>
      <c r="G483">
        <v>2572.91</v>
      </c>
      <c r="H483">
        <v>1951.32</v>
      </c>
      <c r="I483">
        <v>6232.33</v>
      </c>
      <c r="J483" t="s">
        <v>37</v>
      </c>
      <c r="K483" t="s">
        <v>38</v>
      </c>
      <c r="L483">
        <v>0</v>
      </c>
      <c r="M483">
        <v>0</v>
      </c>
      <c r="N483">
        <v>0</v>
      </c>
      <c r="O483">
        <v>0</v>
      </c>
      <c r="P483">
        <v>0</v>
      </c>
      <c r="Q483">
        <v>840</v>
      </c>
      <c r="R483">
        <v>0.2</v>
      </c>
      <c r="S483" t="s">
        <v>27</v>
      </c>
      <c r="T483" s="1">
        <v>45681</v>
      </c>
      <c r="U483">
        <v>0</v>
      </c>
    </row>
    <row r="484" spans="1:21" x14ac:dyDescent="0.25">
      <c r="A484" t="s">
        <v>531</v>
      </c>
      <c r="B484">
        <v>65</v>
      </c>
      <c r="C484" t="s">
        <v>29</v>
      </c>
      <c r="D484" t="s">
        <v>41</v>
      </c>
      <c r="E484" t="s">
        <v>51</v>
      </c>
      <c r="F484" t="s">
        <v>36</v>
      </c>
      <c r="G484">
        <v>4062.87</v>
      </c>
      <c r="H484">
        <v>1968.96</v>
      </c>
      <c r="I484">
        <v>14549.26</v>
      </c>
      <c r="J484" t="s">
        <v>37</v>
      </c>
      <c r="K484" t="s">
        <v>38</v>
      </c>
      <c r="L484">
        <v>0</v>
      </c>
      <c r="M484">
        <v>0</v>
      </c>
      <c r="N484">
        <v>0</v>
      </c>
      <c r="O484">
        <v>0</v>
      </c>
      <c r="P484">
        <v>0</v>
      </c>
      <c r="Q484">
        <v>738</v>
      </c>
      <c r="R484">
        <v>0.3</v>
      </c>
      <c r="S484" t="s">
        <v>47</v>
      </c>
      <c r="T484" s="1">
        <v>44805</v>
      </c>
      <c r="U484">
        <v>0</v>
      </c>
    </row>
    <row r="485" spans="1:21" x14ac:dyDescent="0.25">
      <c r="A485" t="s">
        <v>532</v>
      </c>
      <c r="B485">
        <v>62</v>
      </c>
      <c r="C485" t="s">
        <v>21</v>
      </c>
      <c r="D485" t="s">
        <v>41</v>
      </c>
      <c r="E485" t="s">
        <v>51</v>
      </c>
      <c r="F485" t="s">
        <v>44</v>
      </c>
      <c r="G485">
        <v>2583.5500000000002</v>
      </c>
      <c r="H485">
        <v>1150.17</v>
      </c>
      <c r="I485">
        <v>10267.469999999999</v>
      </c>
      <c r="J485" t="s">
        <v>25</v>
      </c>
      <c r="K485" t="s">
        <v>45</v>
      </c>
      <c r="L485">
        <v>244324.2</v>
      </c>
      <c r="M485">
        <v>300</v>
      </c>
      <c r="N485">
        <v>4079.1</v>
      </c>
      <c r="O485">
        <v>19.89</v>
      </c>
      <c r="P485">
        <v>1.58</v>
      </c>
      <c r="Q485">
        <v>641</v>
      </c>
      <c r="R485">
        <v>0.33</v>
      </c>
      <c r="S485" t="s">
        <v>47</v>
      </c>
      <c r="T485" s="1">
        <v>45684</v>
      </c>
      <c r="U485">
        <v>1</v>
      </c>
    </row>
    <row r="486" spans="1:21" x14ac:dyDescent="0.25">
      <c r="A486" t="s">
        <v>533</v>
      </c>
      <c r="B486">
        <v>34</v>
      </c>
      <c r="C486" t="s">
        <v>29</v>
      </c>
      <c r="D486" t="s">
        <v>41</v>
      </c>
      <c r="E486" t="s">
        <v>49</v>
      </c>
      <c r="F486" t="s">
        <v>36</v>
      </c>
      <c r="G486">
        <v>1715.7</v>
      </c>
      <c r="H486">
        <v>811.66</v>
      </c>
      <c r="I486">
        <v>12052.32</v>
      </c>
      <c r="J486" t="s">
        <v>37</v>
      </c>
      <c r="K486" t="s">
        <v>38</v>
      </c>
      <c r="L486">
        <v>0</v>
      </c>
      <c r="M486">
        <v>0</v>
      </c>
      <c r="N486">
        <v>0</v>
      </c>
      <c r="O486">
        <v>0</v>
      </c>
      <c r="P486">
        <v>0</v>
      </c>
      <c r="Q486">
        <v>652</v>
      </c>
      <c r="R486">
        <v>0.59</v>
      </c>
      <c r="S486" t="s">
        <v>39</v>
      </c>
      <c r="T486" s="1">
        <v>44940</v>
      </c>
      <c r="U486">
        <v>0</v>
      </c>
    </row>
    <row r="487" spans="1:21" x14ac:dyDescent="0.25">
      <c r="A487" t="s">
        <v>534</v>
      </c>
      <c r="B487">
        <v>64</v>
      </c>
      <c r="C487" t="s">
        <v>21</v>
      </c>
      <c r="D487" t="s">
        <v>35</v>
      </c>
      <c r="E487" t="s">
        <v>51</v>
      </c>
      <c r="F487" t="s">
        <v>49</v>
      </c>
      <c r="G487">
        <v>2777.74</v>
      </c>
      <c r="H487">
        <v>873.94</v>
      </c>
      <c r="I487">
        <v>27887.24</v>
      </c>
      <c r="J487" t="s">
        <v>37</v>
      </c>
      <c r="K487" t="s">
        <v>38</v>
      </c>
      <c r="L487">
        <v>0</v>
      </c>
      <c r="M487">
        <v>0</v>
      </c>
      <c r="N487">
        <v>0</v>
      </c>
      <c r="O487">
        <v>0</v>
      </c>
      <c r="P487">
        <v>0</v>
      </c>
      <c r="Q487">
        <v>512</v>
      </c>
      <c r="R487">
        <v>0.84</v>
      </c>
      <c r="S487" t="s">
        <v>27</v>
      </c>
      <c r="T487" s="1">
        <v>45024</v>
      </c>
      <c r="U487">
        <v>0</v>
      </c>
    </row>
    <row r="488" spans="1:21" x14ac:dyDescent="0.25">
      <c r="A488" t="s">
        <v>535</v>
      </c>
      <c r="B488">
        <v>32</v>
      </c>
      <c r="C488" t="s">
        <v>21</v>
      </c>
      <c r="D488" t="s">
        <v>22</v>
      </c>
      <c r="E488" t="s">
        <v>23</v>
      </c>
      <c r="F488" t="s">
        <v>49</v>
      </c>
      <c r="G488">
        <v>2700.07</v>
      </c>
      <c r="H488">
        <v>1867.05</v>
      </c>
      <c r="I488">
        <v>29266.63</v>
      </c>
      <c r="J488" t="s">
        <v>37</v>
      </c>
      <c r="K488" t="s">
        <v>38</v>
      </c>
      <c r="L488">
        <v>0</v>
      </c>
      <c r="M488">
        <v>0</v>
      </c>
      <c r="N488">
        <v>0</v>
      </c>
      <c r="O488">
        <v>0</v>
      </c>
      <c r="P488">
        <v>0</v>
      </c>
      <c r="Q488">
        <v>665</v>
      </c>
      <c r="R488">
        <v>0.9</v>
      </c>
      <c r="S488" t="s">
        <v>47</v>
      </c>
      <c r="T488" s="1">
        <v>45596</v>
      </c>
      <c r="U488">
        <v>0</v>
      </c>
    </row>
    <row r="489" spans="1:21" x14ac:dyDescent="0.25">
      <c r="A489" t="s">
        <v>536</v>
      </c>
      <c r="B489">
        <v>51</v>
      </c>
      <c r="C489" t="s">
        <v>30</v>
      </c>
      <c r="D489" t="s">
        <v>35</v>
      </c>
      <c r="E489" t="s">
        <v>31</v>
      </c>
      <c r="F489" t="s">
        <v>63</v>
      </c>
      <c r="G489">
        <v>7017.02</v>
      </c>
      <c r="H489">
        <v>3750.77</v>
      </c>
      <c r="I489">
        <v>68580.03</v>
      </c>
      <c r="J489" t="s">
        <v>25</v>
      </c>
      <c r="K489" t="s">
        <v>33</v>
      </c>
      <c r="L489">
        <v>400010.35</v>
      </c>
      <c r="M489">
        <v>300</v>
      </c>
      <c r="N489">
        <v>4599.0200000000004</v>
      </c>
      <c r="O489">
        <v>13.29</v>
      </c>
      <c r="P489">
        <v>0.66</v>
      </c>
      <c r="Q489">
        <v>661</v>
      </c>
      <c r="R489">
        <v>0.81</v>
      </c>
      <c r="S489" t="s">
        <v>72</v>
      </c>
      <c r="T489" s="1">
        <v>45440</v>
      </c>
      <c r="U489">
        <v>1</v>
      </c>
    </row>
    <row r="490" spans="1:21" x14ac:dyDescent="0.25">
      <c r="A490" t="s">
        <v>537</v>
      </c>
      <c r="B490">
        <v>40</v>
      </c>
      <c r="C490" t="s">
        <v>29</v>
      </c>
      <c r="D490" t="s">
        <v>22</v>
      </c>
      <c r="E490" t="s">
        <v>31</v>
      </c>
      <c r="F490" t="s">
        <v>23</v>
      </c>
      <c r="G490">
        <v>3705.52</v>
      </c>
      <c r="H490">
        <v>2403.2600000000002</v>
      </c>
      <c r="I490">
        <v>8435.17</v>
      </c>
      <c r="J490" t="s">
        <v>37</v>
      </c>
      <c r="K490" t="s">
        <v>38</v>
      </c>
      <c r="L490">
        <v>0</v>
      </c>
      <c r="M490">
        <v>0</v>
      </c>
      <c r="N490">
        <v>0</v>
      </c>
      <c r="O490">
        <v>0</v>
      </c>
      <c r="P490">
        <v>0</v>
      </c>
      <c r="Q490">
        <v>371</v>
      </c>
      <c r="R490">
        <v>0.19</v>
      </c>
      <c r="S490" t="s">
        <v>47</v>
      </c>
      <c r="T490" s="1">
        <v>44979</v>
      </c>
      <c r="U490">
        <v>0</v>
      </c>
    </row>
    <row r="491" spans="1:21" x14ac:dyDescent="0.25">
      <c r="A491" t="s">
        <v>538</v>
      </c>
      <c r="B491">
        <v>30</v>
      </c>
      <c r="C491" t="s">
        <v>21</v>
      </c>
      <c r="D491" t="s">
        <v>41</v>
      </c>
      <c r="E491" t="s">
        <v>51</v>
      </c>
      <c r="F491" t="s">
        <v>52</v>
      </c>
      <c r="G491">
        <v>4264.8999999999996</v>
      </c>
      <c r="H491">
        <v>2554.8200000000002</v>
      </c>
      <c r="I491">
        <v>6487.51</v>
      </c>
      <c r="J491" t="s">
        <v>37</v>
      </c>
      <c r="K491" t="s">
        <v>38</v>
      </c>
      <c r="L491">
        <v>0</v>
      </c>
      <c r="M491">
        <v>0</v>
      </c>
      <c r="N491">
        <v>0</v>
      </c>
      <c r="O491">
        <v>0</v>
      </c>
      <c r="P491">
        <v>0</v>
      </c>
      <c r="Q491">
        <v>795</v>
      </c>
      <c r="R491">
        <v>0.13</v>
      </c>
      <c r="S491" t="s">
        <v>39</v>
      </c>
      <c r="T491" s="1">
        <v>44730</v>
      </c>
      <c r="U491">
        <v>0</v>
      </c>
    </row>
    <row r="492" spans="1:21" x14ac:dyDescent="0.25">
      <c r="A492" t="s">
        <v>539</v>
      </c>
      <c r="B492">
        <v>32</v>
      </c>
      <c r="C492" t="s">
        <v>29</v>
      </c>
      <c r="D492" t="s">
        <v>22</v>
      </c>
      <c r="E492" t="s">
        <v>51</v>
      </c>
      <c r="F492" t="s">
        <v>52</v>
      </c>
      <c r="G492">
        <v>6985.59</v>
      </c>
      <c r="H492">
        <v>2582.7199999999998</v>
      </c>
      <c r="I492">
        <v>80607.929999999993</v>
      </c>
      <c r="J492" t="s">
        <v>25</v>
      </c>
      <c r="K492" t="s">
        <v>26</v>
      </c>
      <c r="L492">
        <v>128255.44</v>
      </c>
      <c r="M492">
        <v>240</v>
      </c>
      <c r="N492">
        <v>1037.93</v>
      </c>
      <c r="O492">
        <v>7.56</v>
      </c>
      <c r="P492">
        <v>0.15</v>
      </c>
      <c r="Q492">
        <v>313</v>
      </c>
      <c r="R492">
        <v>0.96</v>
      </c>
      <c r="S492" t="s">
        <v>30</v>
      </c>
      <c r="T492" s="1">
        <v>44567</v>
      </c>
      <c r="U492">
        <v>0</v>
      </c>
    </row>
    <row r="493" spans="1:21" x14ac:dyDescent="0.25">
      <c r="A493" t="s">
        <v>540</v>
      </c>
      <c r="B493">
        <v>33</v>
      </c>
      <c r="C493" t="s">
        <v>21</v>
      </c>
      <c r="D493" t="s">
        <v>22</v>
      </c>
      <c r="E493" t="s">
        <v>31</v>
      </c>
      <c r="F493" t="s">
        <v>32</v>
      </c>
      <c r="G493">
        <v>1988.56</v>
      </c>
      <c r="H493">
        <v>1569.6</v>
      </c>
      <c r="I493">
        <v>22322.45</v>
      </c>
      <c r="J493" t="s">
        <v>37</v>
      </c>
      <c r="K493" t="s">
        <v>38</v>
      </c>
      <c r="L493">
        <v>0</v>
      </c>
      <c r="M493">
        <v>0</v>
      </c>
      <c r="N493">
        <v>0</v>
      </c>
      <c r="O493">
        <v>0</v>
      </c>
      <c r="P493">
        <v>0</v>
      </c>
      <c r="Q493">
        <v>521</v>
      </c>
      <c r="R493">
        <v>0.94</v>
      </c>
      <c r="S493" t="s">
        <v>47</v>
      </c>
      <c r="T493" s="1">
        <v>45480</v>
      </c>
      <c r="U493">
        <v>0</v>
      </c>
    </row>
    <row r="494" spans="1:21" x14ac:dyDescent="0.25">
      <c r="A494" t="s">
        <v>541</v>
      </c>
      <c r="B494">
        <v>42</v>
      </c>
      <c r="C494" t="s">
        <v>29</v>
      </c>
      <c r="D494" t="s">
        <v>35</v>
      </c>
      <c r="E494" t="s">
        <v>31</v>
      </c>
      <c r="F494" t="s">
        <v>63</v>
      </c>
      <c r="G494">
        <v>7497.23</v>
      </c>
      <c r="H494">
        <v>5044.54</v>
      </c>
      <c r="I494">
        <v>86104.01</v>
      </c>
      <c r="J494" t="s">
        <v>37</v>
      </c>
      <c r="K494" t="s">
        <v>38</v>
      </c>
      <c r="L494">
        <v>0</v>
      </c>
      <c r="M494">
        <v>0</v>
      </c>
      <c r="N494">
        <v>0</v>
      </c>
      <c r="O494">
        <v>0</v>
      </c>
      <c r="P494">
        <v>0</v>
      </c>
      <c r="Q494">
        <v>417</v>
      </c>
      <c r="R494">
        <v>0.96</v>
      </c>
      <c r="S494" t="s">
        <v>27</v>
      </c>
      <c r="T494" s="1">
        <v>44607</v>
      </c>
      <c r="U494">
        <v>0</v>
      </c>
    </row>
    <row r="495" spans="1:21" x14ac:dyDescent="0.25">
      <c r="A495" t="s">
        <v>542</v>
      </c>
      <c r="B495">
        <v>45</v>
      </c>
      <c r="C495" t="s">
        <v>21</v>
      </c>
      <c r="D495" t="s">
        <v>41</v>
      </c>
      <c r="E495" t="s">
        <v>31</v>
      </c>
      <c r="F495" t="s">
        <v>52</v>
      </c>
      <c r="G495">
        <v>5234.92</v>
      </c>
      <c r="H495">
        <v>4154.6400000000003</v>
      </c>
      <c r="I495">
        <v>28550.77</v>
      </c>
      <c r="J495" t="s">
        <v>37</v>
      </c>
      <c r="K495" t="s">
        <v>38</v>
      </c>
      <c r="L495">
        <v>0</v>
      </c>
      <c r="M495">
        <v>0</v>
      </c>
      <c r="N495">
        <v>0</v>
      </c>
      <c r="O495">
        <v>0</v>
      </c>
      <c r="P495">
        <v>0</v>
      </c>
      <c r="Q495">
        <v>806</v>
      </c>
      <c r="R495">
        <v>0.45</v>
      </c>
      <c r="S495" t="s">
        <v>39</v>
      </c>
      <c r="T495" s="1">
        <v>44564</v>
      </c>
      <c r="U495">
        <v>0</v>
      </c>
    </row>
    <row r="496" spans="1:21" x14ac:dyDescent="0.25">
      <c r="A496" t="s">
        <v>543</v>
      </c>
      <c r="B496">
        <v>25</v>
      </c>
      <c r="C496" t="s">
        <v>21</v>
      </c>
      <c r="D496" t="s">
        <v>41</v>
      </c>
      <c r="E496" t="s">
        <v>31</v>
      </c>
      <c r="F496" t="s">
        <v>32</v>
      </c>
      <c r="G496">
        <v>2488.1999999999998</v>
      </c>
      <c r="H496">
        <v>1937</v>
      </c>
      <c r="I496">
        <v>4598.8</v>
      </c>
      <c r="J496" t="s">
        <v>25</v>
      </c>
      <c r="K496" t="s">
        <v>33</v>
      </c>
      <c r="L496">
        <v>138140.82</v>
      </c>
      <c r="M496">
        <v>36</v>
      </c>
      <c r="N496">
        <v>4455.47</v>
      </c>
      <c r="O496">
        <v>9.9700000000000006</v>
      </c>
      <c r="P496">
        <v>1.79</v>
      </c>
      <c r="Q496">
        <v>541</v>
      </c>
      <c r="R496">
        <v>0.15</v>
      </c>
      <c r="S496" t="s">
        <v>47</v>
      </c>
      <c r="T496" s="1">
        <v>44618</v>
      </c>
      <c r="U496">
        <v>1</v>
      </c>
    </row>
    <row r="497" spans="1:21" x14ac:dyDescent="0.25">
      <c r="A497" t="s">
        <v>544</v>
      </c>
      <c r="B497">
        <v>31</v>
      </c>
      <c r="C497" t="s">
        <v>29</v>
      </c>
      <c r="D497" t="s">
        <v>22</v>
      </c>
      <c r="E497" t="s">
        <v>31</v>
      </c>
      <c r="F497" t="s">
        <v>32</v>
      </c>
      <c r="G497">
        <v>1633.74</v>
      </c>
      <c r="H497">
        <v>1442.64</v>
      </c>
      <c r="I497">
        <v>17952.759999999998</v>
      </c>
      <c r="J497" t="s">
        <v>37</v>
      </c>
      <c r="K497" t="s">
        <v>38</v>
      </c>
      <c r="L497">
        <v>0</v>
      </c>
      <c r="M497">
        <v>0</v>
      </c>
      <c r="N497">
        <v>0</v>
      </c>
      <c r="O497">
        <v>0</v>
      </c>
      <c r="P497">
        <v>0</v>
      </c>
      <c r="Q497">
        <v>580</v>
      </c>
      <c r="R497">
        <v>0.92</v>
      </c>
      <c r="S497" t="s">
        <v>27</v>
      </c>
      <c r="T497" s="1">
        <v>45275</v>
      </c>
      <c r="U497">
        <v>0</v>
      </c>
    </row>
    <row r="498" spans="1:21" x14ac:dyDescent="0.25">
      <c r="A498" t="s">
        <v>545</v>
      </c>
      <c r="B498">
        <v>20</v>
      </c>
      <c r="C498" t="s">
        <v>21</v>
      </c>
      <c r="D498" t="s">
        <v>41</v>
      </c>
      <c r="E498" t="s">
        <v>51</v>
      </c>
      <c r="F498" t="s">
        <v>36</v>
      </c>
      <c r="G498">
        <v>3119.29</v>
      </c>
      <c r="H498">
        <v>1162.27</v>
      </c>
      <c r="I498">
        <v>19341</v>
      </c>
      <c r="J498" t="s">
        <v>37</v>
      </c>
      <c r="K498" t="s">
        <v>38</v>
      </c>
      <c r="L498">
        <v>0</v>
      </c>
      <c r="M498">
        <v>0</v>
      </c>
      <c r="N498">
        <v>0</v>
      </c>
      <c r="O498">
        <v>0</v>
      </c>
      <c r="P498">
        <v>0</v>
      </c>
      <c r="Q498">
        <v>756</v>
      </c>
      <c r="R498">
        <v>0.52</v>
      </c>
      <c r="S498" t="s">
        <v>27</v>
      </c>
      <c r="T498" s="1">
        <v>45143</v>
      </c>
      <c r="U498">
        <v>0</v>
      </c>
    </row>
    <row r="499" spans="1:21" x14ac:dyDescent="0.25">
      <c r="A499" t="s">
        <v>546</v>
      </c>
      <c r="B499">
        <v>27</v>
      </c>
      <c r="C499" t="s">
        <v>29</v>
      </c>
      <c r="D499" t="s">
        <v>41</v>
      </c>
      <c r="E499" t="s">
        <v>31</v>
      </c>
      <c r="F499" t="s">
        <v>42</v>
      </c>
      <c r="G499">
        <v>7379.13</v>
      </c>
      <c r="H499">
        <v>6362.26</v>
      </c>
      <c r="I499">
        <v>86402.559999999998</v>
      </c>
      <c r="J499" t="s">
        <v>37</v>
      </c>
      <c r="K499" t="s">
        <v>38</v>
      </c>
      <c r="L499">
        <v>0</v>
      </c>
      <c r="M499">
        <v>0</v>
      </c>
      <c r="N499">
        <v>0</v>
      </c>
      <c r="O499">
        <v>0</v>
      </c>
      <c r="P499">
        <v>0</v>
      </c>
      <c r="Q499">
        <v>375</v>
      </c>
      <c r="R499">
        <v>0.98</v>
      </c>
      <c r="S499" t="s">
        <v>39</v>
      </c>
      <c r="T499" s="1">
        <v>45011</v>
      </c>
      <c r="U499">
        <v>0</v>
      </c>
    </row>
    <row r="500" spans="1:21" x14ac:dyDescent="0.25">
      <c r="A500" t="s">
        <v>547</v>
      </c>
      <c r="B500">
        <v>56</v>
      </c>
      <c r="C500" t="s">
        <v>21</v>
      </c>
      <c r="D500" t="s">
        <v>35</v>
      </c>
      <c r="E500" t="s">
        <v>31</v>
      </c>
      <c r="F500" t="s">
        <v>24</v>
      </c>
      <c r="G500">
        <v>5040.5</v>
      </c>
      <c r="H500">
        <v>4060.99</v>
      </c>
      <c r="I500">
        <v>26469.48</v>
      </c>
      <c r="J500" t="s">
        <v>37</v>
      </c>
      <c r="K500" t="s">
        <v>38</v>
      </c>
      <c r="L500">
        <v>0</v>
      </c>
      <c r="M500">
        <v>0</v>
      </c>
      <c r="N500">
        <v>0</v>
      </c>
      <c r="O500">
        <v>0</v>
      </c>
      <c r="P500">
        <v>0</v>
      </c>
      <c r="Q500">
        <v>487</v>
      </c>
      <c r="R500">
        <v>0.44</v>
      </c>
      <c r="S500" t="s">
        <v>30</v>
      </c>
      <c r="T500" s="1">
        <v>45547</v>
      </c>
      <c r="U500">
        <v>0</v>
      </c>
    </row>
    <row r="501" spans="1:21" x14ac:dyDescent="0.25">
      <c r="A501" t="s">
        <v>548</v>
      </c>
      <c r="B501">
        <v>56</v>
      </c>
      <c r="C501" t="s">
        <v>29</v>
      </c>
      <c r="D501" t="s">
        <v>41</v>
      </c>
      <c r="E501" t="s">
        <v>51</v>
      </c>
      <c r="F501" t="s">
        <v>36</v>
      </c>
      <c r="G501">
        <v>3763.8</v>
      </c>
      <c r="H501">
        <v>2038.9</v>
      </c>
      <c r="I501">
        <v>25681.96</v>
      </c>
      <c r="J501" t="s">
        <v>37</v>
      </c>
      <c r="K501" t="s">
        <v>38</v>
      </c>
      <c r="L501">
        <v>0</v>
      </c>
      <c r="M501">
        <v>0</v>
      </c>
      <c r="N501">
        <v>0</v>
      </c>
      <c r="O501">
        <v>0</v>
      </c>
      <c r="P501">
        <v>0</v>
      </c>
      <c r="Q501">
        <v>457</v>
      </c>
      <c r="R501">
        <v>0.56999999999999995</v>
      </c>
      <c r="S501" t="s">
        <v>47</v>
      </c>
      <c r="T501" s="1">
        <v>45833</v>
      </c>
      <c r="U501">
        <v>0</v>
      </c>
    </row>
    <row r="502" spans="1:21" x14ac:dyDescent="0.25">
      <c r="A502" t="s">
        <v>549</v>
      </c>
      <c r="B502">
        <v>47</v>
      </c>
      <c r="C502" t="s">
        <v>29</v>
      </c>
      <c r="D502" t="s">
        <v>41</v>
      </c>
      <c r="E502" t="s">
        <v>31</v>
      </c>
      <c r="F502" t="s">
        <v>32</v>
      </c>
      <c r="G502">
        <v>3808.71</v>
      </c>
      <c r="H502">
        <v>2293.63</v>
      </c>
      <c r="I502">
        <v>32325.82</v>
      </c>
      <c r="J502" t="s">
        <v>37</v>
      </c>
      <c r="K502" t="s">
        <v>38</v>
      </c>
      <c r="L502">
        <v>0</v>
      </c>
      <c r="M502">
        <v>0</v>
      </c>
      <c r="N502">
        <v>0</v>
      </c>
      <c r="O502">
        <v>0</v>
      </c>
      <c r="P502">
        <v>0</v>
      </c>
      <c r="Q502">
        <v>577</v>
      </c>
      <c r="R502">
        <v>0.71</v>
      </c>
      <c r="S502" t="s">
        <v>47</v>
      </c>
      <c r="T502" s="1">
        <v>45360</v>
      </c>
      <c r="U502">
        <v>0</v>
      </c>
    </row>
    <row r="503" spans="1:21" x14ac:dyDescent="0.25">
      <c r="A503" t="s">
        <v>550</v>
      </c>
      <c r="B503">
        <v>46</v>
      </c>
      <c r="C503" t="s">
        <v>29</v>
      </c>
      <c r="D503" t="s">
        <v>22</v>
      </c>
      <c r="E503" t="s">
        <v>51</v>
      </c>
      <c r="F503" t="s">
        <v>23</v>
      </c>
      <c r="G503">
        <v>8673.0400000000009</v>
      </c>
      <c r="H503">
        <v>4243.22</v>
      </c>
      <c r="I503">
        <v>60994.64</v>
      </c>
      <c r="J503" t="s">
        <v>37</v>
      </c>
      <c r="K503" t="s">
        <v>38</v>
      </c>
      <c r="L503">
        <v>0</v>
      </c>
      <c r="M503">
        <v>0</v>
      </c>
      <c r="N503">
        <v>0</v>
      </c>
      <c r="O503">
        <v>0</v>
      </c>
      <c r="P503">
        <v>0</v>
      </c>
      <c r="Q503">
        <v>702</v>
      </c>
      <c r="R503">
        <v>0.59</v>
      </c>
      <c r="S503" t="s">
        <v>72</v>
      </c>
      <c r="T503" s="1">
        <v>45518</v>
      </c>
      <c r="U503">
        <v>0</v>
      </c>
    </row>
    <row r="504" spans="1:21" x14ac:dyDescent="0.25">
      <c r="A504" t="s">
        <v>551</v>
      </c>
      <c r="B504">
        <v>37</v>
      </c>
      <c r="C504" t="s">
        <v>29</v>
      </c>
      <c r="D504" t="s">
        <v>41</v>
      </c>
      <c r="E504" t="s">
        <v>31</v>
      </c>
      <c r="F504" t="s">
        <v>24</v>
      </c>
      <c r="G504">
        <v>6189.88</v>
      </c>
      <c r="H504">
        <v>4916.1899999999996</v>
      </c>
      <c r="I504">
        <v>51216.7</v>
      </c>
      <c r="J504" t="s">
        <v>37</v>
      </c>
      <c r="K504" t="s">
        <v>38</v>
      </c>
      <c r="L504">
        <v>0</v>
      </c>
      <c r="M504">
        <v>0</v>
      </c>
      <c r="N504">
        <v>0</v>
      </c>
      <c r="O504">
        <v>0</v>
      </c>
      <c r="P504">
        <v>0</v>
      </c>
      <c r="Q504">
        <v>624</v>
      </c>
      <c r="R504">
        <v>0.69</v>
      </c>
      <c r="S504" t="s">
        <v>30</v>
      </c>
      <c r="T504" s="1">
        <v>45376</v>
      </c>
      <c r="U504">
        <v>0</v>
      </c>
    </row>
    <row r="505" spans="1:21" x14ac:dyDescent="0.25">
      <c r="A505" t="s">
        <v>552</v>
      </c>
      <c r="B505">
        <v>39</v>
      </c>
      <c r="C505" t="s">
        <v>21</v>
      </c>
      <c r="D505" t="s">
        <v>56</v>
      </c>
      <c r="E505" t="s">
        <v>31</v>
      </c>
      <c r="F505" t="s">
        <v>42</v>
      </c>
      <c r="G505">
        <v>2122.9699999999998</v>
      </c>
      <c r="H505">
        <v>1845.49</v>
      </c>
      <c r="I505">
        <v>14531.86</v>
      </c>
      <c r="J505" t="s">
        <v>37</v>
      </c>
      <c r="K505" t="s">
        <v>38</v>
      </c>
      <c r="L505">
        <v>0</v>
      </c>
      <c r="M505">
        <v>0</v>
      </c>
      <c r="N505">
        <v>0</v>
      </c>
      <c r="O505">
        <v>0</v>
      </c>
      <c r="P505">
        <v>0</v>
      </c>
      <c r="Q505">
        <v>574</v>
      </c>
      <c r="R505">
        <v>0.56999999999999995</v>
      </c>
      <c r="S505" t="s">
        <v>72</v>
      </c>
      <c r="T505" s="1">
        <v>45587</v>
      </c>
      <c r="U505">
        <v>0</v>
      </c>
    </row>
    <row r="506" spans="1:21" x14ac:dyDescent="0.25">
      <c r="A506" t="s">
        <v>553</v>
      </c>
      <c r="B506">
        <v>52</v>
      </c>
      <c r="C506" t="s">
        <v>21</v>
      </c>
      <c r="D506" t="s">
        <v>35</v>
      </c>
      <c r="E506" t="s">
        <v>49</v>
      </c>
      <c r="F506" t="s">
        <v>32</v>
      </c>
      <c r="G506">
        <v>3350.49</v>
      </c>
      <c r="H506">
        <v>1615.91</v>
      </c>
      <c r="I506">
        <v>14864.12</v>
      </c>
      <c r="J506" t="s">
        <v>37</v>
      </c>
      <c r="K506" t="s">
        <v>38</v>
      </c>
      <c r="L506">
        <v>0</v>
      </c>
      <c r="M506">
        <v>0</v>
      </c>
      <c r="N506">
        <v>0</v>
      </c>
      <c r="O506">
        <v>0</v>
      </c>
      <c r="P506">
        <v>0</v>
      </c>
      <c r="Q506">
        <v>558</v>
      </c>
      <c r="R506">
        <v>0.37</v>
      </c>
      <c r="S506" t="s">
        <v>72</v>
      </c>
      <c r="T506" s="1">
        <v>45200</v>
      </c>
      <c r="U506">
        <v>0</v>
      </c>
    </row>
    <row r="507" spans="1:21" x14ac:dyDescent="0.25">
      <c r="A507" t="s">
        <v>554</v>
      </c>
      <c r="B507">
        <v>67</v>
      </c>
      <c r="C507" t="s">
        <v>29</v>
      </c>
      <c r="D507" t="s">
        <v>41</v>
      </c>
      <c r="E507" t="s">
        <v>31</v>
      </c>
      <c r="F507" t="s">
        <v>44</v>
      </c>
      <c r="G507">
        <v>3698.75</v>
      </c>
      <c r="H507">
        <v>3310.34</v>
      </c>
      <c r="I507">
        <v>28291.42</v>
      </c>
      <c r="J507" t="s">
        <v>25</v>
      </c>
      <c r="K507" t="s">
        <v>26</v>
      </c>
      <c r="L507">
        <v>12304.78</v>
      </c>
      <c r="M507">
        <v>240</v>
      </c>
      <c r="N507">
        <v>297.93</v>
      </c>
      <c r="O507">
        <v>28.96</v>
      </c>
      <c r="P507">
        <v>0.08</v>
      </c>
      <c r="Q507">
        <v>392</v>
      </c>
      <c r="R507">
        <v>0.64</v>
      </c>
      <c r="S507" t="s">
        <v>39</v>
      </c>
      <c r="T507" s="1">
        <v>44893</v>
      </c>
      <c r="U507">
        <v>0</v>
      </c>
    </row>
    <row r="508" spans="1:21" x14ac:dyDescent="0.25">
      <c r="A508" t="s">
        <v>555</v>
      </c>
      <c r="B508">
        <v>26</v>
      </c>
      <c r="C508" t="s">
        <v>29</v>
      </c>
      <c r="D508" t="s">
        <v>30</v>
      </c>
      <c r="E508" t="s">
        <v>31</v>
      </c>
      <c r="F508" t="s">
        <v>32</v>
      </c>
      <c r="G508">
        <v>5418.6</v>
      </c>
      <c r="H508">
        <v>3847.91</v>
      </c>
      <c r="I508">
        <v>22986.44</v>
      </c>
      <c r="J508" t="s">
        <v>37</v>
      </c>
      <c r="K508" t="s">
        <v>38</v>
      </c>
      <c r="L508">
        <v>0</v>
      </c>
      <c r="M508">
        <v>0</v>
      </c>
      <c r="N508">
        <v>0</v>
      </c>
      <c r="O508">
        <v>0</v>
      </c>
      <c r="P508">
        <v>0</v>
      </c>
      <c r="Q508">
        <v>449</v>
      </c>
      <c r="R508">
        <v>0.35</v>
      </c>
      <c r="S508" t="s">
        <v>30</v>
      </c>
      <c r="T508" s="1">
        <v>44809</v>
      </c>
      <c r="U508">
        <v>0</v>
      </c>
    </row>
    <row r="509" spans="1:21" x14ac:dyDescent="0.25">
      <c r="A509" t="s">
        <v>556</v>
      </c>
      <c r="B509">
        <v>46</v>
      </c>
      <c r="C509" t="s">
        <v>29</v>
      </c>
      <c r="D509" t="s">
        <v>41</v>
      </c>
      <c r="E509" t="s">
        <v>31</v>
      </c>
      <c r="F509" t="s">
        <v>52</v>
      </c>
      <c r="G509">
        <v>7875.51</v>
      </c>
      <c r="H509">
        <v>3892.4</v>
      </c>
      <c r="I509">
        <v>90104.99</v>
      </c>
      <c r="J509" t="s">
        <v>37</v>
      </c>
      <c r="K509" t="s">
        <v>38</v>
      </c>
      <c r="L509">
        <v>0</v>
      </c>
      <c r="M509">
        <v>0</v>
      </c>
      <c r="N509">
        <v>0</v>
      </c>
      <c r="O509">
        <v>0</v>
      </c>
      <c r="P509">
        <v>0</v>
      </c>
      <c r="Q509">
        <v>823</v>
      </c>
      <c r="R509">
        <v>0.95</v>
      </c>
      <c r="S509" t="s">
        <v>27</v>
      </c>
      <c r="T509" s="1">
        <v>44973</v>
      </c>
      <c r="U509">
        <v>0</v>
      </c>
    </row>
    <row r="510" spans="1:21" x14ac:dyDescent="0.25">
      <c r="A510" t="s">
        <v>557</v>
      </c>
      <c r="B510">
        <v>46</v>
      </c>
      <c r="C510" t="s">
        <v>29</v>
      </c>
      <c r="D510" t="s">
        <v>41</v>
      </c>
      <c r="E510" t="s">
        <v>23</v>
      </c>
      <c r="F510" t="s">
        <v>32</v>
      </c>
      <c r="G510">
        <v>500</v>
      </c>
      <c r="H510">
        <v>205.15</v>
      </c>
      <c r="I510">
        <v>3181.46</v>
      </c>
      <c r="J510" t="s">
        <v>37</v>
      </c>
      <c r="K510" t="s">
        <v>38</v>
      </c>
      <c r="L510">
        <v>0</v>
      </c>
      <c r="M510">
        <v>0</v>
      </c>
      <c r="N510">
        <v>0</v>
      </c>
      <c r="O510">
        <v>0</v>
      </c>
      <c r="P510">
        <v>0</v>
      </c>
      <c r="Q510">
        <v>507</v>
      </c>
      <c r="R510">
        <v>0.53</v>
      </c>
      <c r="S510" t="s">
        <v>30</v>
      </c>
      <c r="T510" s="1">
        <v>44823</v>
      </c>
      <c r="U510">
        <v>0</v>
      </c>
    </row>
    <row r="511" spans="1:21" x14ac:dyDescent="0.25">
      <c r="A511" t="s">
        <v>558</v>
      </c>
      <c r="B511">
        <v>44</v>
      </c>
      <c r="C511" t="s">
        <v>21</v>
      </c>
      <c r="D511" t="s">
        <v>30</v>
      </c>
      <c r="E511" t="s">
        <v>31</v>
      </c>
      <c r="F511" t="s">
        <v>52</v>
      </c>
      <c r="G511">
        <v>6868.81</v>
      </c>
      <c r="H511">
        <v>5227.03</v>
      </c>
      <c r="I511">
        <v>68334.350000000006</v>
      </c>
      <c r="J511" t="s">
        <v>25</v>
      </c>
      <c r="K511" t="s">
        <v>33</v>
      </c>
      <c r="L511">
        <v>31149.14</v>
      </c>
      <c r="M511">
        <v>240</v>
      </c>
      <c r="N511">
        <v>517.95000000000005</v>
      </c>
      <c r="O511">
        <v>19.54</v>
      </c>
      <c r="P511">
        <v>0.08</v>
      </c>
      <c r="Q511">
        <v>846</v>
      </c>
      <c r="R511">
        <v>0.83</v>
      </c>
      <c r="S511" t="s">
        <v>30</v>
      </c>
      <c r="T511" s="1">
        <v>45516</v>
      </c>
      <c r="U511">
        <v>0</v>
      </c>
    </row>
    <row r="512" spans="1:21" x14ac:dyDescent="0.25">
      <c r="A512" t="s">
        <v>559</v>
      </c>
      <c r="B512">
        <v>46</v>
      </c>
      <c r="C512" t="s">
        <v>29</v>
      </c>
      <c r="D512" t="s">
        <v>35</v>
      </c>
      <c r="E512" t="s">
        <v>31</v>
      </c>
      <c r="F512" t="s">
        <v>49</v>
      </c>
      <c r="G512">
        <v>2413.12</v>
      </c>
      <c r="H512">
        <v>1235.82</v>
      </c>
      <c r="I512">
        <v>12155</v>
      </c>
      <c r="J512" t="s">
        <v>37</v>
      </c>
      <c r="K512" t="s">
        <v>38</v>
      </c>
      <c r="L512">
        <v>0</v>
      </c>
      <c r="M512">
        <v>0</v>
      </c>
      <c r="N512">
        <v>0</v>
      </c>
      <c r="O512">
        <v>0</v>
      </c>
      <c r="P512">
        <v>0</v>
      </c>
      <c r="Q512">
        <v>847</v>
      </c>
      <c r="R512">
        <v>0.42</v>
      </c>
      <c r="S512" t="s">
        <v>47</v>
      </c>
      <c r="T512" s="1">
        <v>44551</v>
      </c>
      <c r="U512">
        <v>0</v>
      </c>
    </row>
    <row r="513" spans="1:21" x14ac:dyDescent="0.25">
      <c r="A513" t="s">
        <v>560</v>
      </c>
      <c r="B513">
        <v>52</v>
      </c>
      <c r="C513" t="s">
        <v>29</v>
      </c>
      <c r="D513" t="s">
        <v>22</v>
      </c>
      <c r="E513" t="s">
        <v>51</v>
      </c>
      <c r="F513" t="s">
        <v>36</v>
      </c>
      <c r="G513">
        <v>4971.07</v>
      </c>
      <c r="H513">
        <v>3781.27</v>
      </c>
      <c r="I513">
        <v>52073.45</v>
      </c>
      <c r="J513" t="s">
        <v>37</v>
      </c>
      <c r="K513" t="s">
        <v>38</v>
      </c>
      <c r="L513">
        <v>0</v>
      </c>
      <c r="M513">
        <v>0</v>
      </c>
      <c r="N513">
        <v>0</v>
      </c>
      <c r="O513">
        <v>0</v>
      </c>
      <c r="P513">
        <v>0</v>
      </c>
      <c r="Q513">
        <v>397</v>
      </c>
      <c r="R513">
        <v>0.87</v>
      </c>
      <c r="S513" t="s">
        <v>72</v>
      </c>
      <c r="T513" s="1">
        <v>44509</v>
      </c>
      <c r="U513">
        <v>0</v>
      </c>
    </row>
    <row r="514" spans="1:21" x14ac:dyDescent="0.25">
      <c r="A514" t="s">
        <v>561</v>
      </c>
      <c r="B514">
        <v>62</v>
      </c>
      <c r="C514" t="s">
        <v>21</v>
      </c>
      <c r="D514" t="s">
        <v>35</v>
      </c>
      <c r="E514" t="s">
        <v>49</v>
      </c>
      <c r="F514" t="s">
        <v>42</v>
      </c>
      <c r="G514">
        <v>4154.24</v>
      </c>
      <c r="H514">
        <v>2693.12</v>
      </c>
      <c r="I514">
        <v>6324.63</v>
      </c>
      <c r="J514" t="s">
        <v>25</v>
      </c>
      <c r="K514" t="s">
        <v>45</v>
      </c>
      <c r="L514">
        <v>21186.01</v>
      </c>
      <c r="M514">
        <v>60</v>
      </c>
      <c r="N514">
        <v>479.66</v>
      </c>
      <c r="O514">
        <v>12.78</v>
      </c>
      <c r="P514">
        <v>0.12</v>
      </c>
      <c r="Q514">
        <v>588</v>
      </c>
      <c r="R514">
        <v>0.13</v>
      </c>
      <c r="S514" t="s">
        <v>47</v>
      </c>
      <c r="T514" s="1">
        <v>45335</v>
      </c>
      <c r="U514">
        <v>0</v>
      </c>
    </row>
    <row r="515" spans="1:21" x14ac:dyDescent="0.25">
      <c r="A515" t="s">
        <v>562</v>
      </c>
      <c r="B515">
        <v>62</v>
      </c>
      <c r="C515" t="s">
        <v>29</v>
      </c>
      <c r="D515" t="s">
        <v>35</v>
      </c>
      <c r="E515" t="s">
        <v>51</v>
      </c>
      <c r="F515" t="s">
        <v>63</v>
      </c>
      <c r="G515">
        <v>5123.3599999999997</v>
      </c>
      <c r="H515">
        <v>1576.2</v>
      </c>
      <c r="I515">
        <v>37742.239999999998</v>
      </c>
      <c r="J515" t="s">
        <v>37</v>
      </c>
      <c r="K515" t="s">
        <v>38</v>
      </c>
      <c r="L515">
        <v>0</v>
      </c>
      <c r="M515">
        <v>0</v>
      </c>
      <c r="N515">
        <v>0</v>
      </c>
      <c r="O515">
        <v>0</v>
      </c>
      <c r="P515">
        <v>0</v>
      </c>
      <c r="Q515">
        <v>575</v>
      </c>
      <c r="R515">
        <v>0.61</v>
      </c>
      <c r="S515" t="s">
        <v>72</v>
      </c>
      <c r="T515" s="1">
        <v>45341</v>
      </c>
      <c r="U515">
        <v>0</v>
      </c>
    </row>
    <row r="516" spans="1:21" x14ac:dyDescent="0.25">
      <c r="A516" t="s">
        <v>563</v>
      </c>
      <c r="B516">
        <v>20</v>
      </c>
      <c r="C516" t="s">
        <v>30</v>
      </c>
      <c r="D516" t="s">
        <v>41</v>
      </c>
      <c r="E516" t="s">
        <v>49</v>
      </c>
      <c r="F516" t="s">
        <v>63</v>
      </c>
      <c r="G516">
        <v>4289.0200000000004</v>
      </c>
      <c r="H516">
        <v>3679.76</v>
      </c>
      <c r="I516">
        <v>41436.36</v>
      </c>
      <c r="J516" t="s">
        <v>37</v>
      </c>
      <c r="K516" t="s">
        <v>38</v>
      </c>
      <c r="L516">
        <v>0</v>
      </c>
      <c r="M516">
        <v>0</v>
      </c>
      <c r="N516">
        <v>0</v>
      </c>
      <c r="O516">
        <v>0</v>
      </c>
      <c r="P516">
        <v>0</v>
      </c>
      <c r="Q516">
        <v>595</v>
      </c>
      <c r="R516">
        <v>0.81</v>
      </c>
      <c r="S516" t="s">
        <v>30</v>
      </c>
      <c r="T516" s="1">
        <v>45585</v>
      </c>
      <c r="U516">
        <v>0</v>
      </c>
    </row>
    <row r="517" spans="1:21" x14ac:dyDescent="0.25">
      <c r="A517" t="s">
        <v>564</v>
      </c>
      <c r="B517">
        <v>41</v>
      </c>
      <c r="C517" t="s">
        <v>29</v>
      </c>
      <c r="D517" t="s">
        <v>35</v>
      </c>
      <c r="E517" t="s">
        <v>31</v>
      </c>
      <c r="F517" t="s">
        <v>42</v>
      </c>
      <c r="G517">
        <v>5989.66</v>
      </c>
      <c r="H517">
        <v>3568.72</v>
      </c>
      <c r="I517">
        <v>54968.55</v>
      </c>
      <c r="J517" t="s">
        <v>37</v>
      </c>
      <c r="K517" t="s">
        <v>38</v>
      </c>
      <c r="L517">
        <v>0</v>
      </c>
      <c r="M517">
        <v>0</v>
      </c>
      <c r="N517">
        <v>0</v>
      </c>
      <c r="O517">
        <v>0</v>
      </c>
      <c r="P517">
        <v>0</v>
      </c>
      <c r="Q517">
        <v>689</v>
      </c>
      <c r="R517">
        <v>0.76</v>
      </c>
      <c r="S517" t="s">
        <v>30</v>
      </c>
      <c r="T517" s="1">
        <v>44403</v>
      </c>
      <c r="U517">
        <v>0</v>
      </c>
    </row>
    <row r="518" spans="1:21" x14ac:dyDescent="0.25">
      <c r="A518" t="s">
        <v>565</v>
      </c>
      <c r="B518">
        <v>42</v>
      </c>
      <c r="C518" t="s">
        <v>29</v>
      </c>
      <c r="D518" t="s">
        <v>41</v>
      </c>
      <c r="E518" t="s">
        <v>31</v>
      </c>
      <c r="F518" t="s">
        <v>49</v>
      </c>
      <c r="G518">
        <v>4183.5</v>
      </c>
      <c r="H518">
        <v>1850.29</v>
      </c>
      <c r="I518">
        <v>42430.32</v>
      </c>
      <c r="J518" t="s">
        <v>25</v>
      </c>
      <c r="K518" t="s">
        <v>26</v>
      </c>
      <c r="L518">
        <v>286410.21000000002</v>
      </c>
      <c r="M518">
        <v>240</v>
      </c>
      <c r="N518">
        <v>4001.9</v>
      </c>
      <c r="O518">
        <v>16.079999999999998</v>
      </c>
      <c r="P518">
        <v>0.96</v>
      </c>
      <c r="Q518">
        <v>314</v>
      </c>
      <c r="R518">
        <v>0.85</v>
      </c>
      <c r="S518" t="s">
        <v>39</v>
      </c>
      <c r="T518" s="1">
        <v>44730</v>
      </c>
      <c r="U518">
        <v>1</v>
      </c>
    </row>
    <row r="519" spans="1:21" x14ac:dyDescent="0.25">
      <c r="A519" t="s">
        <v>566</v>
      </c>
      <c r="B519">
        <v>53</v>
      </c>
      <c r="C519" t="s">
        <v>29</v>
      </c>
      <c r="D519" t="s">
        <v>56</v>
      </c>
      <c r="E519" t="s">
        <v>23</v>
      </c>
      <c r="F519" t="s">
        <v>36</v>
      </c>
      <c r="G519">
        <v>5835.35</v>
      </c>
      <c r="H519">
        <v>3190.44</v>
      </c>
      <c r="I519">
        <v>43482.38</v>
      </c>
      <c r="J519" t="s">
        <v>25</v>
      </c>
      <c r="K519" t="s">
        <v>33</v>
      </c>
      <c r="L519">
        <v>405635.99</v>
      </c>
      <c r="M519">
        <v>300</v>
      </c>
      <c r="N519">
        <v>9067.8700000000008</v>
      </c>
      <c r="O519">
        <v>26.79</v>
      </c>
      <c r="P519">
        <v>1.55</v>
      </c>
      <c r="Q519">
        <v>529</v>
      </c>
      <c r="R519">
        <v>0.62</v>
      </c>
      <c r="S519" t="s">
        <v>27</v>
      </c>
      <c r="T519" s="1">
        <v>45369</v>
      </c>
      <c r="U519">
        <v>1</v>
      </c>
    </row>
    <row r="520" spans="1:21" x14ac:dyDescent="0.25">
      <c r="A520" t="s">
        <v>567</v>
      </c>
      <c r="B520">
        <v>57</v>
      </c>
      <c r="C520" t="s">
        <v>29</v>
      </c>
      <c r="D520" t="s">
        <v>35</v>
      </c>
      <c r="E520" t="s">
        <v>31</v>
      </c>
      <c r="F520" t="s">
        <v>49</v>
      </c>
      <c r="G520">
        <v>5524.93</v>
      </c>
      <c r="H520">
        <v>2173.48</v>
      </c>
      <c r="I520">
        <v>47640.76</v>
      </c>
      <c r="J520" t="s">
        <v>37</v>
      </c>
      <c r="K520" t="s">
        <v>38</v>
      </c>
      <c r="L520">
        <v>0</v>
      </c>
      <c r="M520">
        <v>0</v>
      </c>
      <c r="N520">
        <v>0</v>
      </c>
      <c r="O520">
        <v>0</v>
      </c>
      <c r="P520">
        <v>0</v>
      </c>
      <c r="Q520">
        <v>642</v>
      </c>
      <c r="R520">
        <v>0.72</v>
      </c>
      <c r="S520" t="s">
        <v>47</v>
      </c>
      <c r="T520" s="1">
        <v>45069</v>
      </c>
      <c r="U520">
        <v>0</v>
      </c>
    </row>
    <row r="521" spans="1:21" x14ac:dyDescent="0.25">
      <c r="A521" t="s">
        <v>568</v>
      </c>
      <c r="B521">
        <v>67</v>
      </c>
      <c r="C521" t="s">
        <v>29</v>
      </c>
      <c r="D521" t="s">
        <v>41</v>
      </c>
      <c r="E521" t="s">
        <v>31</v>
      </c>
      <c r="F521" t="s">
        <v>24</v>
      </c>
      <c r="G521">
        <v>6832.91</v>
      </c>
      <c r="H521">
        <v>4304.09</v>
      </c>
      <c r="I521">
        <v>71320.479999999996</v>
      </c>
      <c r="J521" t="s">
        <v>37</v>
      </c>
      <c r="K521" t="s">
        <v>38</v>
      </c>
      <c r="L521">
        <v>0</v>
      </c>
      <c r="M521">
        <v>0</v>
      </c>
      <c r="N521">
        <v>0</v>
      </c>
      <c r="O521">
        <v>0</v>
      </c>
      <c r="P521">
        <v>0</v>
      </c>
      <c r="Q521">
        <v>390</v>
      </c>
      <c r="R521">
        <v>0.87</v>
      </c>
      <c r="S521" t="s">
        <v>30</v>
      </c>
      <c r="T521" s="1">
        <v>44601</v>
      </c>
      <c r="U521">
        <v>0</v>
      </c>
    </row>
    <row r="522" spans="1:21" x14ac:dyDescent="0.25">
      <c r="A522" t="s">
        <v>569</v>
      </c>
      <c r="B522">
        <v>64</v>
      </c>
      <c r="C522" t="s">
        <v>21</v>
      </c>
      <c r="D522" t="s">
        <v>41</v>
      </c>
      <c r="E522" t="s">
        <v>31</v>
      </c>
      <c r="F522" t="s">
        <v>44</v>
      </c>
      <c r="G522">
        <v>4149.1000000000004</v>
      </c>
      <c r="H522">
        <v>3414.63</v>
      </c>
      <c r="I522">
        <v>28250.48</v>
      </c>
      <c r="J522" t="s">
        <v>37</v>
      </c>
      <c r="K522" t="s">
        <v>38</v>
      </c>
      <c r="L522">
        <v>0</v>
      </c>
      <c r="M522">
        <v>0</v>
      </c>
      <c r="N522">
        <v>0</v>
      </c>
      <c r="O522">
        <v>0</v>
      </c>
      <c r="P522">
        <v>0</v>
      </c>
      <c r="Q522">
        <v>756</v>
      </c>
      <c r="R522">
        <v>0.56999999999999995</v>
      </c>
      <c r="S522" t="s">
        <v>47</v>
      </c>
      <c r="T522" s="1">
        <v>44709</v>
      </c>
      <c r="U522">
        <v>0</v>
      </c>
    </row>
    <row r="523" spans="1:21" x14ac:dyDescent="0.25">
      <c r="A523" t="s">
        <v>570</v>
      </c>
      <c r="B523">
        <v>45</v>
      </c>
      <c r="C523" t="s">
        <v>21</v>
      </c>
      <c r="D523" t="s">
        <v>22</v>
      </c>
      <c r="E523" t="s">
        <v>31</v>
      </c>
      <c r="F523" t="s">
        <v>23</v>
      </c>
      <c r="G523">
        <v>5167.2700000000004</v>
      </c>
      <c r="H523">
        <v>2521.81</v>
      </c>
      <c r="I523">
        <v>56294.54</v>
      </c>
      <c r="J523" t="s">
        <v>37</v>
      </c>
      <c r="K523" t="s">
        <v>38</v>
      </c>
      <c r="L523">
        <v>0</v>
      </c>
      <c r="M523">
        <v>0</v>
      </c>
      <c r="N523">
        <v>0</v>
      </c>
      <c r="O523">
        <v>0</v>
      </c>
      <c r="P523">
        <v>0</v>
      </c>
      <c r="Q523">
        <v>655</v>
      </c>
      <c r="R523">
        <v>0.91</v>
      </c>
      <c r="S523" t="s">
        <v>39</v>
      </c>
      <c r="T523" s="1">
        <v>45657</v>
      </c>
      <c r="U523">
        <v>0</v>
      </c>
    </row>
    <row r="524" spans="1:21" x14ac:dyDescent="0.25">
      <c r="A524" t="s">
        <v>571</v>
      </c>
      <c r="B524">
        <v>43</v>
      </c>
      <c r="C524" t="s">
        <v>21</v>
      </c>
      <c r="D524" t="s">
        <v>41</v>
      </c>
      <c r="E524" t="s">
        <v>51</v>
      </c>
      <c r="F524" t="s">
        <v>42</v>
      </c>
      <c r="G524">
        <v>3404.29</v>
      </c>
      <c r="H524">
        <v>1097.67</v>
      </c>
      <c r="I524">
        <v>32675.919999999998</v>
      </c>
      <c r="J524" t="s">
        <v>25</v>
      </c>
      <c r="K524" t="s">
        <v>54</v>
      </c>
      <c r="L524">
        <v>128645.9</v>
      </c>
      <c r="M524">
        <v>300</v>
      </c>
      <c r="N524">
        <v>1378.75</v>
      </c>
      <c r="O524">
        <v>12.25</v>
      </c>
      <c r="P524">
        <v>0.41</v>
      </c>
      <c r="Q524">
        <v>487</v>
      </c>
      <c r="R524">
        <v>0.8</v>
      </c>
      <c r="S524" t="s">
        <v>72</v>
      </c>
      <c r="T524" s="1">
        <v>44756</v>
      </c>
      <c r="U524">
        <v>1</v>
      </c>
    </row>
    <row r="525" spans="1:21" x14ac:dyDescent="0.25">
      <c r="A525" t="s">
        <v>572</v>
      </c>
      <c r="B525">
        <v>58</v>
      </c>
      <c r="C525" t="s">
        <v>29</v>
      </c>
      <c r="D525" t="s">
        <v>35</v>
      </c>
      <c r="E525" t="s">
        <v>23</v>
      </c>
      <c r="F525" t="s">
        <v>24</v>
      </c>
      <c r="G525">
        <v>4577.76</v>
      </c>
      <c r="H525">
        <v>2757.36</v>
      </c>
      <c r="I525">
        <v>12343.22</v>
      </c>
      <c r="J525" t="s">
        <v>37</v>
      </c>
      <c r="K525" t="s">
        <v>38</v>
      </c>
      <c r="L525">
        <v>0</v>
      </c>
      <c r="M525">
        <v>0</v>
      </c>
      <c r="N525">
        <v>0</v>
      </c>
      <c r="O525">
        <v>0</v>
      </c>
      <c r="P525">
        <v>0</v>
      </c>
      <c r="Q525">
        <v>794</v>
      </c>
      <c r="R525">
        <v>0.22</v>
      </c>
      <c r="S525" t="s">
        <v>30</v>
      </c>
      <c r="T525" s="1">
        <v>45506</v>
      </c>
      <c r="U525">
        <v>0</v>
      </c>
    </row>
    <row r="526" spans="1:21" x14ac:dyDescent="0.25">
      <c r="A526" t="s">
        <v>573</v>
      </c>
      <c r="B526">
        <v>39</v>
      </c>
      <c r="C526" t="s">
        <v>29</v>
      </c>
      <c r="D526" t="s">
        <v>35</v>
      </c>
      <c r="E526" t="s">
        <v>31</v>
      </c>
      <c r="F526" t="s">
        <v>23</v>
      </c>
      <c r="G526">
        <v>3991.47</v>
      </c>
      <c r="H526">
        <v>1368.79</v>
      </c>
      <c r="I526">
        <v>13123.68</v>
      </c>
      <c r="J526" t="s">
        <v>37</v>
      </c>
      <c r="K526" t="s">
        <v>38</v>
      </c>
      <c r="L526">
        <v>0</v>
      </c>
      <c r="M526">
        <v>0</v>
      </c>
      <c r="N526">
        <v>0</v>
      </c>
      <c r="O526">
        <v>0</v>
      </c>
      <c r="P526">
        <v>0</v>
      </c>
      <c r="Q526">
        <v>342</v>
      </c>
      <c r="R526">
        <v>0.27</v>
      </c>
      <c r="S526" t="s">
        <v>30</v>
      </c>
      <c r="T526" s="1">
        <v>45402</v>
      </c>
      <c r="U526">
        <v>0</v>
      </c>
    </row>
    <row r="527" spans="1:21" x14ac:dyDescent="0.25">
      <c r="A527" t="s">
        <v>574</v>
      </c>
      <c r="B527">
        <v>32</v>
      </c>
      <c r="C527" t="s">
        <v>29</v>
      </c>
      <c r="D527" t="s">
        <v>22</v>
      </c>
      <c r="E527" t="s">
        <v>51</v>
      </c>
      <c r="F527" t="s">
        <v>63</v>
      </c>
      <c r="G527">
        <v>8298.33</v>
      </c>
      <c r="H527">
        <v>3554.51</v>
      </c>
      <c r="I527">
        <v>93804.45</v>
      </c>
      <c r="J527" t="s">
        <v>25</v>
      </c>
      <c r="K527" t="s">
        <v>45</v>
      </c>
      <c r="L527">
        <v>195169.29</v>
      </c>
      <c r="M527">
        <v>180</v>
      </c>
      <c r="N527">
        <v>4242.21</v>
      </c>
      <c r="O527">
        <v>25.49</v>
      </c>
      <c r="P527">
        <v>0.51</v>
      </c>
      <c r="Q527">
        <v>752</v>
      </c>
      <c r="R527">
        <v>0.94</v>
      </c>
      <c r="S527" t="s">
        <v>72</v>
      </c>
      <c r="T527" s="1">
        <v>44545</v>
      </c>
      <c r="U527">
        <v>1</v>
      </c>
    </row>
    <row r="528" spans="1:21" x14ac:dyDescent="0.25">
      <c r="A528" t="s">
        <v>575</v>
      </c>
      <c r="B528">
        <v>33</v>
      </c>
      <c r="C528" t="s">
        <v>21</v>
      </c>
      <c r="D528" t="s">
        <v>41</v>
      </c>
      <c r="E528" t="s">
        <v>31</v>
      </c>
      <c r="F528" t="s">
        <v>24</v>
      </c>
      <c r="G528">
        <v>5515.91</v>
      </c>
      <c r="H528">
        <v>4065.74</v>
      </c>
      <c r="I528">
        <v>51530.93</v>
      </c>
      <c r="J528" t="s">
        <v>37</v>
      </c>
      <c r="K528" t="s">
        <v>38</v>
      </c>
      <c r="L528">
        <v>0</v>
      </c>
      <c r="M528">
        <v>0</v>
      </c>
      <c r="N528">
        <v>0</v>
      </c>
      <c r="O528">
        <v>0</v>
      </c>
      <c r="P528">
        <v>0</v>
      </c>
      <c r="Q528">
        <v>658</v>
      </c>
      <c r="R528">
        <v>0.78</v>
      </c>
      <c r="S528" t="s">
        <v>30</v>
      </c>
      <c r="T528" s="1">
        <v>44450</v>
      </c>
      <c r="U528">
        <v>0</v>
      </c>
    </row>
    <row r="529" spans="1:21" x14ac:dyDescent="0.25">
      <c r="A529" t="s">
        <v>576</v>
      </c>
      <c r="B529">
        <v>69</v>
      </c>
      <c r="C529" t="s">
        <v>21</v>
      </c>
      <c r="D529" t="s">
        <v>41</v>
      </c>
      <c r="E529" t="s">
        <v>31</v>
      </c>
      <c r="F529" t="s">
        <v>52</v>
      </c>
      <c r="G529">
        <v>500</v>
      </c>
      <c r="H529">
        <v>366.2</v>
      </c>
      <c r="I529">
        <v>1977.02</v>
      </c>
      <c r="J529" t="s">
        <v>37</v>
      </c>
      <c r="K529" t="s">
        <v>38</v>
      </c>
      <c r="L529">
        <v>0</v>
      </c>
      <c r="M529">
        <v>0</v>
      </c>
      <c r="N529">
        <v>0</v>
      </c>
      <c r="O529">
        <v>0</v>
      </c>
      <c r="P529">
        <v>0</v>
      </c>
      <c r="Q529">
        <v>466</v>
      </c>
      <c r="R529">
        <v>0.33</v>
      </c>
      <c r="S529" t="s">
        <v>30</v>
      </c>
      <c r="T529" s="1">
        <v>45144</v>
      </c>
      <c r="U529">
        <v>0</v>
      </c>
    </row>
    <row r="530" spans="1:21" x14ac:dyDescent="0.25">
      <c r="A530" t="s">
        <v>577</v>
      </c>
      <c r="B530">
        <v>26</v>
      </c>
      <c r="C530" t="s">
        <v>29</v>
      </c>
      <c r="D530" t="s">
        <v>41</v>
      </c>
      <c r="E530" t="s">
        <v>31</v>
      </c>
      <c r="F530" t="s">
        <v>24</v>
      </c>
      <c r="G530">
        <v>3549.35</v>
      </c>
      <c r="H530">
        <v>1085.0999999999999</v>
      </c>
      <c r="I530">
        <v>35895.919999999998</v>
      </c>
      <c r="J530" t="s">
        <v>25</v>
      </c>
      <c r="K530" t="s">
        <v>26</v>
      </c>
      <c r="L530">
        <v>126138.73</v>
      </c>
      <c r="M530">
        <v>36</v>
      </c>
      <c r="N530">
        <v>4206.5</v>
      </c>
      <c r="O530">
        <v>12.28</v>
      </c>
      <c r="P530">
        <v>1.19</v>
      </c>
      <c r="Q530">
        <v>609</v>
      </c>
      <c r="R530">
        <v>0.84</v>
      </c>
      <c r="S530" t="s">
        <v>30</v>
      </c>
      <c r="T530" s="1">
        <v>44425</v>
      </c>
      <c r="U530">
        <v>1</v>
      </c>
    </row>
    <row r="531" spans="1:21" x14ac:dyDescent="0.25">
      <c r="A531" t="s">
        <v>578</v>
      </c>
      <c r="B531">
        <v>37</v>
      </c>
      <c r="C531" t="s">
        <v>21</v>
      </c>
      <c r="D531" t="s">
        <v>41</v>
      </c>
      <c r="E531" t="s">
        <v>31</v>
      </c>
      <c r="F531" t="s">
        <v>63</v>
      </c>
      <c r="G531">
        <v>5386.46</v>
      </c>
      <c r="H531">
        <v>3581.75</v>
      </c>
      <c r="I531">
        <v>44269.5</v>
      </c>
      <c r="J531" t="s">
        <v>37</v>
      </c>
      <c r="K531" t="s">
        <v>38</v>
      </c>
      <c r="L531">
        <v>0</v>
      </c>
      <c r="M531">
        <v>0</v>
      </c>
      <c r="N531">
        <v>0</v>
      </c>
      <c r="O531">
        <v>0</v>
      </c>
      <c r="P531">
        <v>0</v>
      </c>
      <c r="Q531">
        <v>741</v>
      </c>
      <c r="R531">
        <v>0.68</v>
      </c>
      <c r="S531" t="s">
        <v>72</v>
      </c>
      <c r="T531" s="1">
        <v>45677</v>
      </c>
      <c r="U531">
        <v>0</v>
      </c>
    </row>
    <row r="532" spans="1:21" x14ac:dyDescent="0.25">
      <c r="A532" t="s">
        <v>579</v>
      </c>
      <c r="B532">
        <v>47</v>
      </c>
      <c r="C532" t="s">
        <v>21</v>
      </c>
      <c r="D532" t="s">
        <v>35</v>
      </c>
      <c r="E532" t="s">
        <v>31</v>
      </c>
      <c r="F532" t="s">
        <v>44</v>
      </c>
      <c r="G532">
        <v>8029.36</v>
      </c>
      <c r="H532">
        <v>4267.34</v>
      </c>
      <c r="I532">
        <v>72652.78</v>
      </c>
      <c r="J532" t="s">
        <v>37</v>
      </c>
      <c r="K532" t="s">
        <v>38</v>
      </c>
      <c r="L532">
        <v>0</v>
      </c>
      <c r="M532">
        <v>0</v>
      </c>
      <c r="N532">
        <v>0</v>
      </c>
      <c r="O532">
        <v>0</v>
      </c>
      <c r="P532">
        <v>0</v>
      </c>
      <c r="Q532">
        <v>350</v>
      </c>
      <c r="R532">
        <v>0.75</v>
      </c>
      <c r="S532" t="s">
        <v>47</v>
      </c>
      <c r="T532" s="1">
        <v>45228</v>
      </c>
      <c r="U532">
        <v>0</v>
      </c>
    </row>
    <row r="533" spans="1:21" x14ac:dyDescent="0.25">
      <c r="A533" t="s">
        <v>580</v>
      </c>
      <c r="B533">
        <v>37</v>
      </c>
      <c r="C533" t="s">
        <v>21</v>
      </c>
      <c r="D533" t="s">
        <v>41</v>
      </c>
      <c r="E533" t="s">
        <v>31</v>
      </c>
      <c r="F533" t="s">
        <v>23</v>
      </c>
      <c r="G533">
        <v>4869.8599999999997</v>
      </c>
      <c r="H533">
        <v>2475.25</v>
      </c>
      <c r="I533">
        <v>48224.13</v>
      </c>
      <c r="J533" t="s">
        <v>37</v>
      </c>
      <c r="K533" t="s">
        <v>38</v>
      </c>
      <c r="L533">
        <v>0</v>
      </c>
      <c r="M533">
        <v>0</v>
      </c>
      <c r="N533">
        <v>0</v>
      </c>
      <c r="O533">
        <v>0</v>
      </c>
      <c r="P533">
        <v>0</v>
      </c>
      <c r="Q533">
        <v>628</v>
      </c>
      <c r="R533">
        <v>0.83</v>
      </c>
      <c r="S533" t="s">
        <v>27</v>
      </c>
      <c r="T533" s="1">
        <v>44927</v>
      </c>
      <c r="U533">
        <v>0</v>
      </c>
    </row>
    <row r="534" spans="1:21" x14ac:dyDescent="0.25">
      <c r="A534" t="s">
        <v>581</v>
      </c>
      <c r="B534">
        <v>49</v>
      </c>
      <c r="C534" t="s">
        <v>21</v>
      </c>
      <c r="D534" t="s">
        <v>41</v>
      </c>
      <c r="E534" t="s">
        <v>31</v>
      </c>
      <c r="F534" t="s">
        <v>44</v>
      </c>
      <c r="G534">
        <v>3399.89</v>
      </c>
      <c r="H534">
        <v>1909.36</v>
      </c>
      <c r="I534">
        <v>22348.42</v>
      </c>
      <c r="J534" t="s">
        <v>37</v>
      </c>
      <c r="K534" t="s">
        <v>38</v>
      </c>
      <c r="L534">
        <v>0</v>
      </c>
      <c r="M534">
        <v>0</v>
      </c>
      <c r="N534">
        <v>0</v>
      </c>
      <c r="O534">
        <v>0</v>
      </c>
      <c r="P534">
        <v>0</v>
      </c>
      <c r="Q534">
        <v>365</v>
      </c>
      <c r="R534">
        <v>0.55000000000000004</v>
      </c>
      <c r="S534" t="s">
        <v>72</v>
      </c>
      <c r="T534" s="1">
        <v>44438</v>
      </c>
      <c r="U534">
        <v>0</v>
      </c>
    </row>
    <row r="535" spans="1:21" x14ac:dyDescent="0.25">
      <c r="A535" t="s">
        <v>582</v>
      </c>
      <c r="B535">
        <v>54</v>
      </c>
      <c r="C535" t="s">
        <v>21</v>
      </c>
      <c r="D535" t="s">
        <v>41</v>
      </c>
      <c r="E535" t="s">
        <v>49</v>
      </c>
      <c r="F535" t="s">
        <v>32</v>
      </c>
      <c r="G535">
        <v>4166.5200000000004</v>
      </c>
      <c r="H535">
        <v>3532.93</v>
      </c>
      <c r="I535">
        <v>44326.37</v>
      </c>
      <c r="J535" t="s">
        <v>37</v>
      </c>
      <c r="K535" t="s">
        <v>38</v>
      </c>
      <c r="L535">
        <v>0</v>
      </c>
      <c r="M535">
        <v>0</v>
      </c>
      <c r="N535">
        <v>0</v>
      </c>
      <c r="O535">
        <v>0</v>
      </c>
      <c r="P535">
        <v>0</v>
      </c>
      <c r="Q535">
        <v>685</v>
      </c>
      <c r="R535">
        <v>0.89</v>
      </c>
      <c r="S535" t="s">
        <v>27</v>
      </c>
      <c r="T535" s="1">
        <v>45033</v>
      </c>
      <c r="U535">
        <v>0</v>
      </c>
    </row>
    <row r="536" spans="1:21" x14ac:dyDescent="0.25">
      <c r="A536" t="s">
        <v>583</v>
      </c>
      <c r="B536">
        <v>65</v>
      </c>
      <c r="C536" t="s">
        <v>29</v>
      </c>
      <c r="D536" t="s">
        <v>35</v>
      </c>
      <c r="E536" t="s">
        <v>49</v>
      </c>
      <c r="F536" t="s">
        <v>52</v>
      </c>
      <c r="G536">
        <v>4745.38</v>
      </c>
      <c r="H536">
        <v>3464.9</v>
      </c>
      <c r="I536">
        <v>43074.33</v>
      </c>
      <c r="J536" t="s">
        <v>25</v>
      </c>
      <c r="K536" t="s">
        <v>54</v>
      </c>
      <c r="L536">
        <v>402063.97</v>
      </c>
      <c r="M536">
        <v>240</v>
      </c>
      <c r="N536">
        <v>3081.1</v>
      </c>
      <c r="O536">
        <v>6.85</v>
      </c>
      <c r="P536">
        <v>0.65</v>
      </c>
      <c r="Q536">
        <v>705</v>
      </c>
      <c r="R536">
        <v>0.76</v>
      </c>
      <c r="S536" t="s">
        <v>47</v>
      </c>
      <c r="T536" s="1">
        <v>44569</v>
      </c>
      <c r="U536">
        <v>1</v>
      </c>
    </row>
    <row r="537" spans="1:21" x14ac:dyDescent="0.25">
      <c r="A537" t="s">
        <v>584</v>
      </c>
      <c r="B537">
        <v>19</v>
      </c>
      <c r="C537" t="s">
        <v>29</v>
      </c>
      <c r="D537" t="s">
        <v>35</v>
      </c>
      <c r="E537" t="s">
        <v>31</v>
      </c>
      <c r="F537" t="s">
        <v>23</v>
      </c>
      <c r="G537">
        <v>3003.05</v>
      </c>
      <c r="H537">
        <v>1057.6099999999999</v>
      </c>
      <c r="I537">
        <v>26716.85</v>
      </c>
      <c r="J537" t="s">
        <v>37</v>
      </c>
      <c r="K537" t="s">
        <v>38</v>
      </c>
      <c r="L537">
        <v>0</v>
      </c>
      <c r="M537">
        <v>0</v>
      </c>
      <c r="N537">
        <v>0</v>
      </c>
      <c r="O537">
        <v>0</v>
      </c>
      <c r="P537">
        <v>0</v>
      </c>
      <c r="Q537">
        <v>385</v>
      </c>
      <c r="R537">
        <v>0.74</v>
      </c>
      <c r="S537" t="s">
        <v>47</v>
      </c>
      <c r="T537" s="1">
        <v>45797</v>
      </c>
      <c r="U537">
        <v>0</v>
      </c>
    </row>
    <row r="538" spans="1:21" x14ac:dyDescent="0.25">
      <c r="A538" t="s">
        <v>585</v>
      </c>
      <c r="B538">
        <v>27</v>
      </c>
      <c r="C538" t="s">
        <v>29</v>
      </c>
      <c r="D538" t="s">
        <v>41</v>
      </c>
      <c r="E538" t="s">
        <v>31</v>
      </c>
      <c r="F538" t="s">
        <v>24</v>
      </c>
      <c r="G538">
        <v>3645.42</v>
      </c>
      <c r="H538">
        <v>3216.81</v>
      </c>
      <c r="I538">
        <v>15159.43</v>
      </c>
      <c r="J538" t="s">
        <v>37</v>
      </c>
      <c r="K538" t="s">
        <v>38</v>
      </c>
      <c r="L538">
        <v>0</v>
      </c>
      <c r="M538">
        <v>0</v>
      </c>
      <c r="N538">
        <v>0</v>
      </c>
      <c r="O538">
        <v>0</v>
      </c>
      <c r="P538">
        <v>0</v>
      </c>
      <c r="Q538">
        <v>686</v>
      </c>
      <c r="R538">
        <v>0.35</v>
      </c>
      <c r="S538" t="s">
        <v>39</v>
      </c>
      <c r="T538" s="1">
        <v>45603</v>
      </c>
      <c r="U538">
        <v>0</v>
      </c>
    </row>
    <row r="539" spans="1:21" x14ac:dyDescent="0.25">
      <c r="A539" t="s">
        <v>586</v>
      </c>
      <c r="B539">
        <v>54</v>
      </c>
      <c r="C539" t="s">
        <v>21</v>
      </c>
      <c r="D539" t="s">
        <v>35</v>
      </c>
      <c r="E539" t="s">
        <v>49</v>
      </c>
      <c r="F539" t="s">
        <v>36</v>
      </c>
      <c r="G539">
        <v>5305.52</v>
      </c>
      <c r="H539">
        <v>1714.98</v>
      </c>
      <c r="I539">
        <v>20487.61</v>
      </c>
      <c r="J539" t="s">
        <v>25</v>
      </c>
      <c r="K539" t="s">
        <v>45</v>
      </c>
      <c r="L539">
        <v>82008.83</v>
      </c>
      <c r="M539">
        <v>12</v>
      </c>
      <c r="N539">
        <v>7672.8</v>
      </c>
      <c r="O539">
        <v>21.93</v>
      </c>
      <c r="P539">
        <v>1.45</v>
      </c>
      <c r="Q539">
        <v>751</v>
      </c>
      <c r="R539">
        <v>0.32</v>
      </c>
      <c r="S539" t="s">
        <v>27</v>
      </c>
      <c r="T539" s="1">
        <v>45597</v>
      </c>
      <c r="U539">
        <v>1</v>
      </c>
    </row>
    <row r="540" spans="1:21" x14ac:dyDescent="0.25">
      <c r="A540" t="s">
        <v>587</v>
      </c>
      <c r="B540">
        <v>56</v>
      </c>
      <c r="C540" t="s">
        <v>29</v>
      </c>
      <c r="D540" t="s">
        <v>22</v>
      </c>
      <c r="E540" t="s">
        <v>31</v>
      </c>
      <c r="F540" t="s">
        <v>63</v>
      </c>
      <c r="G540">
        <v>4382.3900000000003</v>
      </c>
      <c r="H540">
        <v>3376.12</v>
      </c>
      <c r="I540">
        <v>13202.49</v>
      </c>
      <c r="J540" t="s">
        <v>37</v>
      </c>
      <c r="K540" t="s">
        <v>38</v>
      </c>
      <c r="L540">
        <v>0</v>
      </c>
      <c r="M540">
        <v>0</v>
      </c>
      <c r="N540">
        <v>0</v>
      </c>
      <c r="O540">
        <v>0</v>
      </c>
      <c r="P540">
        <v>0</v>
      </c>
      <c r="Q540">
        <v>743</v>
      </c>
      <c r="R540">
        <v>0.25</v>
      </c>
      <c r="S540" t="s">
        <v>47</v>
      </c>
      <c r="T540" s="1">
        <v>45614</v>
      </c>
      <c r="U540">
        <v>0</v>
      </c>
    </row>
    <row r="541" spans="1:21" x14ac:dyDescent="0.25">
      <c r="A541" t="s">
        <v>588</v>
      </c>
      <c r="B541">
        <v>69</v>
      </c>
      <c r="C541" t="s">
        <v>29</v>
      </c>
      <c r="D541" t="s">
        <v>35</v>
      </c>
      <c r="E541" t="s">
        <v>31</v>
      </c>
      <c r="F541" t="s">
        <v>32</v>
      </c>
      <c r="G541">
        <v>2901.2</v>
      </c>
      <c r="H541">
        <v>1048.21</v>
      </c>
      <c r="I541">
        <v>21847.3</v>
      </c>
      <c r="J541" t="s">
        <v>37</v>
      </c>
      <c r="K541" t="s">
        <v>38</v>
      </c>
      <c r="L541">
        <v>0</v>
      </c>
      <c r="M541">
        <v>0</v>
      </c>
      <c r="N541">
        <v>0</v>
      </c>
      <c r="O541">
        <v>0</v>
      </c>
      <c r="P541">
        <v>0</v>
      </c>
      <c r="Q541">
        <v>331</v>
      </c>
      <c r="R541">
        <v>0.63</v>
      </c>
      <c r="S541" t="s">
        <v>39</v>
      </c>
      <c r="T541" s="1">
        <v>45674</v>
      </c>
      <c r="U541">
        <v>0</v>
      </c>
    </row>
    <row r="542" spans="1:21" x14ac:dyDescent="0.25">
      <c r="A542" t="s">
        <v>589</v>
      </c>
      <c r="B542">
        <v>68</v>
      </c>
      <c r="C542" t="s">
        <v>21</v>
      </c>
      <c r="D542" t="s">
        <v>35</v>
      </c>
      <c r="E542" t="s">
        <v>51</v>
      </c>
      <c r="F542" t="s">
        <v>32</v>
      </c>
      <c r="G542">
        <v>1314.39</v>
      </c>
      <c r="H542">
        <v>1119.33</v>
      </c>
      <c r="I542">
        <v>9724.09</v>
      </c>
      <c r="J542" t="s">
        <v>37</v>
      </c>
      <c r="K542" t="s">
        <v>38</v>
      </c>
      <c r="L542">
        <v>0</v>
      </c>
      <c r="M542">
        <v>0</v>
      </c>
      <c r="N542">
        <v>0</v>
      </c>
      <c r="O542">
        <v>0</v>
      </c>
      <c r="P542">
        <v>0</v>
      </c>
      <c r="Q542">
        <v>313</v>
      </c>
      <c r="R542">
        <v>0.62</v>
      </c>
      <c r="S542" t="s">
        <v>72</v>
      </c>
      <c r="T542" s="1">
        <v>44648</v>
      </c>
      <c r="U542">
        <v>0</v>
      </c>
    </row>
    <row r="543" spans="1:21" x14ac:dyDescent="0.25">
      <c r="A543" t="s">
        <v>590</v>
      </c>
      <c r="B543">
        <v>54</v>
      </c>
      <c r="C543" t="s">
        <v>30</v>
      </c>
      <c r="D543" t="s">
        <v>35</v>
      </c>
      <c r="E543" t="s">
        <v>31</v>
      </c>
      <c r="F543" t="s">
        <v>49</v>
      </c>
      <c r="G543">
        <v>4511.6499999999996</v>
      </c>
      <c r="H543">
        <v>2648.32</v>
      </c>
      <c r="I543">
        <v>47445.3</v>
      </c>
      <c r="J543" t="s">
        <v>25</v>
      </c>
      <c r="K543" t="s">
        <v>33</v>
      </c>
      <c r="L543">
        <v>117939.3</v>
      </c>
      <c r="M543">
        <v>24</v>
      </c>
      <c r="N543">
        <v>6073.14</v>
      </c>
      <c r="O543">
        <v>21.22</v>
      </c>
      <c r="P543">
        <v>1.35</v>
      </c>
      <c r="Q543">
        <v>370</v>
      </c>
      <c r="R543">
        <v>0.88</v>
      </c>
      <c r="S543" t="s">
        <v>72</v>
      </c>
      <c r="T543" s="1">
        <v>45739</v>
      </c>
      <c r="U543">
        <v>1</v>
      </c>
    </row>
    <row r="544" spans="1:21" x14ac:dyDescent="0.25">
      <c r="A544" t="s">
        <v>591</v>
      </c>
      <c r="B544">
        <v>27</v>
      </c>
      <c r="C544" t="s">
        <v>21</v>
      </c>
      <c r="D544" t="s">
        <v>41</v>
      </c>
      <c r="E544" t="s">
        <v>31</v>
      </c>
      <c r="F544" t="s">
        <v>42</v>
      </c>
      <c r="G544">
        <v>5475.55</v>
      </c>
      <c r="H544">
        <v>3647.53</v>
      </c>
      <c r="I544">
        <v>21414.77</v>
      </c>
      <c r="J544" t="s">
        <v>37</v>
      </c>
      <c r="K544" t="s">
        <v>38</v>
      </c>
      <c r="L544">
        <v>0</v>
      </c>
      <c r="M544">
        <v>0</v>
      </c>
      <c r="N544">
        <v>0</v>
      </c>
      <c r="O544">
        <v>0</v>
      </c>
      <c r="P544">
        <v>0</v>
      </c>
      <c r="Q544">
        <v>341</v>
      </c>
      <c r="R544">
        <v>0.33</v>
      </c>
      <c r="S544" t="s">
        <v>30</v>
      </c>
      <c r="T544" s="1">
        <v>45363</v>
      </c>
      <c r="U544">
        <v>0</v>
      </c>
    </row>
    <row r="545" spans="1:21" x14ac:dyDescent="0.25">
      <c r="A545" t="s">
        <v>592</v>
      </c>
      <c r="B545">
        <v>69</v>
      </c>
      <c r="C545" t="s">
        <v>29</v>
      </c>
      <c r="D545" t="s">
        <v>22</v>
      </c>
      <c r="E545" t="s">
        <v>51</v>
      </c>
      <c r="F545" t="s">
        <v>23</v>
      </c>
      <c r="G545">
        <v>5430.12</v>
      </c>
      <c r="H545">
        <v>3836.83</v>
      </c>
      <c r="I545">
        <v>21784.1</v>
      </c>
      <c r="J545" t="s">
        <v>25</v>
      </c>
      <c r="K545" t="s">
        <v>45</v>
      </c>
      <c r="L545">
        <v>22354.95</v>
      </c>
      <c r="M545">
        <v>60</v>
      </c>
      <c r="N545">
        <v>469.39</v>
      </c>
      <c r="O545">
        <v>9.49</v>
      </c>
      <c r="P545">
        <v>0.09</v>
      </c>
      <c r="Q545">
        <v>517</v>
      </c>
      <c r="R545">
        <v>0.33</v>
      </c>
      <c r="S545" t="s">
        <v>30</v>
      </c>
      <c r="T545" s="1">
        <v>45129</v>
      </c>
      <c r="U545">
        <v>0</v>
      </c>
    </row>
    <row r="546" spans="1:21" x14ac:dyDescent="0.25">
      <c r="A546" t="s">
        <v>593</v>
      </c>
      <c r="B546">
        <v>23</v>
      </c>
      <c r="C546" t="s">
        <v>21</v>
      </c>
      <c r="D546" t="s">
        <v>35</v>
      </c>
      <c r="E546" t="s">
        <v>31</v>
      </c>
      <c r="F546" t="s">
        <v>24</v>
      </c>
      <c r="G546">
        <v>4170.87</v>
      </c>
      <c r="H546">
        <v>2233.3200000000002</v>
      </c>
      <c r="I546">
        <v>48631.43</v>
      </c>
      <c r="J546" t="s">
        <v>37</v>
      </c>
      <c r="K546" t="s">
        <v>38</v>
      </c>
      <c r="L546">
        <v>0</v>
      </c>
      <c r="M546">
        <v>0</v>
      </c>
      <c r="N546">
        <v>0</v>
      </c>
      <c r="O546">
        <v>0</v>
      </c>
      <c r="P546">
        <v>0</v>
      </c>
      <c r="Q546">
        <v>721</v>
      </c>
      <c r="R546">
        <v>0.97</v>
      </c>
      <c r="S546" t="s">
        <v>47</v>
      </c>
      <c r="T546" s="1">
        <v>45220</v>
      </c>
      <c r="U546">
        <v>0</v>
      </c>
    </row>
    <row r="547" spans="1:21" x14ac:dyDescent="0.25">
      <c r="A547" t="s">
        <v>594</v>
      </c>
      <c r="B547">
        <v>40</v>
      </c>
      <c r="C547" t="s">
        <v>21</v>
      </c>
      <c r="D547" t="s">
        <v>35</v>
      </c>
      <c r="E547" t="s">
        <v>31</v>
      </c>
      <c r="F547" t="s">
        <v>23</v>
      </c>
      <c r="G547">
        <v>5140.67</v>
      </c>
      <c r="H547">
        <v>3042.25</v>
      </c>
      <c r="I547">
        <v>60365.5</v>
      </c>
      <c r="J547" t="s">
        <v>37</v>
      </c>
      <c r="K547" t="s">
        <v>38</v>
      </c>
      <c r="L547">
        <v>0</v>
      </c>
      <c r="M547">
        <v>0</v>
      </c>
      <c r="N547">
        <v>0</v>
      </c>
      <c r="O547">
        <v>0</v>
      </c>
      <c r="P547">
        <v>0</v>
      </c>
      <c r="Q547">
        <v>503</v>
      </c>
      <c r="R547">
        <v>0.98</v>
      </c>
      <c r="S547" t="s">
        <v>30</v>
      </c>
      <c r="T547" s="1">
        <v>45597</v>
      </c>
      <c r="U547">
        <v>0</v>
      </c>
    </row>
    <row r="548" spans="1:21" x14ac:dyDescent="0.25">
      <c r="A548" t="s">
        <v>595</v>
      </c>
      <c r="B548">
        <v>53</v>
      </c>
      <c r="C548" t="s">
        <v>29</v>
      </c>
      <c r="D548" t="s">
        <v>35</v>
      </c>
      <c r="E548" t="s">
        <v>23</v>
      </c>
      <c r="F548" t="s">
        <v>52</v>
      </c>
      <c r="G548">
        <v>4865.0200000000004</v>
      </c>
      <c r="H548">
        <v>2934.28</v>
      </c>
      <c r="I548">
        <v>18393.54</v>
      </c>
      <c r="J548" t="s">
        <v>37</v>
      </c>
      <c r="K548" t="s">
        <v>38</v>
      </c>
      <c r="L548">
        <v>0</v>
      </c>
      <c r="M548">
        <v>0</v>
      </c>
      <c r="N548">
        <v>0</v>
      </c>
      <c r="O548">
        <v>0</v>
      </c>
      <c r="P548">
        <v>0</v>
      </c>
      <c r="Q548">
        <v>325</v>
      </c>
      <c r="R548">
        <v>0.32</v>
      </c>
      <c r="S548" t="s">
        <v>72</v>
      </c>
      <c r="T548" s="1">
        <v>44466</v>
      </c>
      <c r="U548">
        <v>0</v>
      </c>
    </row>
    <row r="549" spans="1:21" x14ac:dyDescent="0.25">
      <c r="A549" t="s">
        <v>596</v>
      </c>
      <c r="B549">
        <v>62</v>
      </c>
      <c r="C549" t="s">
        <v>29</v>
      </c>
      <c r="D549" t="s">
        <v>35</v>
      </c>
      <c r="E549" t="s">
        <v>31</v>
      </c>
      <c r="F549" t="s">
        <v>32</v>
      </c>
      <c r="G549">
        <v>3926.91</v>
      </c>
      <c r="H549">
        <v>1995.74</v>
      </c>
      <c r="I549">
        <v>18621.22</v>
      </c>
      <c r="J549" t="s">
        <v>37</v>
      </c>
      <c r="K549" t="s">
        <v>38</v>
      </c>
      <c r="L549">
        <v>0</v>
      </c>
      <c r="M549">
        <v>0</v>
      </c>
      <c r="N549">
        <v>0</v>
      </c>
      <c r="O549">
        <v>0</v>
      </c>
      <c r="P549">
        <v>0</v>
      </c>
      <c r="Q549">
        <v>379</v>
      </c>
      <c r="R549">
        <v>0.4</v>
      </c>
      <c r="S549" t="s">
        <v>39</v>
      </c>
      <c r="T549" s="1">
        <v>44694</v>
      </c>
      <c r="U549">
        <v>0</v>
      </c>
    </row>
    <row r="550" spans="1:21" x14ac:dyDescent="0.25">
      <c r="A550" t="s">
        <v>597</v>
      </c>
      <c r="B550">
        <v>67</v>
      </c>
      <c r="C550" t="s">
        <v>29</v>
      </c>
      <c r="D550" t="s">
        <v>35</v>
      </c>
      <c r="E550" t="s">
        <v>49</v>
      </c>
      <c r="F550" t="s">
        <v>49</v>
      </c>
      <c r="G550">
        <v>3595.45</v>
      </c>
      <c r="H550">
        <v>2961.22</v>
      </c>
      <c r="I550">
        <v>15540.74</v>
      </c>
      <c r="J550" t="s">
        <v>37</v>
      </c>
      <c r="K550" t="s">
        <v>38</v>
      </c>
      <c r="L550">
        <v>0</v>
      </c>
      <c r="M550">
        <v>0</v>
      </c>
      <c r="N550">
        <v>0</v>
      </c>
      <c r="O550">
        <v>0</v>
      </c>
      <c r="P550">
        <v>0</v>
      </c>
      <c r="Q550">
        <v>647</v>
      </c>
      <c r="R550">
        <v>0.36</v>
      </c>
      <c r="S550" t="s">
        <v>72</v>
      </c>
      <c r="T550" s="1">
        <v>44570</v>
      </c>
      <c r="U550">
        <v>0</v>
      </c>
    </row>
    <row r="551" spans="1:21" x14ac:dyDescent="0.25">
      <c r="A551" t="s">
        <v>598</v>
      </c>
      <c r="B551">
        <v>49</v>
      </c>
      <c r="C551" t="s">
        <v>21</v>
      </c>
      <c r="D551" t="s">
        <v>22</v>
      </c>
      <c r="E551" t="s">
        <v>31</v>
      </c>
      <c r="F551" t="s">
        <v>24</v>
      </c>
      <c r="G551">
        <v>5172.5600000000004</v>
      </c>
      <c r="H551">
        <v>3651.3</v>
      </c>
      <c r="I551">
        <v>34639.06</v>
      </c>
      <c r="J551" t="s">
        <v>25</v>
      </c>
      <c r="K551" t="s">
        <v>26</v>
      </c>
      <c r="L551">
        <v>453854.54</v>
      </c>
      <c r="M551">
        <v>120</v>
      </c>
      <c r="N551">
        <v>7753.24</v>
      </c>
      <c r="O551">
        <v>16.53</v>
      </c>
      <c r="P551">
        <v>1.5</v>
      </c>
      <c r="Q551">
        <v>822</v>
      </c>
      <c r="R551">
        <v>0.56000000000000005</v>
      </c>
      <c r="S551" t="s">
        <v>47</v>
      </c>
      <c r="T551" s="1">
        <v>45385</v>
      </c>
      <c r="U551">
        <v>1</v>
      </c>
    </row>
    <row r="552" spans="1:21" x14ac:dyDescent="0.25">
      <c r="A552" t="s">
        <v>599</v>
      </c>
      <c r="B552">
        <v>38</v>
      </c>
      <c r="C552" t="s">
        <v>21</v>
      </c>
      <c r="D552" t="s">
        <v>35</v>
      </c>
      <c r="E552" t="s">
        <v>51</v>
      </c>
      <c r="F552" t="s">
        <v>42</v>
      </c>
      <c r="G552">
        <v>1750.05</v>
      </c>
      <c r="H552">
        <v>1458.03</v>
      </c>
      <c r="I552">
        <v>6348.22</v>
      </c>
      <c r="J552" t="s">
        <v>37</v>
      </c>
      <c r="K552" t="s">
        <v>38</v>
      </c>
      <c r="L552">
        <v>0</v>
      </c>
      <c r="M552">
        <v>0</v>
      </c>
      <c r="N552">
        <v>0</v>
      </c>
      <c r="O552">
        <v>0</v>
      </c>
      <c r="P552">
        <v>0</v>
      </c>
      <c r="Q552">
        <v>615</v>
      </c>
      <c r="R552">
        <v>0.3</v>
      </c>
      <c r="S552" t="s">
        <v>30</v>
      </c>
      <c r="T552" s="1">
        <v>44701</v>
      </c>
      <c r="U552">
        <v>0</v>
      </c>
    </row>
    <row r="553" spans="1:21" x14ac:dyDescent="0.25">
      <c r="A553" t="s">
        <v>600</v>
      </c>
      <c r="B553">
        <v>62</v>
      </c>
      <c r="C553" t="s">
        <v>21</v>
      </c>
      <c r="D553" t="s">
        <v>22</v>
      </c>
      <c r="E553" t="s">
        <v>51</v>
      </c>
      <c r="F553" t="s">
        <v>44</v>
      </c>
      <c r="G553">
        <v>5081.7700000000004</v>
      </c>
      <c r="H553">
        <v>4247.25</v>
      </c>
      <c r="I553">
        <v>47516.73</v>
      </c>
      <c r="J553" t="s">
        <v>37</v>
      </c>
      <c r="K553" t="s">
        <v>38</v>
      </c>
      <c r="L553">
        <v>0</v>
      </c>
      <c r="M553">
        <v>0</v>
      </c>
      <c r="N553">
        <v>0</v>
      </c>
      <c r="O553">
        <v>0</v>
      </c>
      <c r="P553">
        <v>0</v>
      </c>
      <c r="Q553">
        <v>839</v>
      </c>
      <c r="R553">
        <v>0.78</v>
      </c>
      <c r="S553" t="s">
        <v>39</v>
      </c>
      <c r="T553" s="1">
        <v>45570</v>
      </c>
      <c r="U553">
        <v>0</v>
      </c>
    </row>
    <row r="554" spans="1:21" x14ac:dyDescent="0.25">
      <c r="A554" t="s">
        <v>601</v>
      </c>
      <c r="B554">
        <v>54</v>
      </c>
      <c r="C554" t="s">
        <v>21</v>
      </c>
      <c r="D554" t="s">
        <v>41</v>
      </c>
      <c r="E554" t="s">
        <v>23</v>
      </c>
      <c r="F554" t="s">
        <v>24</v>
      </c>
      <c r="G554">
        <v>2993.49</v>
      </c>
      <c r="H554">
        <v>2154.5</v>
      </c>
      <c r="I554">
        <v>13851.66</v>
      </c>
      <c r="J554" t="s">
        <v>37</v>
      </c>
      <c r="K554" t="s">
        <v>38</v>
      </c>
      <c r="L554">
        <v>0</v>
      </c>
      <c r="M554">
        <v>0</v>
      </c>
      <c r="N554">
        <v>0</v>
      </c>
      <c r="O554">
        <v>0</v>
      </c>
      <c r="P554">
        <v>0</v>
      </c>
      <c r="Q554">
        <v>700</v>
      </c>
      <c r="R554">
        <v>0.39</v>
      </c>
      <c r="S554" t="s">
        <v>47</v>
      </c>
      <c r="T554" s="1">
        <v>45158</v>
      </c>
      <c r="U554">
        <v>0</v>
      </c>
    </row>
    <row r="555" spans="1:21" x14ac:dyDescent="0.25">
      <c r="A555" t="s">
        <v>602</v>
      </c>
      <c r="B555">
        <v>27</v>
      </c>
      <c r="C555" t="s">
        <v>29</v>
      </c>
      <c r="D555" t="s">
        <v>35</v>
      </c>
      <c r="E555" t="s">
        <v>31</v>
      </c>
      <c r="F555" t="s">
        <v>24</v>
      </c>
      <c r="G555">
        <v>2160.58</v>
      </c>
      <c r="H555">
        <v>887.6</v>
      </c>
      <c r="I555">
        <v>16451.38</v>
      </c>
      <c r="J555" t="s">
        <v>37</v>
      </c>
      <c r="K555" t="s">
        <v>38</v>
      </c>
      <c r="L555">
        <v>0</v>
      </c>
      <c r="M555">
        <v>0</v>
      </c>
      <c r="N555">
        <v>0</v>
      </c>
      <c r="O555">
        <v>0</v>
      </c>
      <c r="P555">
        <v>0</v>
      </c>
      <c r="Q555">
        <v>751</v>
      </c>
      <c r="R555">
        <v>0.63</v>
      </c>
      <c r="S555" t="s">
        <v>30</v>
      </c>
      <c r="T555" s="1">
        <v>44417</v>
      </c>
      <c r="U555">
        <v>0</v>
      </c>
    </row>
    <row r="556" spans="1:21" x14ac:dyDescent="0.25">
      <c r="A556" t="s">
        <v>603</v>
      </c>
      <c r="B556">
        <v>50</v>
      </c>
      <c r="C556" t="s">
        <v>29</v>
      </c>
      <c r="D556" t="s">
        <v>22</v>
      </c>
      <c r="E556" t="s">
        <v>31</v>
      </c>
      <c r="F556" t="s">
        <v>24</v>
      </c>
      <c r="G556">
        <v>3579.69</v>
      </c>
      <c r="H556">
        <v>3036.01</v>
      </c>
      <c r="I556">
        <v>10775.12</v>
      </c>
      <c r="J556" t="s">
        <v>37</v>
      </c>
      <c r="K556" t="s">
        <v>38</v>
      </c>
      <c r="L556">
        <v>0</v>
      </c>
      <c r="M556">
        <v>0</v>
      </c>
      <c r="N556">
        <v>0</v>
      </c>
      <c r="O556">
        <v>0</v>
      </c>
      <c r="P556">
        <v>0</v>
      </c>
      <c r="Q556">
        <v>424</v>
      </c>
      <c r="R556">
        <v>0.25</v>
      </c>
      <c r="S556" t="s">
        <v>30</v>
      </c>
      <c r="T556" s="1">
        <v>44868</v>
      </c>
      <c r="U556">
        <v>0</v>
      </c>
    </row>
    <row r="557" spans="1:21" x14ac:dyDescent="0.25">
      <c r="A557" t="s">
        <v>604</v>
      </c>
      <c r="B557">
        <v>35</v>
      </c>
      <c r="C557" t="s">
        <v>21</v>
      </c>
      <c r="D557" t="s">
        <v>41</v>
      </c>
      <c r="E557" t="s">
        <v>31</v>
      </c>
      <c r="F557" t="s">
        <v>36</v>
      </c>
      <c r="G557">
        <v>2314.0300000000002</v>
      </c>
      <c r="H557">
        <v>1551.57</v>
      </c>
      <c r="I557">
        <v>13032.89</v>
      </c>
      <c r="J557" t="s">
        <v>37</v>
      </c>
      <c r="K557" t="s">
        <v>38</v>
      </c>
      <c r="L557">
        <v>0</v>
      </c>
      <c r="M557">
        <v>0</v>
      </c>
      <c r="N557">
        <v>0</v>
      </c>
      <c r="O557">
        <v>0</v>
      </c>
      <c r="P557">
        <v>0</v>
      </c>
      <c r="Q557">
        <v>698</v>
      </c>
      <c r="R557">
        <v>0.47</v>
      </c>
      <c r="S557" t="s">
        <v>47</v>
      </c>
      <c r="T557" s="1">
        <v>44982</v>
      </c>
      <c r="U557">
        <v>0</v>
      </c>
    </row>
    <row r="558" spans="1:21" x14ac:dyDescent="0.25">
      <c r="A558" t="s">
        <v>605</v>
      </c>
      <c r="B558">
        <v>46</v>
      </c>
      <c r="C558" t="s">
        <v>29</v>
      </c>
      <c r="D558" t="s">
        <v>35</v>
      </c>
      <c r="E558" t="s">
        <v>31</v>
      </c>
      <c r="F558" t="s">
        <v>63</v>
      </c>
      <c r="G558">
        <v>4683.51</v>
      </c>
      <c r="H558">
        <v>3371.09</v>
      </c>
      <c r="I558">
        <v>15939.62</v>
      </c>
      <c r="J558" t="s">
        <v>37</v>
      </c>
      <c r="K558" t="s">
        <v>38</v>
      </c>
      <c r="L558">
        <v>0</v>
      </c>
      <c r="M558">
        <v>0</v>
      </c>
      <c r="N558">
        <v>0</v>
      </c>
      <c r="O558">
        <v>0</v>
      </c>
      <c r="P558">
        <v>0</v>
      </c>
      <c r="Q558">
        <v>643</v>
      </c>
      <c r="R558">
        <v>0.28000000000000003</v>
      </c>
      <c r="S558" t="s">
        <v>27</v>
      </c>
      <c r="T558" s="1">
        <v>45255</v>
      </c>
      <c r="U558">
        <v>0</v>
      </c>
    </row>
    <row r="559" spans="1:21" x14ac:dyDescent="0.25">
      <c r="A559" t="s">
        <v>606</v>
      </c>
      <c r="B559">
        <v>42</v>
      </c>
      <c r="C559" t="s">
        <v>21</v>
      </c>
      <c r="D559" t="s">
        <v>41</v>
      </c>
      <c r="E559" t="s">
        <v>31</v>
      </c>
      <c r="F559" t="s">
        <v>36</v>
      </c>
      <c r="G559">
        <v>4316.6099999999997</v>
      </c>
      <c r="H559">
        <v>2789.35</v>
      </c>
      <c r="I559">
        <v>25082.95</v>
      </c>
      <c r="J559" t="s">
        <v>25</v>
      </c>
      <c r="K559" t="s">
        <v>54</v>
      </c>
      <c r="L559">
        <v>466878.4</v>
      </c>
      <c r="M559">
        <v>120</v>
      </c>
      <c r="N559">
        <v>6074.57</v>
      </c>
      <c r="O559">
        <v>9.6300000000000008</v>
      </c>
      <c r="P559">
        <v>1.41</v>
      </c>
      <c r="Q559">
        <v>601</v>
      </c>
      <c r="R559">
        <v>0.48</v>
      </c>
      <c r="S559" t="s">
        <v>39</v>
      </c>
      <c r="T559" s="1">
        <v>45187</v>
      </c>
      <c r="U559">
        <v>1</v>
      </c>
    </row>
    <row r="560" spans="1:21" x14ac:dyDescent="0.25">
      <c r="A560" t="s">
        <v>607</v>
      </c>
      <c r="B560">
        <v>40</v>
      </c>
      <c r="C560" t="s">
        <v>21</v>
      </c>
      <c r="D560" t="s">
        <v>41</v>
      </c>
      <c r="E560" t="s">
        <v>31</v>
      </c>
      <c r="F560" t="s">
        <v>42</v>
      </c>
      <c r="G560">
        <v>3912.45</v>
      </c>
      <c r="H560">
        <v>2322.35</v>
      </c>
      <c r="I560">
        <v>12322.04</v>
      </c>
      <c r="J560" t="s">
        <v>37</v>
      </c>
      <c r="K560" t="s">
        <v>38</v>
      </c>
      <c r="L560">
        <v>0</v>
      </c>
      <c r="M560">
        <v>0</v>
      </c>
      <c r="N560">
        <v>0</v>
      </c>
      <c r="O560">
        <v>0</v>
      </c>
      <c r="P560">
        <v>0</v>
      </c>
      <c r="Q560">
        <v>682</v>
      </c>
      <c r="R560">
        <v>0.26</v>
      </c>
      <c r="S560" t="s">
        <v>27</v>
      </c>
      <c r="T560" s="1">
        <v>44430</v>
      </c>
      <c r="U560">
        <v>0</v>
      </c>
    </row>
    <row r="561" spans="1:21" x14ac:dyDescent="0.25">
      <c r="A561" t="s">
        <v>608</v>
      </c>
      <c r="B561">
        <v>68</v>
      </c>
      <c r="C561" t="s">
        <v>29</v>
      </c>
      <c r="D561" t="s">
        <v>22</v>
      </c>
      <c r="E561" t="s">
        <v>31</v>
      </c>
      <c r="F561" t="s">
        <v>42</v>
      </c>
      <c r="G561">
        <v>6339.32</v>
      </c>
      <c r="H561">
        <v>4159.84</v>
      </c>
      <c r="I561">
        <v>42859.54</v>
      </c>
      <c r="J561" t="s">
        <v>25</v>
      </c>
      <c r="K561" t="s">
        <v>33</v>
      </c>
      <c r="L561">
        <v>80938.34</v>
      </c>
      <c r="M561">
        <v>360</v>
      </c>
      <c r="N561">
        <v>670.56</v>
      </c>
      <c r="O561">
        <v>9.33</v>
      </c>
      <c r="P561">
        <v>0.11</v>
      </c>
      <c r="Q561">
        <v>606</v>
      </c>
      <c r="R561">
        <v>0.56000000000000005</v>
      </c>
      <c r="S561" t="s">
        <v>27</v>
      </c>
      <c r="T561" s="1">
        <v>45103</v>
      </c>
      <c r="U561">
        <v>0</v>
      </c>
    </row>
    <row r="562" spans="1:21" x14ac:dyDescent="0.25">
      <c r="A562" t="s">
        <v>609</v>
      </c>
      <c r="B562">
        <v>20</v>
      </c>
      <c r="C562" t="s">
        <v>29</v>
      </c>
      <c r="D562" t="s">
        <v>41</v>
      </c>
      <c r="E562" t="s">
        <v>31</v>
      </c>
      <c r="F562" t="s">
        <v>32</v>
      </c>
      <c r="G562">
        <v>6447.82</v>
      </c>
      <c r="H562">
        <v>5300.07</v>
      </c>
      <c r="I562">
        <v>16036.71</v>
      </c>
      <c r="J562" t="s">
        <v>37</v>
      </c>
      <c r="K562" t="s">
        <v>38</v>
      </c>
      <c r="L562">
        <v>0</v>
      </c>
      <c r="M562">
        <v>0</v>
      </c>
      <c r="N562">
        <v>0</v>
      </c>
      <c r="O562">
        <v>0</v>
      </c>
      <c r="P562">
        <v>0</v>
      </c>
      <c r="Q562">
        <v>403</v>
      </c>
      <c r="R562">
        <v>0.21</v>
      </c>
      <c r="S562" t="s">
        <v>72</v>
      </c>
      <c r="T562" s="1">
        <v>45496</v>
      </c>
      <c r="U562">
        <v>0</v>
      </c>
    </row>
    <row r="563" spans="1:21" x14ac:dyDescent="0.25">
      <c r="A563" t="s">
        <v>610</v>
      </c>
      <c r="B563">
        <v>32</v>
      </c>
      <c r="C563" t="s">
        <v>29</v>
      </c>
      <c r="D563" t="s">
        <v>22</v>
      </c>
      <c r="E563" t="s">
        <v>31</v>
      </c>
      <c r="F563" t="s">
        <v>36</v>
      </c>
      <c r="G563">
        <v>2374.2199999999998</v>
      </c>
      <c r="H563">
        <v>813.56</v>
      </c>
      <c r="I563">
        <v>6690.27</v>
      </c>
      <c r="J563" t="s">
        <v>25</v>
      </c>
      <c r="K563" t="s">
        <v>54</v>
      </c>
      <c r="L563">
        <v>182672.3</v>
      </c>
      <c r="M563">
        <v>240</v>
      </c>
      <c r="N563">
        <v>1306.6099999999999</v>
      </c>
      <c r="O563">
        <v>5.98</v>
      </c>
      <c r="P563">
        <v>0.55000000000000004</v>
      </c>
      <c r="Q563">
        <v>638</v>
      </c>
      <c r="R563">
        <v>0.23</v>
      </c>
      <c r="S563" t="s">
        <v>27</v>
      </c>
      <c r="T563" s="1">
        <v>45598</v>
      </c>
      <c r="U563">
        <v>1</v>
      </c>
    </row>
    <row r="564" spans="1:21" x14ac:dyDescent="0.25">
      <c r="A564" t="s">
        <v>611</v>
      </c>
      <c r="B564">
        <v>62</v>
      </c>
      <c r="C564" t="s">
        <v>29</v>
      </c>
      <c r="D564" t="s">
        <v>35</v>
      </c>
      <c r="E564" t="s">
        <v>31</v>
      </c>
      <c r="F564" t="s">
        <v>63</v>
      </c>
      <c r="G564">
        <v>7644.4</v>
      </c>
      <c r="H564">
        <v>5849.75</v>
      </c>
      <c r="I564">
        <v>54035.79</v>
      </c>
      <c r="J564" t="s">
        <v>25</v>
      </c>
      <c r="K564" t="s">
        <v>45</v>
      </c>
      <c r="L564">
        <v>324319.17</v>
      </c>
      <c r="M564">
        <v>180</v>
      </c>
      <c r="N564">
        <v>2794.95</v>
      </c>
      <c r="O564">
        <v>6.33</v>
      </c>
      <c r="P564">
        <v>0.37</v>
      </c>
      <c r="Q564">
        <v>539</v>
      </c>
      <c r="R564">
        <v>0.59</v>
      </c>
      <c r="S564" t="s">
        <v>30</v>
      </c>
      <c r="T564" s="1">
        <v>44533</v>
      </c>
      <c r="U564">
        <v>0</v>
      </c>
    </row>
    <row r="565" spans="1:21" x14ac:dyDescent="0.25">
      <c r="A565" t="s">
        <v>612</v>
      </c>
      <c r="B565">
        <v>58</v>
      </c>
      <c r="C565" t="s">
        <v>29</v>
      </c>
      <c r="D565" t="s">
        <v>41</v>
      </c>
      <c r="E565" t="s">
        <v>31</v>
      </c>
      <c r="F565" t="s">
        <v>63</v>
      </c>
      <c r="G565">
        <v>3875.1</v>
      </c>
      <c r="H565">
        <v>1311.49</v>
      </c>
      <c r="I565">
        <v>17237.04</v>
      </c>
      <c r="J565" t="s">
        <v>37</v>
      </c>
      <c r="K565" t="s">
        <v>38</v>
      </c>
      <c r="L565">
        <v>0</v>
      </c>
      <c r="M565">
        <v>0</v>
      </c>
      <c r="N565">
        <v>0</v>
      </c>
      <c r="O565">
        <v>0</v>
      </c>
      <c r="P565">
        <v>0</v>
      </c>
      <c r="Q565">
        <v>575</v>
      </c>
      <c r="R565">
        <v>0.37</v>
      </c>
      <c r="S565" t="s">
        <v>27</v>
      </c>
      <c r="T565" s="1">
        <v>44971</v>
      </c>
      <c r="U565">
        <v>0</v>
      </c>
    </row>
    <row r="566" spans="1:21" x14ac:dyDescent="0.25">
      <c r="A566" t="s">
        <v>613</v>
      </c>
      <c r="B566">
        <v>47</v>
      </c>
      <c r="C566" t="s">
        <v>21</v>
      </c>
      <c r="D566" t="s">
        <v>22</v>
      </c>
      <c r="E566" t="s">
        <v>31</v>
      </c>
      <c r="F566" t="s">
        <v>44</v>
      </c>
      <c r="G566">
        <v>4141.55</v>
      </c>
      <c r="H566">
        <v>1861.28</v>
      </c>
      <c r="I566">
        <v>33541.57</v>
      </c>
      <c r="J566" t="s">
        <v>37</v>
      </c>
      <c r="K566" t="s">
        <v>38</v>
      </c>
      <c r="L566">
        <v>0</v>
      </c>
      <c r="M566">
        <v>0</v>
      </c>
      <c r="N566">
        <v>0</v>
      </c>
      <c r="O566">
        <v>0</v>
      </c>
      <c r="P566">
        <v>0</v>
      </c>
      <c r="Q566">
        <v>813</v>
      </c>
      <c r="R566">
        <v>0.67</v>
      </c>
      <c r="S566" t="s">
        <v>39</v>
      </c>
      <c r="T566" s="1">
        <v>44775</v>
      </c>
      <c r="U566">
        <v>0</v>
      </c>
    </row>
    <row r="567" spans="1:21" x14ac:dyDescent="0.25">
      <c r="A567" t="s">
        <v>614</v>
      </c>
      <c r="B567">
        <v>53</v>
      </c>
      <c r="C567" t="s">
        <v>29</v>
      </c>
      <c r="D567" t="s">
        <v>35</v>
      </c>
      <c r="E567" t="s">
        <v>31</v>
      </c>
      <c r="F567" t="s">
        <v>49</v>
      </c>
      <c r="G567">
        <v>5477.22</v>
      </c>
      <c r="H567">
        <v>3356.17</v>
      </c>
      <c r="I567">
        <v>18994.05</v>
      </c>
      <c r="J567" t="s">
        <v>25</v>
      </c>
      <c r="K567" t="s">
        <v>54</v>
      </c>
      <c r="L567">
        <v>86835.98</v>
      </c>
      <c r="M567">
        <v>120</v>
      </c>
      <c r="N567">
        <v>1060.92</v>
      </c>
      <c r="O567">
        <v>8.16</v>
      </c>
      <c r="P567">
        <v>0.19</v>
      </c>
      <c r="Q567">
        <v>474</v>
      </c>
      <c r="R567">
        <v>0.28999999999999998</v>
      </c>
      <c r="S567" t="s">
        <v>72</v>
      </c>
      <c r="T567" s="1">
        <v>44803</v>
      </c>
      <c r="U567">
        <v>0</v>
      </c>
    </row>
    <row r="568" spans="1:21" x14ac:dyDescent="0.25">
      <c r="A568" t="s">
        <v>615</v>
      </c>
      <c r="B568">
        <v>19</v>
      </c>
      <c r="C568" t="s">
        <v>21</v>
      </c>
      <c r="D568" t="s">
        <v>41</v>
      </c>
      <c r="E568" t="s">
        <v>51</v>
      </c>
      <c r="F568" t="s">
        <v>49</v>
      </c>
      <c r="G568">
        <v>3906.32</v>
      </c>
      <c r="H568">
        <v>3141.03</v>
      </c>
      <c r="I568">
        <v>15466.33</v>
      </c>
      <c r="J568" t="s">
        <v>25</v>
      </c>
      <c r="K568" t="s">
        <v>54</v>
      </c>
      <c r="L568">
        <v>37735.32</v>
      </c>
      <c r="M568">
        <v>120</v>
      </c>
      <c r="N568">
        <v>706.39</v>
      </c>
      <c r="O568">
        <v>19.079999999999998</v>
      </c>
      <c r="P568">
        <v>0.18</v>
      </c>
      <c r="Q568">
        <v>328</v>
      </c>
      <c r="R568">
        <v>0.33</v>
      </c>
      <c r="S568" t="s">
        <v>47</v>
      </c>
      <c r="T568" s="1">
        <v>45495</v>
      </c>
      <c r="U568">
        <v>0</v>
      </c>
    </row>
    <row r="569" spans="1:21" x14ac:dyDescent="0.25">
      <c r="A569" t="s">
        <v>616</v>
      </c>
      <c r="B569">
        <v>41</v>
      </c>
      <c r="C569" t="s">
        <v>21</v>
      </c>
      <c r="D569" t="s">
        <v>35</v>
      </c>
      <c r="E569" t="s">
        <v>31</v>
      </c>
      <c r="F569" t="s">
        <v>32</v>
      </c>
      <c r="G569">
        <v>2740.96</v>
      </c>
      <c r="H569">
        <v>1643.32</v>
      </c>
      <c r="I569">
        <v>24572.15</v>
      </c>
      <c r="J569" t="s">
        <v>25</v>
      </c>
      <c r="K569" t="s">
        <v>26</v>
      </c>
      <c r="L569">
        <v>96763.32</v>
      </c>
      <c r="M569">
        <v>300</v>
      </c>
      <c r="N569">
        <v>1937.98</v>
      </c>
      <c r="O569">
        <v>23.97</v>
      </c>
      <c r="P569">
        <v>0.71</v>
      </c>
      <c r="Q569">
        <v>663</v>
      </c>
      <c r="R569">
        <v>0.75</v>
      </c>
      <c r="S569" t="s">
        <v>72</v>
      </c>
      <c r="T569" s="1">
        <v>45379</v>
      </c>
      <c r="U569">
        <v>1</v>
      </c>
    </row>
    <row r="570" spans="1:21" x14ac:dyDescent="0.25">
      <c r="A570" t="s">
        <v>617</v>
      </c>
      <c r="B570">
        <v>40</v>
      </c>
      <c r="C570" t="s">
        <v>29</v>
      </c>
      <c r="D570" t="s">
        <v>30</v>
      </c>
      <c r="E570" t="s">
        <v>51</v>
      </c>
      <c r="F570" t="s">
        <v>24</v>
      </c>
      <c r="G570">
        <v>3236.06</v>
      </c>
      <c r="H570">
        <v>2194.08</v>
      </c>
      <c r="I570">
        <v>28556.11</v>
      </c>
      <c r="J570" t="s">
        <v>37</v>
      </c>
      <c r="K570" t="s">
        <v>38</v>
      </c>
      <c r="L570">
        <v>0</v>
      </c>
      <c r="M570">
        <v>0</v>
      </c>
      <c r="N570">
        <v>0</v>
      </c>
      <c r="O570">
        <v>0</v>
      </c>
      <c r="P570">
        <v>0</v>
      </c>
      <c r="Q570">
        <v>816</v>
      </c>
      <c r="R570">
        <v>0.74</v>
      </c>
      <c r="S570" t="s">
        <v>39</v>
      </c>
      <c r="T570" s="1">
        <v>44821</v>
      </c>
      <c r="U570">
        <v>0</v>
      </c>
    </row>
    <row r="571" spans="1:21" x14ac:dyDescent="0.25">
      <c r="A571" t="s">
        <v>618</v>
      </c>
      <c r="B571">
        <v>51</v>
      </c>
      <c r="C571" t="s">
        <v>29</v>
      </c>
      <c r="D571" t="s">
        <v>35</v>
      </c>
      <c r="E571" t="s">
        <v>31</v>
      </c>
      <c r="F571" t="s">
        <v>36</v>
      </c>
      <c r="G571">
        <v>3358.44</v>
      </c>
      <c r="H571">
        <v>2597.31</v>
      </c>
      <c r="I571">
        <v>9940.89</v>
      </c>
      <c r="J571" t="s">
        <v>37</v>
      </c>
      <c r="K571" t="s">
        <v>38</v>
      </c>
      <c r="L571">
        <v>0</v>
      </c>
      <c r="M571">
        <v>0</v>
      </c>
      <c r="N571">
        <v>0</v>
      </c>
      <c r="O571">
        <v>0</v>
      </c>
      <c r="P571">
        <v>0</v>
      </c>
      <c r="Q571">
        <v>733</v>
      </c>
      <c r="R571">
        <v>0.25</v>
      </c>
      <c r="S571" t="s">
        <v>27</v>
      </c>
      <c r="T571" s="1">
        <v>45771</v>
      </c>
      <c r="U571">
        <v>0</v>
      </c>
    </row>
    <row r="572" spans="1:21" x14ac:dyDescent="0.25">
      <c r="A572" t="s">
        <v>619</v>
      </c>
      <c r="B572">
        <v>21</v>
      </c>
      <c r="C572" t="s">
        <v>29</v>
      </c>
      <c r="D572" t="s">
        <v>35</v>
      </c>
      <c r="E572" t="s">
        <v>31</v>
      </c>
      <c r="F572" t="s">
        <v>23</v>
      </c>
      <c r="G572">
        <v>2381.21</v>
      </c>
      <c r="H572">
        <v>1081.1099999999999</v>
      </c>
      <c r="I572">
        <v>19862.5</v>
      </c>
      <c r="J572" t="s">
        <v>37</v>
      </c>
      <c r="K572" t="s">
        <v>38</v>
      </c>
      <c r="L572">
        <v>0</v>
      </c>
      <c r="M572">
        <v>0</v>
      </c>
      <c r="N572">
        <v>0</v>
      </c>
      <c r="O572">
        <v>0</v>
      </c>
      <c r="P572">
        <v>0</v>
      </c>
      <c r="Q572">
        <v>681</v>
      </c>
      <c r="R572">
        <v>0.7</v>
      </c>
      <c r="S572" t="s">
        <v>39</v>
      </c>
      <c r="T572" s="1">
        <v>44501</v>
      </c>
      <c r="U572">
        <v>0</v>
      </c>
    </row>
    <row r="573" spans="1:21" x14ac:dyDescent="0.25">
      <c r="A573" t="s">
        <v>620</v>
      </c>
      <c r="B573">
        <v>22</v>
      </c>
      <c r="C573" t="s">
        <v>21</v>
      </c>
      <c r="D573" t="s">
        <v>22</v>
      </c>
      <c r="E573" t="s">
        <v>51</v>
      </c>
      <c r="F573" t="s">
        <v>36</v>
      </c>
      <c r="G573">
        <v>6068.72</v>
      </c>
      <c r="H573">
        <v>3200.58</v>
      </c>
      <c r="I573">
        <v>47148.28</v>
      </c>
      <c r="J573" t="s">
        <v>37</v>
      </c>
      <c r="K573" t="s">
        <v>38</v>
      </c>
      <c r="L573">
        <v>0</v>
      </c>
      <c r="M573">
        <v>0</v>
      </c>
      <c r="N573">
        <v>0</v>
      </c>
      <c r="O573">
        <v>0</v>
      </c>
      <c r="P573">
        <v>0</v>
      </c>
      <c r="Q573">
        <v>685</v>
      </c>
      <c r="R573">
        <v>0.65</v>
      </c>
      <c r="S573" t="s">
        <v>72</v>
      </c>
      <c r="T573" s="1">
        <v>44440</v>
      </c>
      <c r="U573">
        <v>0</v>
      </c>
    </row>
    <row r="574" spans="1:21" x14ac:dyDescent="0.25">
      <c r="A574" t="s">
        <v>621</v>
      </c>
      <c r="B574">
        <v>44</v>
      </c>
      <c r="C574" t="s">
        <v>21</v>
      </c>
      <c r="D574" t="s">
        <v>41</v>
      </c>
      <c r="E574" t="s">
        <v>51</v>
      </c>
      <c r="F574" t="s">
        <v>24</v>
      </c>
      <c r="G574">
        <v>3979.57</v>
      </c>
      <c r="H574">
        <v>2734.83</v>
      </c>
      <c r="I574">
        <v>33523.019999999997</v>
      </c>
      <c r="J574" t="s">
        <v>37</v>
      </c>
      <c r="K574" t="s">
        <v>38</v>
      </c>
      <c r="L574">
        <v>0</v>
      </c>
      <c r="M574">
        <v>0</v>
      </c>
      <c r="N574">
        <v>0</v>
      </c>
      <c r="O574">
        <v>0</v>
      </c>
      <c r="P574">
        <v>0</v>
      </c>
      <c r="Q574">
        <v>666</v>
      </c>
      <c r="R574">
        <v>0.7</v>
      </c>
      <c r="S574" t="s">
        <v>47</v>
      </c>
      <c r="T574" s="1">
        <v>44828</v>
      </c>
      <c r="U574">
        <v>0</v>
      </c>
    </row>
    <row r="575" spans="1:21" x14ac:dyDescent="0.25">
      <c r="A575" t="s">
        <v>622</v>
      </c>
      <c r="B575">
        <v>63</v>
      </c>
      <c r="C575" t="s">
        <v>21</v>
      </c>
      <c r="D575" t="s">
        <v>56</v>
      </c>
      <c r="E575" t="s">
        <v>31</v>
      </c>
      <c r="F575" t="s">
        <v>63</v>
      </c>
      <c r="G575">
        <v>5453.18</v>
      </c>
      <c r="H575">
        <v>4568.8500000000004</v>
      </c>
      <c r="I575">
        <v>28407.15</v>
      </c>
      <c r="J575" t="s">
        <v>37</v>
      </c>
      <c r="K575" t="s">
        <v>38</v>
      </c>
      <c r="L575">
        <v>0</v>
      </c>
      <c r="M575">
        <v>0</v>
      </c>
      <c r="N575">
        <v>0</v>
      </c>
      <c r="O575">
        <v>0</v>
      </c>
      <c r="P575">
        <v>0</v>
      </c>
      <c r="Q575">
        <v>794</v>
      </c>
      <c r="R575">
        <v>0.43</v>
      </c>
      <c r="S575" t="s">
        <v>39</v>
      </c>
      <c r="T575" s="1">
        <v>44408</v>
      </c>
      <c r="U575">
        <v>0</v>
      </c>
    </row>
    <row r="576" spans="1:21" x14ac:dyDescent="0.25">
      <c r="A576" t="s">
        <v>623</v>
      </c>
      <c r="B576">
        <v>33</v>
      </c>
      <c r="C576" t="s">
        <v>21</v>
      </c>
      <c r="D576" t="s">
        <v>35</v>
      </c>
      <c r="E576" t="s">
        <v>51</v>
      </c>
      <c r="F576" t="s">
        <v>23</v>
      </c>
      <c r="G576">
        <v>4827</v>
      </c>
      <c r="H576">
        <v>1727.59</v>
      </c>
      <c r="I576">
        <v>54889.16</v>
      </c>
      <c r="J576" t="s">
        <v>37</v>
      </c>
      <c r="K576" t="s">
        <v>38</v>
      </c>
      <c r="L576">
        <v>0</v>
      </c>
      <c r="M576">
        <v>0</v>
      </c>
      <c r="N576">
        <v>0</v>
      </c>
      <c r="O576">
        <v>0</v>
      </c>
      <c r="P576">
        <v>0</v>
      </c>
      <c r="Q576">
        <v>490</v>
      </c>
      <c r="R576">
        <v>0.95</v>
      </c>
      <c r="S576" t="s">
        <v>47</v>
      </c>
      <c r="T576" s="1">
        <v>45335</v>
      </c>
      <c r="U576">
        <v>0</v>
      </c>
    </row>
    <row r="577" spans="1:21" x14ac:dyDescent="0.25">
      <c r="A577" t="s">
        <v>624</v>
      </c>
      <c r="B577">
        <v>18</v>
      </c>
      <c r="C577" t="s">
        <v>21</v>
      </c>
      <c r="D577" t="s">
        <v>35</v>
      </c>
      <c r="E577" t="s">
        <v>31</v>
      </c>
      <c r="F577" t="s">
        <v>44</v>
      </c>
      <c r="G577">
        <v>2551.0300000000002</v>
      </c>
      <c r="H577">
        <v>1922.51</v>
      </c>
      <c r="I577">
        <v>24172.880000000001</v>
      </c>
      <c r="J577" t="s">
        <v>37</v>
      </c>
      <c r="K577" t="s">
        <v>38</v>
      </c>
      <c r="L577">
        <v>0</v>
      </c>
      <c r="M577">
        <v>0</v>
      </c>
      <c r="N577">
        <v>0</v>
      </c>
      <c r="O577">
        <v>0</v>
      </c>
      <c r="P577">
        <v>0</v>
      </c>
      <c r="Q577">
        <v>625</v>
      </c>
      <c r="R577">
        <v>0.79</v>
      </c>
      <c r="S577" t="s">
        <v>30</v>
      </c>
      <c r="T577" s="1">
        <v>44800</v>
      </c>
      <c r="U577">
        <v>0</v>
      </c>
    </row>
    <row r="578" spans="1:21" x14ac:dyDescent="0.25">
      <c r="A578" t="s">
        <v>625</v>
      </c>
      <c r="B578">
        <v>57</v>
      </c>
      <c r="C578" t="s">
        <v>29</v>
      </c>
      <c r="D578" t="s">
        <v>41</v>
      </c>
      <c r="E578" t="s">
        <v>31</v>
      </c>
      <c r="F578" t="s">
        <v>23</v>
      </c>
      <c r="G578">
        <v>2271.38</v>
      </c>
      <c r="H578">
        <v>2003.32</v>
      </c>
      <c r="I578">
        <v>13913.58</v>
      </c>
      <c r="J578" t="s">
        <v>37</v>
      </c>
      <c r="K578" t="s">
        <v>38</v>
      </c>
      <c r="L578">
        <v>0</v>
      </c>
      <c r="M578">
        <v>0</v>
      </c>
      <c r="N578">
        <v>0</v>
      </c>
      <c r="O578">
        <v>0</v>
      </c>
      <c r="P578">
        <v>0</v>
      </c>
      <c r="Q578">
        <v>721</v>
      </c>
      <c r="R578">
        <v>0.51</v>
      </c>
      <c r="S578" t="s">
        <v>27</v>
      </c>
      <c r="T578" s="1">
        <v>45740</v>
      </c>
      <c r="U578">
        <v>0</v>
      </c>
    </row>
    <row r="579" spans="1:21" x14ac:dyDescent="0.25">
      <c r="A579" t="s">
        <v>626</v>
      </c>
      <c r="B579">
        <v>32</v>
      </c>
      <c r="C579" t="s">
        <v>29</v>
      </c>
      <c r="D579" t="s">
        <v>41</v>
      </c>
      <c r="E579" t="s">
        <v>31</v>
      </c>
      <c r="F579" t="s">
        <v>52</v>
      </c>
      <c r="G579">
        <v>3559.47</v>
      </c>
      <c r="H579">
        <v>1571.97</v>
      </c>
      <c r="I579">
        <v>38831.99</v>
      </c>
      <c r="J579" t="s">
        <v>37</v>
      </c>
      <c r="K579" t="s">
        <v>38</v>
      </c>
      <c r="L579">
        <v>0</v>
      </c>
      <c r="M579">
        <v>0</v>
      </c>
      <c r="N579">
        <v>0</v>
      </c>
      <c r="O579">
        <v>0</v>
      </c>
      <c r="P579">
        <v>0</v>
      </c>
      <c r="Q579">
        <v>408</v>
      </c>
      <c r="R579">
        <v>0.91</v>
      </c>
      <c r="S579" t="s">
        <v>72</v>
      </c>
      <c r="T579" s="1">
        <v>44513</v>
      </c>
      <c r="U579">
        <v>0</v>
      </c>
    </row>
    <row r="580" spans="1:21" x14ac:dyDescent="0.25">
      <c r="A580" t="s">
        <v>627</v>
      </c>
      <c r="B580">
        <v>53</v>
      </c>
      <c r="C580" t="s">
        <v>21</v>
      </c>
      <c r="D580" t="s">
        <v>41</v>
      </c>
      <c r="E580" t="s">
        <v>31</v>
      </c>
      <c r="F580" t="s">
        <v>52</v>
      </c>
      <c r="G580">
        <v>2416.89</v>
      </c>
      <c r="H580">
        <v>1477.82</v>
      </c>
      <c r="I580">
        <v>9690.2999999999993</v>
      </c>
      <c r="J580" t="s">
        <v>37</v>
      </c>
      <c r="K580" t="s">
        <v>38</v>
      </c>
      <c r="L580">
        <v>0</v>
      </c>
      <c r="M580">
        <v>0</v>
      </c>
      <c r="N580">
        <v>0</v>
      </c>
      <c r="O580">
        <v>0</v>
      </c>
      <c r="P580">
        <v>0</v>
      </c>
      <c r="Q580">
        <v>441</v>
      </c>
      <c r="R580">
        <v>0.33</v>
      </c>
      <c r="S580" t="s">
        <v>72</v>
      </c>
      <c r="T580" s="1">
        <v>44886</v>
      </c>
      <c r="U580">
        <v>0</v>
      </c>
    </row>
    <row r="581" spans="1:21" x14ac:dyDescent="0.25">
      <c r="A581" t="s">
        <v>628</v>
      </c>
      <c r="B581">
        <v>60</v>
      </c>
      <c r="C581" t="s">
        <v>29</v>
      </c>
      <c r="D581" t="s">
        <v>35</v>
      </c>
      <c r="E581" t="s">
        <v>23</v>
      </c>
      <c r="F581" t="s">
        <v>44</v>
      </c>
      <c r="G581">
        <v>6209.44</v>
      </c>
      <c r="H581">
        <v>1923.82</v>
      </c>
      <c r="I581">
        <v>50436.07</v>
      </c>
      <c r="J581" t="s">
        <v>25</v>
      </c>
      <c r="K581" t="s">
        <v>33</v>
      </c>
      <c r="L581">
        <v>397494.39</v>
      </c>
      <c r="M581">
        <v>360</v>
      </c>
      <c r="N581">
        <v>9640.9699999999993</v>
      </c>
      <c r="O581">
        <v>29.1</v>
      </c>
      <c r="P581">
        <v>1.55</v>
      </c>
      <c r="Q581">
        <v>594</v>
      </c>
      <c r="R581">
        <v>0.68</v>
      </c>
      <c r="S581" t="s">
        <v>47</v>
      </c>
      <c r="T581" s="1">
        <v>44797</v>
      </c>
      <c r="U581">
        <v>1</v>
      </c>
    </row>
    <row r="582" spans="1:21" x14ac:dyDescent="0.25">
      <c r="A582" t="s">
        <v>629</v>
      </c>
      <c r="B582">
        <v>29</v>
      </c>
      <c r="C582" t="s">
        <v>29</v>
      </c>
      <c r="D582" t="s">
        <v>41</v>
      </c>
      <c r="E582" t="s">
        <v>31</v>
      </c>
      <c r="F582" t="s">
        <v>36</v>
      </c>
      <c r="G582">
        <v>2889.96</v>
      </c>
      <c r="H582">
        <v>2430.91</v>
      </c>
      <c r="I582">
        <v>15406.32</v>
      </c>
      <c r="J582" t="s">
        <v>25</v>
      </c>
      <c r="K582" t="s">
        <v>33</v>
      </c>
      <c r="L582">
        <v>42014.14</v>
      </c>
      <c r="M582">
        <v>180</v>
      </c>
      <c r="N582">
        <v>778.55</v>
      </c>
      <c r="O582">
        <v>21.3</v>
      </c>
      <c r="P582">
        <v>0.27</v>
      </c>
      <c r="Q582">
        <v>508</v>
      </c>
      <c r="R582">
        <v>0.44</v>
      </c>
      <c r="S582" t="s">
        <v>72</v>
      </c>
      <c r="T582" s="1">
        <v>44609</v>
      </c>
      <c r="U582">
        <v>0</v>
      </c>
    </row>
    <row r="583" spans="1:21" x14ac:dyDescent="0.25">
      <c r="A583" t="s">
        <v>630</v>
      </c>
      <c r="B583">
        <v>33</v>
      </c>
      <c r="C583" t="s">
        <v>29</v>
      </c>
      <c r="D583" t="s">
        <v>22</v>
      </c>
      <c r="E583" t="s">
        <v>23</v>
      </c>
      <c r="F583" t="s">
        <v>36</v>
      </c>
      <c r="G583">
        <v>4686.96</v>
      </c>
      <c r="H583">
        <v>1910.19</v>
      </c>
      <c r="I583">
        <v>37379.589999999997</v>
      </c>
      <c r="J583" t="s">
        <v>37</v>
      </c>
      <c r="K583" t="s">
        <v>38</v>
      </c>
      <c r="L583">
        <v>0</v>
      </c>
      <c r="M583">
        <v>0</v>
      </c>
      <c r="N583">
        <v>0</v>
      </c>
      <c r="O583">
        <v>0</v>
      </c>
      <c r="P583">
        <v>0</v>
      </c>
      <c r="Q583">
        <v>439</v>
      </c>
      <c r="R583">
        <v>0.66</v>
      </c>
      <c r="S583" t="s">
        <v>27</v>
      </c>
      <c r="T583" s="1">
        <v>45484</v>
      </c>
      <c r="U583">
        <v>0</v>
      </c>
    </row>
    <row r="584" spans="1:21" x14ac:dyDescent="0.25">
      <c r="A584" t="s">
        <v>631</v>
      </c>
      <c r="B584">
        <v>53</v>
      </c>
      <c r="C584" t="s">
        <v>21</v>
      </c>
      <c r="D584" t="s">
        <v>35</v>
      </c>
      <c r="E584" t="s">
        <v>31</v>
      </c>
      <c r="F584" t="s">
        <v>52</v>
      </c>
      <c r="G584">
        <v>8261.77</v>
      </c>
      <c r="H584">
        <v>3666.51</v>
      </c>
      <c r="I584">
        <v>85693.11</v>
      </c>
      <c r="J584" t="s">
        <v>37</v>
      </c>
      <c r="K584" t="s">
        <v>38</v>
      </c>
      <c r="L584">
        <v>0</v>
      </c>
      <c r="M584">
        <v>0</v>
      </c>
      <c r="N584">
        <v>0</v>
      </c>
      <c r="O584">
        <v>0</v>
      </c>
      <c r="P584">
        <v>0</v>
      </c>
      <c r="Q584">
        <v>825</v>
      </c>
      <c r="R584">
        <v>0.86</v>
      </c>
      <c r="S584" t="s">
        <v>72</v>
      </c>
      <c r="T584" s="1">
        <v>44752</v>
      </c>
      <c r="U584">
        <v>0</v>
      </c>
    </row>
    <row r="585" spans="1:21" x14ac:dyDescent="0.25">
      <c r="A585" t="s">
        <v>632</v>
      </c>
      <c r="B585">
        <v>61</v>
      </c>
      <c r="C585" t="s">
        <v>21</v>
      </c>
      <c r="D585" t="s">
        <v>30</v>
      </c>
      <c r="E585" t="s">
        <v>51</v>
      </c>
      <c r="F585" t="s">
        <v>49</v>
      </c>
      <c r="G585">
        <v>983.36</v>
      </c>
      <c r="H585">
        <v>429.83</v>
      </c>
      <c r="I585">
        <v>8040.62</v>
      </c>
      <c r="J585" t="s">
        <v>37</v>
      </c>
      <c r="K585" t="s">
        <v>38</v>
      </c>
      <c r="L585">
        <v>0</v>
      </c>
      <c r="M585">
        <v>0</v>
      </c>
      <c r="N585">
        <v>0</v>
      </c>
      <c r="O585">
        <v>0</v>
      </c>
      <c r="P585">
        <v>0</v>
      </c>
      <c r="Q585">
        <v>757</v>
      </c>
      <c r="R585">
        <v>0.68</v>
      </c>
      <c r="S585" t="s">
        <v>39</v>
      </c>
      <c r="T585" s="1">
        <v>45406</v>
      </c>
      <c r="U585">
        <v>0</v>
      </c>
    </row>
    <row r="586" spans="1:21" x14ac:dyDescent="0.25">
      <c r="A586" t="s">
        <v>633</v>
      </c>
      <c r="B586">
        <v>44</v>
      </c>
      <c r="C586" t="s">
        <v>29</v>
      </c>
      <c r="D586" t="s">
        <v>35</v>
      </c>
      <c r="E586" t="s">
        <v>51</v>
      </c>
      <c r="F586" t="s">
        <v>24</v>
      </c>
      <c r="G586">
        <v>1004.64</v>
      </c>
      <c r="H586">
        <v>654.67999999999995</v>
      </c>
      <c r="I586">
        <v>11699.09</v>
      </c>
      <c r="J586" t="s">
        <v>37</v>
      </c>
      <c r="K586" t="s">
        <v>38</v>
      </c>
      <c r="L586">
        <v>0</v>
      </c>
      <c r="M586">
        <v>0</v>
      </c>
      <c r="N586">
        <v>0</v>
      </c>
      <c r="O586">
        <v>0</v>
      </c>
      <c r="P586">
        <v>0</v>
      </c>
      <c r="Q586">
        <v>762</v>
      </c>
      <c r="R586">
        <v>0.97</v>
      </c>
      <c r="S586" t="s">
        <v>30</v>
      </c>
      <c r="T586" s="1">
        <v>44596</v>
      </c>
      <c r="U586">
        <v>0</v>
      </c>
    </row>
    <row r="587" spans="1:21" x14ac:dyDescent="0.25">
      <c r="A587" t="s">
        <v>634</v>
      </c>
      <c r="B587">
        <v>65</v>
      </c>
      <c r="C587" t="s">
        <v>29</v>
      </c>
      <c r="D587" t="s">
        <v>41</v>
      </c>
      <c r="E587" t="s">
        <v>31</v>
      </c>
      <c r="F587" t="s">
        <v>32</v>
      </c>
      <c r="G587">
        <v>6582.54</v>
      </c>
      <c r="H587">
        <v>4449.91</v>
      </c>
      <c r="I587">
        <v>73056.649999999994</v>
      </c>
      <c r="J587" t="s">
        <v>37</v>
      </c>
      <c r="K587" t="s">
        <v>38</v>
      </c>
      <c r="L587">
        <v>0</v>
      </c>
      <c r="M587">
        <v>0</v>
      </c>
      <c r="N587">
        <v>0</v>
      </c>
      <c r="O587">
        <v>0</v>
      </c>
      <c r="P587">
        <v>0</v>
      </c>
      <c r="Q587">
        <v>305</v>
      </c>
      <c r="R587">
        <v>0.92</v>
      </c>
      <c r="S587" t="s">
        <v>72</v>
      </c>
      <c r="T587" s="1">
        <v>45037</v>
      </c>
      <c r="U587">
        <v>0</v>
      </c>
    </row>
    <row r="588" spans="1:21" x14ac:dyDescent="0.25">
      <c r="A588" t="s">
        <v>635</v>
      </c>
      <c r="B588">
        <v>54</v>
      </c>
      <c r="C588" t="s">
        <v>29</v>
      </c>
      <c r="D588" t="s">
        <v>35</v>
      </c>
      <c r="E588" t="s">
        <v>23</v>
      </c>
      <c r="F588" t="s">
        <v>44</v>
      </c>
      <c r="G588">
        <v>4994.82</v>
      </c>
      <c r="H588">
        <v>4119.87</v>
      </c>
      <c r="I588">
        <v>38257.279999999999</v>
      </c>
      <c r="J588" t="s">
        <v>25</v>
      </c>
      <c r="K588" t="s">
        <v>45</v>
      </c>
      <c r="L588">
        <v>31874.18</v>
      </c>
      <c r="M588">
        <v>36</v>
      </c>
      <c r="N588">
        <v>1240.33</v>
      </c>
      <c r="O588">
        <v>23.39</v>
      </c>
      <c r="P588">
        <v>0.25</v>
      </c>
      <c r="Q588">
        <v>836</v>
      </c>
      <c r="R588">
        <v>0.64</v>
      </c>
      <c r="S588" t="s">
        <v>30</v>
      </c>
      <c r="T588" s="1">
        <v>44846</v>
      </c>
      <c r="U588">
        <v>0</v>
      </c>
    </row>
    <row r="589" spans="1:21" x14ac:dyDescent="0.25">
      <c r="A589" t="s">
        <v>636</v>
      </c>
      <c r="B589">
        <v>49</v>
      </c>
      <c r="C589" t="s">
        <v>29</v>
      </c>
      <c r="D589" t="s">
        <v>41</v>
      </c>
      <c r="E589" t="s">
        <v>23</v>
      </c>
      <c r="F589" t="s">
        <v>32</v>
      </c>
      <c r="G589">
        <v>3261.03</v>
      </c>
      <c r="H589">
        <v>2476.3000000000002</v>
      </c>
      <c r="I589">
        <v>14442.64</v>
      </c>
      <c r="J589" t="s">
        <v>25</v>
      </c>
      <c r="K589" t="s">
        <v>26</v>
      </c>
      <c r="L589">
        <v>23398.240000000002</v>
      </c>
      <c r="M589">
        <v>12</v>
      </c>
      <c r="N589">
        <v>2201.4499999999998</v>
      </c>
      <c r="O589">
        <v>23.02</v>
      </c>
      <c r="P589">
        <v>0.68</v>
      </c>
      <c r="Q589">
        <v>610</v>
      </c>
      <c r="R589">
        <v>0.37</v>
      </c>
      <c r="S589" t="s">
        <v>30</v>
      </c>
      <c r="T589" s="1">
        <v>45636</v>
      </c>
      <c r="U589">
        <v>1</v>
      </c>
    </row>
    <row r="590" spans="1:21" x14ac:dyDescent="0.25">
      <c r="A590" t="s">
        <v>637</v>
      </c>
      <c r="B590">
        <v>69</v>
      </c>
      <c r="C590" t="s">
        <v>29</v>
      </c>
      <c r="D590" t="s">
        <v>41</v>
      </c>
      <c r="E590" t="s">
        <v>31</v>
      </c>
      <c r="F590" t="s">
        <v>49</v>
      </c>
      <c r="G590">
        <v>4628.71</v>
      </c>
      <c r="H590">
        <v>2058.34</v>
      </c>
      <c r="I590">
        <v>18426.45</v>
      </c>
      <c r="J590" t="s">
        <v>37</v>
      </c>
      <c r="K590" t="s">
        <v>38</v>
      </c>
      <c r="L590">
        <v>0</v>
      </c>
      <c r="M590">
        <v>0</v>
      </c>
      <c r="N590">
        <v>0</v>
      </c>
      <c r="O590">
        <v>0</v>
      </c>
      <c r="P590">
        <v>0</v>
      </c>
      <c r="Q590">
        <v>495</v>
      </c>
      <c r="R590">
        <v>0.33</v>
      </c>
      <c r="S590" t="s">
        <v>30</v>
      </c>
      <c r="T590" s="1">
        <v>45023</v>
      </c>
      <c r="U590">
        <v>0</v>
      </c>
    </row>
    <row r="591" spans="1:21" x14ac:dyDescent="0.25">
      <c r="A591" t="s">
        <v>638</v>
      </c>
      <c r="B591">
        <v>64</v>
      </c>
      <c r="C591" t="s">
        <v>29</v>
      </c>
      <c r="D591" t="s">
        <v>22</v>
      </c>
      <c r="E591" t="s">
        <v>49</v>
      </c>
      <c r="F591" t="s">
        <v>32</v>
      </c>
      <c r="G591">
        <v>3850.96</v>
      </c>
      <c r="H591">
        <v>3411.84</v>
      </c>
      <c r="I591">
        <v>9720.98</v>
      </c>
      <c r="J591" t="s">
        <v>25</v>
      </c>
      <c r="K591" t="s">
        <v>33</v>
      </c>
      <c r="L591">
        <v>274504.24</v>
      </c>
      <c r="M591">
        <v>240</v>
      </c>
      <c r="N591">
        <v>4525.84</v>
      </c>
      <c r="O591">
        <v>19.36</v>
      </c>
      <c r="P591">
        <v>1.18</v>
      </c>
      <c r="Q591">
        <v>824</v>
      </c>
      <c r="R591">
        <v>0.21</v>
      </c>
      <c r="S591" t="s">
        <v>47</v>
      </c>
      <c r="T591" s="1">
        <v>44714</v>
      </c>
      <c r="U591">
        <v>1</v>
      </c>
    </row>
    <row r="592" spans="1:21" x14ac:dyDescent="0.25">
      <c r="A592" t="s">
        <v>639</v>
      </c>
      <c r="B592">
        <v>66</v>
      </c>
      <c r="C592" t="s">
        <v>29</v>
      </c>
      <c r="D592" t="s">
        <v>41</v>
      </c>
      <c r="E592" t="s">
        <v>49</v>
      </c>
      <c r="F592" t="s">
        <v>44</v>
      </c>
      <c r="G592">
        <v>3267.13</v>
      </c>
      <c r="H592">
        <v>2581.4</v>
      </c>
      <c r="I592">
        <v>22311.09</v>
      </c>
      <c r="J592" t="s">
        <v>25</v>
      </c>
      <c r="K592" t="s">
        <v>26</v>
      </c>
      <c r="L592">
        <v>223963.01</v>
      </c>
      <c r="M592">
        <v>180</v>
      </c>
      <c r="N592">
        <v>1642.07</v>
      </c>
      <c r="O592">
        <v>3.87</v>
      </c>
      <c r="P592">
        <v>0.5</v>
      </c>
      <c r="Q592">
        <v>777</v>
      </c>
      <c r="R592">
        <v>0.56999999999999995</v>
      </c>
      <c r="S592" t="s">
        <v>72</v>
      </c>
      <c r="T592" s="1">
        <v>44499</v>
      </c>
      <c r="U592">
        <v>1</v>
      </c>
    </row>
    <row r="593" spans="1:21" x14ac:dyDescent="0.25">
      <c r="A593" t="s">
        <v>640</v>
      </c>
      <c r="B593">
        <v>66</v>
      </c>
      <c r="C593" t="s">
        <v>21</v>
      </c>
      <c r="D593" t="s">
        <v>22</v>
      </c>
      <c r="E593" t="s">
        <v>31</v>
      </c>
      <c r="F593" t="s">
        <v>49</v>
      </c>
      <c r="G593">
        <v>6021.99</v>
      </c>
      <c r="H593">
        <v>5327.27</v>
      </c>
      <c r="I593">
        <v>17767.64</v>
      </c>
      <c r="J593" t="s">
        <v>37</v>
      </c>
      <c r="K593" t="s">
        <v>38</v>
      </c>
      <c r="L593">
        <v>0</v>
      </c>
      <c r="M593">
        <v>0</v>
      </c>
      <c r="N593">
        <v>0</v>
      </c>
      <c r="O593">
        <v>0</v>
      </c>
      <c r="P593">
        <v>0</v>
      </c>
      <c r="Q593">
        <v>361</v>
      </c>
      <c r="R593">
        <v>0.25</v>
      </c>
      <c r="S593" t="s">
        <v>72</v>
      </c>
      <c r="T593" s="1">
        <v>45138</v>
      </c>
      <c r="U593">
        <v>0</v>
      </c>
    </row>
    <row r="594" spans="1:21" x14ac:dyDescent="0.25">
      <c r="A594" t="s">
        <v>641</v>
      </c>
      <c r="B594">
        <v>65</v>
      </c>
      <c r="C594" t="s">
        <v>21</v>
      </c>
      <c r="D594" t="s">
        <v>22</v>
      </c>
      <c r="E594" t="s">
        <v>49</v>
      </c>
      <c r="F594" t="s">
        <v>52</v>
      </c>
      <c r="G594">
        <v>5407.1</v>
      </c>
      <c r="H594">
        <v>3139.97</v>
      </c>
      <c r="I594">
        <v>62495.67</v>
      </c>
      <c r="J594" t="s">
        <v>37</v>
      </c>
      <c r="K594" t="s">
        <v>38</v>
      </c>
      <c r="L594">
        <v>0</v>
      </c>
      <c r="M594">
        <v>0</v>
      </c>
      <c r="N594">
        <v>0</v>
      </c>
      <c r="O594">
        <v>0</v>
      </c>
      <c r="P594">
        <v>0</v>
      </c>
      <c r="Q594">
        <v>786</v>
      </c>
      <c r="R594">
        <v>0.96</v>
      </c>
      <c r="S594" t="s">
        <v>30</v>
      </c>
      <c r="T594" s="1">
        <v>44496</v>
      </c>
      <c r="U594">
        <v>0</v>
      </c>
    </row>
    <row r="595" spans="1:21" x14ac:dyDescent="0.25">
      <c r="A595" t="s">
        <v>642</v>
      </c>
      <c r="B595">
        <v>52</v>
      </c>
      <c r="C595" t="s">
        <v>21</v>
      </c>
      <c r="D595" t="s">
        <v>30</v>
      </c>
      <c r="E595" t="s">
        <v>31</v>
      </c>
      <c r="F595" t="s">
        <v>32</v>
      </c>
      <c r="G595">
        <v>6712.16</v>
      </c>
      <c r="H595">
        <v>5193.66</v>
      </c>
      <c r="I595">
        <v>51733.05</v>
      </c>
      <c r="J595" t="s">
        <v>25</v>
      </c>
      <c r="K595" t="s">
        <v>26</v>
      </c>
      <c r="L595">
        <v>361907.16</v>
      </c>
      <c r="M595">
        <v>60</v>
      </c>
      <c r="N595">
        <v>10726.67</v>
      </c>
      <c r="O595">
        <v>25.49</v>
      </c>
      <c r="P595">
        <v>1.6</v>
      </c>
      <c r="Q595">
        <v>377</v>
      </c>
      <c r="R595">
        <v>0.64</v>
      </c>
      <c r="S595" t="s">
        <v>39</v>
      </c>
      <c r="T595" s="1">
        <v>45633</v>
      </c>
      <c r="U595">
        <v>1</v>
      </c>
    </row>
    <row r="596" spans="1:21" x14ac:dyDescent="0.25">
      <c r="A596" t="s">
        <v>643</v>
      </c>
      <c r="B596">
        <v>40</v>
      </c>
      <c r="C596" t="s">
        <v>29</v>
      </c>
      <c r="D596" t="s">
        <v>35</v>
      </c>
      <c r="E596" t="s">
        <v>31</v>
      </c>
      <c r="F596" t="s">
        <v>23</v>
      </c>
      <c r="G596">
        <v>4551.91</v>
      </c>
      <c r="H596">
        <v>3525.14</v>
      </c>
      <c r="I596">
        <v>19798.939999999999</v>
      </c>
      <c r="J596" t="s">
        <v>37</v>
      </c>
      <c r="K596" t="s">
        <v>38</v>
      </c>
      <c r="L596">
        <v>0</v>
      </c>
      <c r="M596">
        <v>0</v>
      </c>
      <c r="N596">
        <v>0</v>
      </c>
      <c r="O596">
        <v>0</v>
      </c>
      <c r="P596">
        <v>0</v>
      </c>
      <c r="Q596">
        <v>713</v>
      </c>
      <c r="R596">
        <v>0.36</v>
      </c>
      <c r="S596" t="s">
        <v>47</v>
      </c>
      <c r="T596" s="1">
        <v>45663</v>
      </c>
      <c r="U596">
        <v>0</v>
      </c>
    </row>
    <row r="597" spans="1:21" x14ac:dyDescent="0.25">
      <c r="A597" t="s">
        <v>644</v>
      </c>
      <c r="B597">
        <v>21</v>
      </c>
      <c r="C597" t="s">
        <v>30</v>
      </c>
      <c r="D597" t="s">
        <v>35</v>
      </c>
      <c r="E597" t="s">
        <v>51</v>
      </c>
      <c r="F597" t="s">
        <v>63</v>
      </c>
      <c r="G597">
        <v>768.53</v>
      </c>
      <c r="H597">
        <v>607.53</v>
      </c>
      <c r="I597">
        <v>5297.38</v>
      </c>
      <c r="J597" t="s">
        <v>37</v>
      </c>
      <c r="K597" t="s">
        <v>38</v>
      </c>
      <c r="L597">
        <v>0</v>
      </c>
      <c r="M597">
        <v>0</v>
      </c>
      <c r="N597">
        <v>0</v>
      </c>
      <c r="O597">
        <v>0</v>
      </c>
      <c r="P597">
        <v>0</v>
      </c>
      <c r="Q597">
        <v>633</v>
      </c>
      <c r="R597">
        <v>0.56999999999999995</v>
      </c>
      <c r="S597" t="s">
        <v>39</v>
      </c>
      <c r="T597" s="1">
        <v>45699</v>
      </c>
      <c r="U597">
        <v>0</v>
      </c>
    </row>
    <row r="598" spans="1:21" x14ac:dyDescent="0.25">
      <c r="A598" t="s">
        <v>645</v>
      </c>
      <c r="B598">
        <v>47</v>
      </c>
      <c r="C598" t="s">
        <v>21</v>
      </c>
      <c r="D598" t="s">
        <v>35</v>
      </c>
      <c r="E598" t="s">
        <v>51</v>
      </c>
      <c r="F598" t="s">
        <v>52</v>
      </c>
      <c r="G598">
        <v>4809.57</v>
      </c>
      <c r="H598">
        <v>2666.5</v>
      </c>
      <c r="I598">
        <v>9550.16</v>
      </c>
      <c r="J598" t="s">
        <v>37</v>
      </c>
      <c r="K598" t="s">
        <v>38</v>
      </c>
      <c r="L598">
        <v>0</v>
      </c>
      <c r="M598">
        <v>0</v>
      </c>
      <c r="N598">
        <v>0</v>
      </c>
      <c r="O598">
        <v>0</v>
      </c>
      <c r="P598">
        <v>0</v>
      </c>
      <c r="Q598">
        <v>477</v>
      </c>
      <c r="R598">
        <v>0.17</v>
      </c>
      <c r="S598" t="s">
        <v>27</v>
      </c>
      <c r="T598" s="1">
        <v>44483</v>
      </c>
      <c r="U598">
        <v>0</v>
      </c>
    </row>
    <row r="599" spans="1:21" x14ac:dyDescent="0.25">
      <c r="A599" t="s">
        <v>646</v>
      </c>
      <c r="B599">
        <v>38</v>
      </c>
      <c r="C599" t="s">
        <v>21</v>
      </c>
      <c r="D599" t="s">
        <v>41</v>
      </c>
      <c r="E599" t="s">
        <v>31</v>
      </c>
      <c r="F599" t="s">
        <v>42</v>
      </c>
      <c r="G599">
        <v>7900.27</v>
      </c>
      <c r="H599">
        <v>6958.29</v>
      </c>
      <c r="I599">
        <v>63242.25</v>
      </c>
      <c r="J599" t="s">
        <v>25</v>
      </c>
      <c r="K599" t="s">
        <v>54</v>
      </c>
      <c r="L599">
        <v>108075.35</v>
      </c>
      <c r="M599">
        <v>24</v>
      </c>
      <c r="N599">
        <v>4946.32</v>
      </c>
      <c r="O599">
        <v>9.18</v>
      </c>
      <c r="P599">
        <v>0.63</v>
      </c>
      <c r="Q599">
        <v>657</v>
      </c>
      <c r="R599">
        <v>0.67</v>
      </c>
      <c r="S599" t="s">
        <v>72</v>
      </c>
      <c r="T599" s="1">
        <v>44823</v>
      </c>
      <c r="U599">
        <v>1</v>
      </c>
    </row>
    <row r="600" spans="1:21" x14ac:dyDescent="0.25">
      <c r="A600" t="s">
        <v>647</v>
      </c>
      <c r="B600">
        <v>53</v>
      </c>
      <c r="C600" t="s">
        <v>21</v>
      </c>
      <c r="D600" t="s">
        <v>22</v>
      </c>
      <c r="E600" t="s">
        <v>31</v>
      </c>
      <c r="F600" t="s">
        <v>63</v>
      </c>
      <c r="G600">
        <v>739.36</v>
      </c>
      <c r="H600">
        <v>514.89</v>
      </c>
      <c r="I600">
        <v>6008.16</v>
      </c>
      <c r="J600" t="s">
        <v>37</v>
      </c>
      <c r="K600" t="s">
        <v>38</v>
      </c>
      <c r="L600">
        <v>0</v>
      </c>
      <c r="M600">
        <v>0</v>
      </c>
      <c r="N600">
        <v>0</v>
      </c>
      <c r="O600">
        <v>0</v>
      </c>
      <c r="P600">
        <v>0</v>
      </c>
      <c r="Q600">
        <v>734</v>
      </c>
      <c r="R600">
        <v>0.68</v>
      </c>
      <c r="S600" t="s">
        <v>30</v>
      </c>
      <c r="T600" s="1">
        <v>45000</v>
      </c>
      <c r="U600">
        <v>0</v>
      </c>
    </row>
    <row r="601" spans="1:21" x14ac:dyDescent="0.25">
      <c r="A601" t="s">
        <v>648</v>
      </c>
      <c r="B601">
        <v>53</v>
      </c>
      <c r="C601" t="s">
        <v>29</v>
      </c>
      <c r="D601" t="s">
        <v>41</v>
      </c>
      <c r="E601" t="s">
        <v>23</v>
      </c>
      <c r="F601" t="s">
        <v>36</v>
      </c>
      <c r="G601">
        <v>6614.95</v>
      </c>
      <c r="H601">
        <v>2192.7199999999998</v>
      </c>
      <c r="I601">
        <v>36381.879999999997</v>
      </c>
      <c r="J601" t="s">
        <v>37</v>
      </c>
      <c r="K601" t="s">
        <v>38</v>
      </c>
      <c r="L601">
        <v>0</v>
      </c>
      <c r="M601">
        <v>0</v>
      </c>
      <c r="N601">
        <v>0</v>
      </c>
      <c r="O601">
        <v>0</v>
      </c>
      <c r="P601">
        <v>0</v>
      </c>
      <c r="Q601">
        <v>689</v>
      </c>
      <c r="R601">
        <v>0.46</v>
      </c>
      <c r="S601" t="s">
        <v>72</v>
      </c>
      <c r="T601" s="1">
        <v>44656</v>
      </c>
      <c r="U601">
        <v>0</v>
      </c>
    </row>
    <row r="602" spans="1:21" x14ac:dyDescent="0.25">
      <c r="A602" t="s">
        <v>649</v>
      </c>
      <c r="B602">
        <v>63</v>
      </c>
      <c r="C602" t="s">
        <v>21</v>
      </c>
      <c r="D602" t="s">
        <v>35</v>
      </c>
      <c r="E602" t="s">
        <v>23</v>
      </c>
      <c r="F602" t="s">
        <v>44</v>
      </c>
      <c r="G602">
        <v>4041.73</v>
      </c>
      <c r="H602">
        <v>2114.63</v>
      </c>
      <c r="I602">
        <v>18011.07</v>
      </c>
      <c r="J602" t="s">
        <v>37</v>
      </c>
      <c r="K602" t="s">
        <v>38</v>
      </c>
      <c r="L602">
        <v>0</v>
      </c>
      <c r="M602">
        <v>0</v>
      </c>
      <c r="N602">
        <v>0</v>
      </c>
      <c r="O602">
        <v>0</v>
      </c>
      <c r="P602">
        <v>0</v>
      </c>
      <c r="Q602">
        <v>794</v>
      </c>
      <c r="R602">
        <v>0.37</v>
      </c>
      <c r="S602" t="s">
        <v>30</v>
      </c>
      <c r="T602" s="1">
        <v>45074</v>
      </c>
      <c r="U602">
        <v>0</v>
      </c>
    </row>
    <row r="603" spans="1:21" x14ac:dyDescent="0.25">
      <c r="A603" t="s">
        <v>650</v>
      </c>
      <c r="B603">
        <v>59</v>
      </c>
      <c r="C603" t="s">
        <v>29</v>
      </c>
      <c r="D603" t="s">
        <v>22</v>
      </c>
      <c r="E603" t="s">
        <v>23</v>
      </c>
      <c r="F603" t="s">
        <v>36</v>
      </c>
      <c r="G603">
        <v>1959.7</v>
      </c>
      <c r="H603">
        <v>1178.82</v>
      </c>
      <c r="I603">
        <v>16658.830000000002</v>
      </c>
      <c r="J603" t="s">
        <v>25</v>
      </c>
      <c r="K603" t="s">
        <v>33</v>
      </c>
      <c r="L603">
        <v>11336.23</v>
      </c>
      <c r="M603">
        <v>360</v>
      </c>
      <c r="N603">
        <v>252.61</v>
      </c>
      <c r="O603">
        <v>26.73</v>
      </c>
      <c r="P603">
        <v>0.13</v>
      </c>
      <c r="Q603">
        <v>363</v>
      </c>
      <c r="R603">
        <v>0.71</v>
      </c>
      <c r="S603" t="s">
        <v>72</v>
      </c>
      <c r="T603" s="1">
        <v>44440</v>
      </c>
      <c r="U603">
        <v>0</v>
      </c>
    </row>
    <row r="604" spans="1:21" x14ac:dyDescent="0.25">
      <c r="A604" t="s">
        <v>651</v>
      </c>
      <c r="B604">
        <v>67</v>
      </c>
      <c r="C604" t="s">
        <v>29</v>
      </c>
      <c r="D604" t="s">
        <v>30</v>
      </c>
      <c r="E604" t="s">
        <v>51</v>
      </c>
      <c r="F604" t="s">
        <v>52</v>
      </c>
      <c r="G604">
        <v>5902.22</v>
      </c>
      <c r="H604">
        <v>4206.1099999999997</v>
      </c>
      <c r="I604">
        <v>47921.29</v>
      </c>
      <c r="J604" t="s">
        <v>37</v>
      </c>
      <c r="K604" t="s">
        <v>38</v>
      </c>
      <c r="L604">
        <v>0</v>
      </c>
      <c r="M604">
        <v>0</v>
      </c>
      <c r="N604">
        <v>0</v>
      </c>
      <c r="O604">
        <v>0</v>
      </c>
      <c r="P604">
        <v>0</v>
      </c>
      <c r="Q604">
        <v>363</v>
      </c>
      <c r="R604">
        <v>0.68</v>
      </c>
      <c r="S604" t="s">
        <v>39</v>
      </c>
      <c r="T604" s="1">
        <v>45193</v>
      </c>
      <c r="U604">
        <v>0</v>
      </c>
    </row>
    <row r="605" spans="1:21" x14ac:dyDescent="0.25">
      <c r="A605" t="s">
        <v>652</v>
      </c>
      <c r="B605">
        <v>24</v>
      </c>
      <c r="C605" t="s">
        <v>29</v>
      </c>
      <c r="D605" t="s">
        <v>30</v>
      </c>
      <c r="E605" t="s">
        <v>31</v>
      </c>
      <c r="F605" t="s">
        <v>36</v>
      </c>
      <c r="G605">
        <v>3048.23</v>
      </c>
      <c r="H605">
        <v>2673.74</v>
      </c>
      <c r="I605">
        <v>4425.3999999999996</v>
      </c>
      <c r="J605" t="s">
        <v>37</v>
      </c>
      <c r="K605" t="s">
        <v>38</v>
      </c>
      <c r="L605">
        <v>0</v>
      </c>
      <c r="M605">
        <v>0</v>
      </c>
      <c r="N605">
        <v>0</v>
      </c>
      <c r="O605">
        <v>0</v>
      </c>
      <c r="P605">
        <v>0</v>
      </c>
      <c r="Q605">
        <v>499</v>
      </c>
      <c r="R605">
        <v>0.12</v>
      </c>
      <c r="S605" t="s">
        <v>47</v>
      </c>
      <c r="T605" s="1">
        <v>44771</v>
      </c>
      <c r="U605">
        <v>0</v>
      </c>
    </row>
    <row r="606" spans="1:21" x14ac:dyDescent="0.25">
      <c r="A606" t="s">
        <v>653</v>
      </c>
      <c r="B606">
        <v>19</v>
      </c>
      <c r="C606" t="s">
        <v>21</v>
      </c>
      <c r="D606" t="s">
        <v>35</v>
      </c>
      <c r="E606" t="s">
        <v>31</v>
      </c>
      <c r="F606" t="s">
        <v>24</v>
      </c>
      <c r="G606">
        <v>3356.13</v>
      </c>
      <c r="H606">
        <v>1863.92</v>
      </c>
      <c r="I606">
        <v>16404.93</v>
      </c>
      <c r="J606" t="s">
        <v>37</v>
      </c>
      <c r="K606" t="s">
        <v>38</v>
      </c>
      <c r="L606">
        <v>0</v>
      </c>
      <c r="M606">
        <v>0</v>
      </c>
      <c r="N606">
        <v>0</v>
      </c>
      <c r="O606">
        <v>0</v>
      </c>
      <c r="P606">
        <v>0</v>
      </c>
      <c r="Q606">
        <v>471</v>
      </c>
      <c r="R606">
        <v>0.41</v>
      </c>
      <c r="S606" t="s">
        <v>72</v>
      </c>
      <c r="T606" s="1">
        <v>44658</v>
      </c>
      <c r="U606">
        <v>0</v>
      </c>
    </row>
    <row r="607" spans="1:21" x14ac:dyDescent="0.25">
      <c r="A607" t="s">
        <v>654</v>
      </c>
      <c r="B607">
        <v>49</v>
      </c>
      <c r="C607" t="s">
        <v>29</v>
      </c>
      <c r="D607" t="s">
        <v>22</v>
      </c>
      <c r="E607" t="s">
        <v>51</v>
      </c>
      <c r="F607" t="s">
        <v>63</v>
      </c>
      <c r="G607">
        <v>4464.57</v>
      </c>
      <c r="H607">
        <v>3585.74</v>
      </c>
      <c r="I607">
        <v>45873.49</v>
      </c>
      <c r="J607" t="s">
        <v>25</v>
      </c>
      <c r="K607" t="s">
        <v>45</v>
      </c>
      <c r="L607">
        <v>271177.23</v>
      </c>
      <c r="M607">
        <v>180</v>
      </c>
      <c r="N607">
        <v>1897.58</v>
      </c>
      <c r="O607">
        <v>3.19</v>
      </c>
      <c r="P607">
        <v>0.43</v>
      </c>
      <c r="Q607">
        <v>525</v>
      </c>
      <c r="R607">
        <v>0.86</v>
      </c>
      <c r="S607" t="s">
        <v>47</v>
      </c>
      <c r="T607" s="1">
        <v>45337</v>
      </c>
      <c r="U607">
        <v>1</v>
      </c>
    </row>
    <row r="608" spans="1:21" x14ac:dyDescent="0.25">
      <c r="A608" t="s">
        <v>655</v>
      </c>
      <c r="B608">
        <v>21</v>
      </c>
      <c r="C608" t="s">
        <v>29</v>
      </c>
      <c r="D608" t="s">
        <v>35</v>
      </c>
      <c r="E608" t="s">
        <v>23</v>
      </c>
      <c r="F608" t="s">
        <v>44</v>
      </c>
      <c r="G608">
        <v>2174.62</v>
      </c>
      <c r="H608">
        <v>1068.48</v>
      </c>
      <c r="I608">
        <v>5997.79</v>
      </c>
      <c r="J608" t="s">
        <v>37</v>
      </c>
      <c r="K608" t="s">
        <v>38</v>
      </c>
      <c r="L608">
        <v>0</v>
      </c>
      <c r="M608">
        <v>0</v>
      </c>
      <c r="N608">
        <v>0</v>
      </c>
      <c r="O608">
        <v>0</v>
      </c>
      <c r="P608">
        <v>0</v>
      </c>
      <c r="Q608">
        <v>710</v>
      </c>
      <c r="R608">
        <v>0.23</v>
      </c>
      <c r="S608" t="s">
        <v>30</v>
      </c>
      <c r="T608" s="1">
        <v>44584</v>
      </c>
      <c r="U608">
        <v>0</v>
      </c>
    </row>
    <row r="609" spans="1:21" x14ac:dyDescent="0.25">
      <c r="A609" t="s">
        <v>656</v>
      </c>
      <c r="B609">
        <v>34</v>
      </c>
      <c r="C609" t="s">
        <v>21</v>
      </c>
      <c r="D609" t="s">
        <v>22</v>
      </c>
      <c r="E609" t="s">
        <v>31</v>
      </c>
      <c r="F609" t="s">
        <v>63</v>
      </c>
      <c r="G609">
        <v>6383.24</v>
      </c>
      <c r="H609">
        <v>2402.06</v>
      </c>
      <c r="I609">
        <v>39642.79</v>
      </c>
      <c r="J609" t="s">
        <v>25</v>
      </c>
      <c r="K609" t="s">
        <v>33</v>
      </c>
      <c r="L609">
        <v>34850.67</v>
      </c>
      <c r="M609">
        <v>24</v>
      </c>
      <c r="N609">
        <v>1767.63</v>
      </c>
      <c r="O609">
        <v>19.64</v>
      </c>
      <c r="P609">
        <v>0.28000000000000003</v>
      </c>
      <c r="Q609">
        <v>658</v>
      </c>
      <c r="R609">
        <v>0.52</v>
      </c>
      <c r="S609" t="s">
        <v>27</v>
      </c>
      <c r="T609" s="1">
        <v>45607</v>
      </c>
      <c r="U609">
        <v>0</v>
      </c>
    </row>
    <row r="610" spans="1:21" x14ac:dyDescent="0.25">
      <c r="A610" t="s">
        <v>657</v>
      </c>
      <c r="B610">
        <v>35</v>
      </c>
      <c r="C610" t="s">
        <v>21</v>
      </c>
      <c r="D610" t="s">
        <v>35</v>
      </c>
      <c r="E610" t="s">
        <v>31</v>
      </c>
      <c r="F610" t="s">
        <v>23</v>
      </c>
      <c r="G610">
        <v>4816.03</v>
      </c>
      <c r="H610">
        <v>2101.88</v>
      </c>
      <c r="I610">
        <v>13025.01</v>
      </c>
      <c r="J610" t="s">
        <v>25</v>
      </c>
      <c r="K610" t="s">
        <v>26</v>
      </c>
      <c r="L610">
        <v>50452.61</v>
      </c>
      <c r="M610">
        <v>60</v>
      </c>
      <c r="N610">
        <v>1043.4000000000001</v>
      </c>
      <c r="O610">
        <v>8.84</v>
      </c>
      <c r="P610">
        <v>0.22</v>
      </c>
      <c r="Q610">
        <v>762</v>
      </c>
      <c r="R610">
        <v>0.23</v>
      </c>
      <c r="S610" t="s">
        <v>27</v>
      </c>
      <c r="T610" s="1">
        <v>45274</v>
      </c>
      <c r="U610">
        <v>0</v>
      </c>
    </row>
    <row r="611" spans="1:21" x14ac:dyDescent="0.25">
      <c r="A611" t="s">
        <v>658</v>
      </c>
      <c r="B611">
        <v>41</v>
      </c>
      <c r="C611" t="s">
        <v>30</v>
      </c>
      <c r="D611" t="s">
        <v>41</v>
      </c>
      <c r="E611" t="s">
        <v>31</v>
      </c>
      <c r="F611" t="s">
        <v>24</v>
      </c>
      <c r="G611">
        <v>1967.84</v>
      </c>
      <c r="H611">
        <v>1735.78</v>
      </c>
      <c r="I611">
        <v>3553.98</v>
      </c>
      <c r="J611" t="s">
        <v>37</v>
      </c>
      <c r="K611" t="s">
        <v>38</v>
      </c>
      <c r="L611">
        <v>0</v>
      </c>
      <c r="M611">
        <v>0</v>
      </c>
      <c r="N611">
        <v>0</v>
      </c>
      <c r="O611">
        <v>0</v>
      </c>
      <c r="P611">
        <v>0</v>
      </c>
      <c r="Q611">
        <v>422</v>
      </c>
      <c r="R611">
        <v>0.15</v>
      </c>
      <c r="S611" t="s">
        <v>39</v>
      </c>
      <c r="T611" s="1">
        <v>44808</v>
      </c>
      <c r="U611">
        <v>0</v>
      </c>
    </row>
    <row r="612" spans="1:21" x14ac:dyDescent="0.25">
      <c r="A612" t="s">
        <v>659</v>
      </c>
      <c r="B612">
        <v>24</v>
      </c>
      <c r="C612" t="s">
        <v>29</v>
      </c>
      <c r="D612" t="s">
        <v>35</v>
      </c>
      <c r="E612" t="s">
        <v>31</v>
      </c>
      <c r="F612" t="s">
        <v>42</v>
      </c>
      <c r="G612">
        <v>2017.88</v>
      </c>
      <c r="H612">
        <v>1410.15</v>
      </c>
      <c r="I612">
        <v>21366</v>
      </c>
      <c r="J612" t="s">
        <v>25</v>
      </c>
      <c r="K612" t="s">
        <v>26</v>
      </c>
      <c r="L612">
        <v>154776.21</v>
      </c>
      <c r="M612">
        <v>60</v>
      </c>
      <c r="N612">
        <v>3297.68</v>
      </c>
      <c r="O612">
        <v>10.119999999999999</v>
      </c>
      <c r="P612">
        <v>1.63</v>
      </c>
      <c r="Q612">
        <v>328</v>
      </c>
      <c r="R612">
        <v>0.88</v>
      </c>
      <c r="S612" t="s">
        <v>30</v>
      </c>
      <c r="T612" s="1">
        <v>44557</v>
      </c>
      <c r="U612">
        <v>1</v>
      </c>
    </row>
    <row r="613" spans="1:21" x14ac:dyDescent="0.25">
      <c r="A613" t="s">
        <v>660</v>
      </c>
      <c r="B613">
        <v>39</v>
      </c>
      <c r="C613" t="s">
        <v>29</v>
      </c>
      <c r="D613" t="s">
        <v>22</v>
      </c>
      <c r="E613" t="s">
        <v>31</v>
      </c>
      <c r="F613" t="s">
        <v>36</v>
      </c>
      <c r="G613">
        <v>6275.55</v>
      </c>
      <c r="H613">
        <v>5596.28</v>
      </c>
      <c r="I613">
        <v>13864.23</v>
      </c>
      <c r="J613" t="s">
        <v>37</v>
      </c>
      <c r="K613" t="s">
        <v>38</v>
      </c>
      <c r="L613">
        <v>0</v>
      </c>
      <c r="M613">
        <v>0</v>
      </c>
      <c r="N613">
        <v>0</v>
      </c>
      <c r="O613">
        <v>0</v>
      </c>
      <c r="P613">
        <v>0</v>
      </c>
      <c r="Q613">
        <v>327</v>
      </c>
      <c r="R613">
        <v>0.18</v>
      </c>
      <c r="S613" t="s">
        <v>39</v>
      </c>
      <c r="T613" s="1">
        <v>44673</v>
      </c>
      <c r="U613">
        <v>0</v>
      </c>
    </row>
    <row r="614" spans="1:21" x14ac:dyDescent="0.25">
      <c r="A614" t="s">
        <v>661</v>
      </c>
      <c r="B614">
        <v>36</v>
      </c>
      <c r="C614" t="s">
        <v>21</v>
      </c>
      <c r="D614" t="s">
        <v>35</v>
      </c>
      <c r="E614" t="s">
        <v>51</v>
      </c>
      <c r="F614" t="s">
        <v>52</v>
      </c>
      <c r="G614">
        <v>7686.83</v>
      </c>
      <c r="H614">
        <v>6802.32</v>
      </c>
      <c r="I614">
        <v>28359.23</v>
      </c>
      <c r="J614" t="s">
        <v>25</v>
      </c>
      <c r="K614" t="s">
        <v>45</v>
      </c>
      <c r="L614">
        <v>413063.46</v>
      </c>
      <c r="M614">
        <v>300</v>
      </c>
      <c r="N614">
        <v>4550.1499999999996</v>
      </c>
      <c r="O614">
        <v>12.65</v>
      </c>
      <c r="P614">
        <v>0.59</v>
      </c>
      <c r="Q614">
        <v>456</v>
      </c>
      <c r="R614">
        <v>0.31</v>
      </c>
      <c r="S614" t="s">
        <v>47</v>
      </c>
      <c r="T614" s="1">
        <v>45818</v>
      </c>
      <c r="U614">
        <v>1</v>
      </c>
    </row>
    <row r="615" spans="1:21" x14ac:dyDescent="0.25">
      <c r="A615" t="s">
        <v>662</v>
      </c>
      <c r="B615">
        <v>34</v>
      </c>
      <c r="C615" t="s">
        <v>29</v>
      </c>
      <c r="D615" t="s">
        <v>56</v>
      </c>
      <c r="E615" t="s">
        <v>51</v>
      </c>
      <c r="F615" t="s">
        <v>42</v>
      </c>
      <c r="G615">
        <v>1985.24</v>
      </c>
      <c r="H615">
        <v>711.75</v>
      </c>
      <c r="I615">
        <v>4851.03</v>
      </c>
      <c r="J615" t="s">
        <v>37</v>
      </c>
      <c r="K615" t="s">
        <v>38</v>
      </c>
      <c r="L615">
        <v>0</v>
      </c>
      <c r="M615">
        <v>0</v>
      </c>
      <c r="N615">
        <v>0</v>
      </c>
      <c r="O615">
        <v>0</v>
      </c>
      <c r="P615">
        <v>0</v>
      </c>
      <c r="Q615">
        <v>435</v>
      </c>
      <c r="R615">
        <v>0.2</v>
      </c>
      <c r="S615" t="s">
        <v>27</v>
      </c>
      <c r="T615" s="1">
        <v>44699</v>
      </c>
      <c r="U615">
        <v>0</v>
      </c>
    </row>
    <row r="616" spans="1:21" x14ac:dyDescent="0.25">
      <c r="A616" t="s">
        <v>663</v>
      </c>
      <c r="B616">
        <v>69</v>
      </c>
      <c r="C616" t="s">
        <v>21</v>
      </c>
      <c r="D616" t="s">
        <v>41</v>
      </c>
      <c r="E616" t="s">
        <v>31</v>
      </c>
      <c r="F616" t="s">
        <v>49</v>
      </c>
      <c r="G616">
        <v>6202.68</v>
      </c>
      <c r="H616">
        <v>5261.59</v>
      </c>
      <c r="I616">
        <v>11494.88</v>
      </c>
      <c r="J616" t="s">
        <v>37</v>
      </c>
      <c r="K616" t="s">
        <v>38</v>
      </c>
      <c r="L616">
        <v>0</v>
      </c>
      <c r="M616">
        <v>0</v>
      </c>
      <c r="N616">
        <v>0</v>
      </c>
      <c r="O616">
        <v>0</v>
      </c>
      <c r="P616">
        <v>0</v>
      </c>
      <c r="Q616">
        <v>306</v>
      </c>
      <c r="R616">
        <v>0.15</v>
      </c>
      <c r="S616" t="s">
        <v>47</v>
      </c>
      <c r="T616" s="1">
        <v>45377</v>
      </c>
      <c r="U616">
        <v>0</v>
      </c>
    </row>
    <row r="617" spans="1:21" x14ac:dyDescent="0.25">
      <c r="A617" t="s">
        <v>664</v>
      </c>
      <c r="B617">
        <v>52</v>
      </c>
      <c r="C617" t="s">
        <v>21</v>
      </c>
      <c r="D617" t="s">
        <v>41</v>
      </c>
      <c r="E617" t="s">
        <v>51</v>
      </c>
      <c r="F617" t="s">
        <v>24</v>
      </c>
      <c r="G617">
        <v>2088.2199999999998</v>
      </c>
      <c r="H617">
        <v>1426.57</v>
      </c>
      <c r="I617">
        <v>17838.62</v>
      </c>
      <c r="J617" t="s">
        <v>37</v>
      </c>
      <c r="K617" t="s">
        <v>38</v>
      </c>
      <c r="L617">
        <v>0</v>
      </c>
      <c r="M617">
        <v>0</v>
      </c>
      <c r="N617">
        <v>0</v>
      </c>
      <c r="O617">
        <v>0</v>
      </c>
      <c r="P617">
        <v>0</v>
      </c>
      <c r="Q617">
        <v>847</v>
      </c>
      <c r="R617">
        <v>0.71</v>
      </c>
      <c r="S617" t="s">
        <v>30</v>
      </c>
      <c r="T617" s="1">
        <v>45303</v>
      </c>
      <c r="U617">
        <v>0</v>
      </c>
    </row>
    <row r="618" spans="1:21" x14ac:dyDescent="0.25">
      <c r="A618" t="s">
        <v>665</v>
      </c>
      <c r="B618">
        <v>43</v>
      </c>
      <c r="C618" t="s">
        <v>29</v>
      </c>
      <c r="D618" t="s">
        <v>41</v>
      </c>
      <c r="E618" t="s">
        <v>23</v>
      </c>
      <c r="F618" t="s">
        <v>44</v>
      </c>
      <c r="G618">
        <v>3795.57</v>
      </c>
      <c r="H618">
        <v>2827.84</v>
      </c>
      <c r="I618">
        <v>23819.52</v>
      </c>
      <c r="J618" t="s">
        <v>37</v>
      </c>
      <c r="K618" t="s">
        <v>38</v>
      </c>
      <c r="L618">
        <v>0</v>
      </c>
      <c r="M618">
        <v>0</v>
      </c>
      <c r="N618">
        <v>0</v>
      </c>
      <c r="O618">
        <v>0</v>
      </c>
      <c r="P618">
        <v>0</v>
      </c>
      <c r="Q618">
        <v>369</v>
      </c>
      <c r="R618">
        <v>0.52</v>
      </c>
      <c r="S618" t="s">
        <v>47</v>
      </c>
      <c r="T618" s="1">
        <v>44729</v>
      </c>
      <c r="U618">
        <v>0</v>
      </c>
    </row>
    <row r="619" spans="1:21" x14ac:dyDescent="0.25">
      <c r="A619" t="s">
        <v>666</v>
      </c>
      <c r="B619">
        <v>20</v>
      </c>
      <c r="C619" t="s">
        <v>21</v>
      </c>
      <c r="D619" t="s">
        <v>35</v>
      </c>
      <c r="E619" t="s">
        <v>31</v>
      </c>
      <c r="F619" t="s">
        <v>24</v>
      </c>
      <c r="G619">
        <v>5198.74</v>
      </c>
      <c r="H619">
        <v>3569.55</v>
      </c>
      <c r="I619">
        <v>26860.400000000001</v>
      </c>
      <c r="J619" t="s">
        <v>37</v>
      </c>
      <c r="K619" t="s">
        <v>38</v>
      </c>
      <c r="L619">
        <v>0</v>
      </c>
      <c r="M619">
        <v>0</v>
      </c>
      <c r="N619">
        <v>0</v>
      </c>
      <c r="O619">
        <v>0</v>
      </c>
      <c r="P619">
        <v>0</v>
      </c>
      <c r="Q619">
        <v>674</v>
      </c>
      <c r="R619">
        <v>0.43</v>
      </c>
      <c r="S619" t="s">
        <v>39</v>
      </c>
      <c r="T619" s="1">
        <v>45819</v>
      </c>
      <c r="U619">
        <v>0</v>
      </c>
    </row>
    <row r="620" spans="1:21" x14ac:dyDescent="0.25">
      <c r="A620" t="s">
        <v>667</v>
      </c>
      <c r="B620">
        <v>31</v>
      </c>
      <c r="C620" t="s">
        <v>29</v>
      </c>
      <c r="D620" t="s">
        <v>41</v>
      </c>
      <c r="E620" t="s">
        <v>31</v>
      </c>
      <c r="F620" t="s">
        <v>23</v>
      </c>
      <c r="G620">
        <v>6548.67</v>
      </c>
      <c r="H620">
        <v>5343.82</v>
      </c>
      <c r="I620">
        <v>63276.3</v>
      </c>
      <c r="J620" t="s">
        <v>37</v>
      </c>
      <c r="K620" t="s">
        <v>38</v>
      </c>
      <c r="L620">
        <v>0</v>
      </c>
      <c r="M620">
        <v>0</v>
      </c>
      <c r="N620">
        <v>0</v>
      </c>
      <c r="O620">
        <v>0</v>
      </c>
      <c r="P620">
        <v>0</v>
      </c>
      <c r="Q620">
        <v>662</v>
      </c>
      <c r="R620">
        <v>0.81</v>
      </c>
      <c r="S620" t="s">
        <v>27</v>
      </c>
      <c r="T620" s="1">
        <v>44905</v>
      </c>
      <c r="U620">
        <v>0</v>
      </c>
    </row>
    <row r="621" spans="1:21" x14ac:dyDescent="0.25">
      <c r="A621" t="s">
        <v>668</v>
      </c>
      <c r="B621">
        <v>49</v>
      </c>
      <c r="C621" t="s">
        <v>29</v>
      </c>
      <c r="D621" t="s">
        <v>35</v>
      </c>
      <c r="E621" t="s">
        <v>31</v>
      </c>
      <c r="F621" t="s">
        <v>24</v>
      </c>
      <c r="G621">
        <v>6493.94</v>
      </c>
      <c r="H621">
        <v>3921.9</v>
      </c>
      <c r="I621">
        <v>36853.040000000001</v>
      </c>
      <c r="J621" t="s">
        <v>25</v>
      </c>
      <c r="K621" t="s">
        <v>33</v>
      </c>
      <c r="L621">
        <v>273552.94</v>
      </c>
      <c r="M621">
        <v>120</v>
      </c>
      <c r="N621">
        <v>6248.23</v>
      </c>
      <c r="O621">
        <v>25.13</v>
      </c>
      <c r="P621">
        <v>0.96</v>
      </c>
      <c r="Q621">
        <v>647</v>
      </c>
      <c r="R621">
        <v>0.47</v>
      </c>
      <c r="S621" t="s">
        <v>47</v>
      </c>
      <c r="T621" s="1">
        <v>44521</v>
      </c>
      <c r="U621">
        <v>1</v>
      </c>
    </row>
    <row r="622" spans="1:21" x14ac:dyDescent="0.25">
      <c r="A622" t="s">
        <v>669</v>
      </c>
      <c r="B622">
        <v>24</v>
      </c>
      <c r="C622" t="s">
        <v>21</v>
      </c>
      <c r="D622" t="s">
        <v>22</v>
      </c>
      <c r="E622" t="s">
        <v>23</v>
      </c>
      <c r="F622" t="s">
        <v>44</v>
      </c>
      <c r="G622">
        <v>1934.51</v>
      </c>
      <c r="H622">
        <v>1487.21</v>
      </c>
      <c r="I622">
        <v>20834.87</v>
      </c>
      <c r="J622" t="s">
        <v>25</v>
      </c>
      <c r="K622" t="s">
        <v>33</v>
      </c>
      <c r="L622">
        <v>244057.15</v>
      </c>
      <c r="M622">
        <v>300</v>
      </c>
      <c r="N622">
        <v>2763.59</v>
      </c>
      <c r="O622">
        <v>13.06</v>
      </c>
      <c r="P622">
        <v>1.43</v>
      </c>
      <c r="Q622">
        <v>813</v>
      </c>
      <c r="R622">
        <v>0.9</v>
      </c>
      <c r="S622" t="s">
        <v>47</v>
      </c>
      <c r="T622" s="1">
        <v>45215</v>
      </c>
      <c r="U622">
        <v>1</v>
      </c>
    </row>
    <row r="623" spans="1:21" x14ac:dyDescent="0.25">
      <c r="A623" t="s">
        <v>670</v>
      </c>
      <c r="B623">
        <v>26</v>
      </c>
      <c r="C623" t="s">
        <v>29</v>
      </c>
      <c r="D623" t="s">
        <v>41</v>
      </c>
      <c r="E623" t="s">
        <v>51</v>
      </c>
      <c r="F623" t="s">
        <v>32</v>
      </c>
      <c r="G623">
        <v>3011.5</v>
      </c>
      <c r="H623">
        <v>2543.21</v>
      </c>
      <c r="I623">
        <v>4899.0200000000004</v>
      </c>
      <c r="J623" t="s">
        <v>25</v>
      </c>
      <c r="K623" t="s">
        <v>33</v>
      </c>
      <c r="L623">
        <v>251200.97</v>
      </c>
      <c r="M623">
        <v>360</v>
      </c>
      <c r="N623">
        <v>3100.1</v>
      </c>
      <c r="O623">
        <v>14.62</v>
      </c>
      <c r="P623">
        <v>1.03</v>
      </c>
      <c r="Q623">
        <v>345</v>
      </c>
      <c r="R623">
        <v>0.14000000000000001</v>
      </c>
      <c r="S623" t="s">
        <v>39</v>
      </c>
      <c r="T623" s="1">
        <v>45749</v>
      </c>
      <c r="U623">
        <v>1</v>
      </c>
    </row>
    <row r="624" spans="1:21" x14ac:dyDescent="0.25">
      <c r="A624" t="s">
        <v>671</v>
      </c>
      <c r="B624">
        <v>28</v>
      </c>
      <c r="C624" t="s">
        <v>21</v>
      </c>
      <c r="D624" t="s">
        <v>22</v>
      </c>
      <c r="E624" t="s">
        <v>31</v>
      </c>
      <c r="F624" t="s">
        <v>32</v>
      </c>
      <c r="G624">
        <v>6814.11</v>
      </c>
      <c r="H624">
        <v>4085.66</v>
      </c>
      <c r="I624">
        <v>42020.71</v>
      </c>
      <c r="J624" t="s">
        <v>37</v>
      </c>
      <c r="K624" t="s">
        <v>38</v>
      </c>
      <c r="L624">
        <v>0</v>
      </c>
      <c r="M624">
        <v>0</v>
      </c>
      <c r="N624">
        <v>0</v>
      </c>
      <c r="O624">
        <v>0</v>
      </c>
      <c r="P624">
        <v>0</v>
      </c>
      <c r="Q624">
        <v>393</v>
      </c>
      <c r="R624">
        <v>0.51</v>
      </c>
      <c r="S624" t="s">
        <v>72</v>
      </c>
      <c r="T624" s="1">
        <v>44587</v>
      </c>
      <c r="U624">
        <v>0</v>
      </c>
    </row>
    <row r="625" spans="1:21" x14ac:dyDescent="0.25">
      <c r="A625" t="s">
        <v>672</v>
      </c>
      <c r="B625">
        <v>66</v>
      </c>
      <c r="C625" t="s">
        <v>29</v>
      </c>
      <c r="D625" t="s">
        <v>56</v>
      </c>
      <c r="E625" t="s">
        <v>23</v>
      </c>
      <c r="F625" t="s">
        <v>42</v>
      </c>
      <c r="G625">
        <v>5585.92</v>
      </c>
      <c r="H625">
        <v>1908.76</v>
      </c>
      <c r="I625">
        <v>14992.59</v>
      </c>
      <c r="J625" t="s">
        <v>37</v>
      </c>
      <c r="K625" t="s">
        <v>38</v>
      </c>
      <c r="L625">
        <v>0</v>
      </c>
      <c r="M625">
        <v>0</v>
      </c>
      <c r="N625">
        <v>0</v>
      </c>
      <c r="O625">
        <v>0</v>
      </c>
      <c r="P625">
        <v>0</v>
      </c>
      <c r="Q625">
        <v>682</v>
      </c>
      <c r="R625">
        <v>0.22</v>
      </c>
      <c r="S625" t="s">
        <v>30</v>
      </c>
      <c r="T625" s="1">
        <v>45406</v>
      </c>
      <c r="U625">
        <v>0</v>
      </c>
    </row>
    <row r="626" spans="1:21" x14ac:dyDescent="0.25">
      <c r="A626" t="s">
        <v>673</v>
      </c>
      <c r="B626">
        <v>40</v>
      </c>
      <c r="C626" t="s">
        <v>21</v>
      </c>
      <c r="D626" t="s">
        <v>41</v>
      </c>
      <c r="E626" t="s">
        <v>51</v>
      </c>
      <c r="F626" t="s">
        <v>23</v>
      </c>
      <c r="G626">
        <v>3532.4</v>
      </c>
      <c r="H626">
        <v>2313.02</v>
      </c>
      <c r="I626">
        <v>37641.370000000003</v>
      </c>
      <c r="J626" t="s">
        <v>25</v>
      </c>
      <c r="K626" t="s">
        <v>26</v>
      </c>
      <c r="L626">
        <v>379151.94</v>
      </c>
      <c r="M626">
        <v>240</v>
      </c>
      <c r="N626">
        <v>2546.4299999999998</v>
      </c>
      <c r="O626">
        <v>5.21</v>
      </c>
      <c r="P626">
        <v>0.72</v>
      </c>
      <c r="Q626">
        <v>406</v>
      </c>
      <c r="R626">
        <v>0.89</v>
      </c>
      <c r="S626" t="s">
        <v>27</v>
      </c>
      <c r="T626" s="1">
        <v>45655</v>
      </c>
      <c r="U626">
        <v>1</v>
      </c>
    </row>
    <row r="627" spans="1:21" x14ac:dyDescent="0.25">
      <c r="A627" t="s">
        <v>674</v>
      </c>
      <c r="B627">
        <v>44</v>
      </c>
      <c r="C627" t="s">
        <v>21</v>
      </c>
      <c r="D627" t="s">
        <v>22</v>
      </c>
      <c r="E627" t="s">
        <v>31</v>
      </c>
      <c r="F627" t="s">
        <v>36</v>
      </c>
      <c r="G627">
        <v>5598.07</v>
      </c>
      <c r="H627">
        <v>4623.3</v>
      </c>
      <c r="I627">
        <v>49454.73</v>
      </c>
      <c r="J627" t="s">
        <v>37</v>
      </c>
      <c r="K627" t="s">
        <v>38</v>
      </c>
      <c r="L627">
        <v>0</v>
      </c>
      <c r="M627">
        <v>0</v>
      </c>
      <c r="N627">
        <v>0</v>
      </c>
      <c r="O627">
        <v>0</v>
      </c>
      <c r="P627">
        <v>0</v>
      </c>
      <c r="Q627">
        <v>794</v>
      </c>
      <c r="R627">
        <v>0.74</v>
      </c>
      <c r="S627" t="s">
        <v>72</v>
      </c>
      <c r="T627" s="1">
        <v>45786</v>
      </c>
      <c r="U627">
        <v>0</v>
      </c>
    </row>
    <row r="628" spans="1:21" x14ac:dyDescent="0.25">
      <c r="A628" t="s">
        <v>675</v>
      </c>
      <c r="B628">
        <v>24</v>
      </c>
      <c r="C628" t="s">
        <v>21</v>
      </c>
      <c r="D628" t="s">
        <v>35</v>
      </c>
      <c r="E628" t="s">
        <v>31</v>
      </c>
      <c r="F628" t="s">
        <v>24</v>
      </c>
      <c r="G628">
        <v>4365.25</v>
      </c>
      <c r="H628">
        <v>3243.51</v>
      </c>
      <c r="I628">
        <v>25174.47</v>
      </c>
      <c r="J628" t="s">
        <v>25</v>
      </c>
      <c r="K628" t="s">
        <v>33</v>
      </c>
      <c r="L628">
        <v>444497</v>
      </c>
      <c r="M628">
        <v>120</v>
      </c>
      <c r="N628">
        <v>6524.56</v>
      </c>
      <c r="O628">
        <v>12.57</v>
      </c>
      <c r="P628">
        <v>1.49</v>
      </c>
      <c r="Q628">
        <v>467</v>
      </c>
      <c r="R628">
        <v>0.48</v>
      </c>
      <c r="S628" t="s">
        <v>47</v>
      </c>
      <c r="T628" s="1">
        <v>45479</v>
      </c>
      <c r="U628">
        <v>1</v>
      </c>
    </row>
    <row r="629" spans="1:21" x14ac:dyDescent="0.25">
      <c r="A629" t="s">
        <v>676</v>
      </c>
      <c r="B629">
        <v>67</v>
      </c>
      <c r="C629" t="s">
        <v>29</v>
      </c>
      <c r="D629" t="s">
        <v>35</v>
      </c>
      <c r="E629" t="s">
        <v>31</v>
      </c>
      <c r="F629" t="s">
        <v>42</v>
      </c>
      <c r="G629">
        <v>3966.88</v>
      </c>
      <c r="H629">
        <v>1979.65</v>
      </c>
      <c r="I629">
        <v>45763.47</v>
      </c>
      <c r="J629" t="s">
        <v>25</v>
      </c>
      <c r="K629" t="s">
        <v>26</v>
      </c>
      <c r="L629">
        <v>418363.08</v>
      </c>
      <c r="M629">
        <v>360</v>
      </c>
      <c r="N629">
        <v>4181.3599999999997</v>
      </c>
      <c r="O629">
        <v>11.62</v>
      </c>
      <c r="P629">
        <v>1.05</v>
      </c>
      <c r="Q629">
        <v>576</v>
      </c>
      <c r="R629">
        <v>0.96</v>
      </c>
      <c r="S629" t="s">
        <v>30</v>
      </c>
      <c r="T629" s="1">
        <v>44626</v>
      </c>
      <c r="U629">
        <v>1</v>
      </c>
    </row>
    <row r="630" spans="1:21" x14ac:dyDescent="0.25">
      <c r="A630" t="s">
        <v>677</v>
      </c>
      <c r="B630">
        <v>56</v>
      </c>
      <c r="C630" t="s">
        <v>21</v>
      </c>
      <c r="D630" t="s">
        <v>35</v>
      </c>
      <c r="E630" t="s">
        <v>31</v>
      </c>
      <c r="F630" t="s">
        <v>44</v>
      </c>
      <c r="G630">
        <v>4275.79</v>
      </c>
      <c r="H630">
        <v>1640.16</v>
      </c>
      <c r="I630">
        <v>5435.48</v>
      </c>
      <c r="J630" t="s">
        <v>37</v>
      </c>
      <c r="K630" t="s">
        <v>38</v>
      </c>
      <c r="L630">
        <v>0</v>
      </c>
      <c r="M630">
        <v>0</v>
      </c>
      <c r="N630">
        <v>0</v>
      </c>
      <c r="O630">
        <v>0</v>
      </c>
      <c r="P630">
        <v>0</v>
      </c>
      <c r="Q630">
        <v>692</v>
      </c>
      <c r="R630">
        <v>0.11</v>
      </c>
      <c r="S630" t="s">
        <v>27</v>
      </c>
      <c r="T630" s="1">
        <v>44612</v>
      </c>
      <c r="U630">
        <v>0</v>
      </c>
    </row>
    <row r="631" spans="1:21" x14ac:dyDescent="0.25">
      <c r="A631" t="s">
        <v>678</v>
      </c>
      <c r="B631">
        <v>55</v>
      </c>
      <c r="C631" t="s">
        <v>21</v>
      </c>
      <c r="D631" t="s">
        <v>22</v>
      </c>
      <c r="E631" t="s">
        <v>49</v>
      </c>
      <c r="F631" t="s">
        <v>52</v>
      </c>
      <c r="G631">
        <v>4407.34</v>
      </c>
      <c r="H631">
        <v>1385.34</v>
      </c>
      <c r="I631">
        <v>21678.48</v>
      </c>
      <c r="J631" t="s">
        <v>37</v>
      </c>
      <c r="K631" t="s">
        <v>38</v>
      </c>
      <c r="L631">
        <v>0</v>
      </c>
      <c r="M631">
        <v>0</v>
      </c>
      <c r="N631">
        <v>0</v>
      </c>
      <c r="O631">
        <v>0</v>
      </c>
      <c r="P631">
        <v>0</v>
      </c>
      <c r="Q631">
        <v>592</v>
      </c>
      <c r="R631">
        <v>0.41</v>
      </c>
      <c r="S631" t="s">
        <v>72</v>
      </c>
      <c r="T631" s="1">
        <v>45103</v>
      </c>
      <c r="U631">
        <v>0</v>
      </c>
    </row>
    <row r="632" spans="1:21" x14ac:dyDescent="0.25">
      <c r="A632" t="s">
        <v>679</v>
      </c>
      <c r="B632">
        <v>46</v>
      </c>
      <c r="C632" t="s">
        <v>29</v>
      </c>
      <c r="D632" t="s">
        <v>22</v>
      </c>
      <c r="E632" t="s">
        <v>31</v>
      </c>
      <c r="F632" t="s">
        <v>44</v>
      </c>
      <c r="G632">
        <v>3390.79</v>
      </c>
      <c r="H632">
        <v>2232.7600000000002</v>
      </c>
      <c r="I632">
        <v>10894.15</v>
      </c>
      <c r="J632" t="s">
        <v>37</v>
      </c>
      <c r="K632" t="s">
        <v>38</v>
      </c>
      <c r="L632">
        <v>0</v>
      </c>
      <c r="M632">
        <v>0</v>
      </c>
      <c r="N632">
        <v>0</v>
      </c>
      <c r="O632">
        <v>0</v>
      </c>
      <c r="P632">
        <v>0</v>
      </c>
      <c r="Q632">
        <v>756</v>
      </c>
      <c r="R632">
        <v>0.27</v>
      </c>
      <c r="S632" t="s">
        <v>39</v>
      </c>
      <c r="T632" s="1">
        <v>44952</v>
      </c>
      <c r="U632">
        <v>0</v>
      </c>
    </row>
    <row r="633" spans="1:21" x14ac:dyDescent="0.25">
      <c r="A633" t="s">
        <v>680</v>
      </c>
      <c r="B633">
        <v>36</v>
      </c>
      <c r="C633" t="s">
        <v>29</v>
      </c>
      <c r="D633" t="s">
        <v>35</v>
      </c>
      <c r="E633" t="s">
        <v>31</v>
      </c>
      <c r="F633" t="s">
        <v>24</v>
      </c>
      <c r="G633">
        <v>4031.33</v>
      </c>
      <c r="H633">
        <v>2399.6</v>
      </c>
      <c r="I633">
        <v>23121.19</v>
      </c>
      <c r="J633" t="s">
        <v>37</v>
      </c>
      <c r="K633" t="s">
        <v>38</v>
      </c>
      <c r="L633">
        <v>0</v>
      </c>
      <c r="M633">
        <v>0</v>
      </c>
      <c r="N633">
        <v>0</v>
      </c>
      <c r="O633">
        <v>0</v>
      </c>
      <c r="P633">
        <v>0</v>
      </c>
      <c r="Q633">
        <v>835</v>
      </c>
      <c r="R633">
        <v>0.48</v>
      </c>
      <c r="S633" t="s">
        <v>39</v>
      </c>
      <c r="T633" s="1">
        <v>44557</v>
      </c>
      <c r="U633">
        <v>0</v>
      </c>
    </row>
    <row r="634" spans="1:21" x14ac:dyDescent="0.25">
      <c r="A634" t="s">
        <v>681</v>
      </c>
      <c r="B634">
        <v>32</v>
      </c>
      <c r="C634" t="s">
        <v>21</v>
      </c>
      <c r="D634" t="s">
        <v>41</v>
      </c>
      <c r="E634" t="s">
        <v>31</v>
      </c>
      <c r="F634" t="s">
        <v>52</v>
      </c>
      <c r="G634">
        <v>4866.9799999999996</v>
      </c>
      <c r="H634">
        <v>1761.23</v>
      </c>
      <c r="I634">
        <v>20981.040000000001</v>
      </c>
      <c r="J634" t="s">
        <v>37</v>
      </c>
      <c r="K634" t="s">
        <v>38</v>
      </c>
      <c r="L634">
        <v>0</v>
      </c>
      <c r="M634">
        <v>0</v>
      </c>
      <c r="N634">
        <v>0</v>
      </c>
      <c r="O634">
        <v>0</v>
      </c>
      <c r="P634">
        <v>0</v>
      </c>
      <c r="Q634">
        <v>427</v>
      </c>
      <c r="R634">
        <v>0.36</v>
      </c>
      <c r="S634" t="s">
        <v>27</v>
      </c>
      <c r="T634" s="1">
        <v>44657</v>
      </c>
      <c r="U634">
        <v>0</v>
      </c>
    </row>
    <row r="635" spans="1:21" x14ac:dyDescent="0.25">
      <c r="A635" t="s">
        <v>682</v>
      </c>
      <c r="B635">
        <v>49</v>
      </c>
      <c r="C635" t="s">
        <v>21</v>
      </c>
      <c r="D635" t="s">
        <v>41</v>
      </c>
      <c r="E635" t="s">
        <v>31</v>
      </c>
      <c r="F635" t="s">
        <v>44</v>
      </c>
      <c r="G635">
        <v>1389.36</v>
      </c>
      <c r="H635">
        <v>978.81</v>
      </c>
      <c r="I635">
        <v>9231.43</v>
      </c>
      <c r="J635" t="s">
        <v>37</v>
      </c>
      <c r="K635" t="s">
        <v>38</v>
      </c>
      <c r="L635">
        <v>0</v>
      </c>
      <c r="M635">
        <v>0</v>
      </c>
      <c r="N635">
        <v>0</v>
      </c>
      <c r="O635">
        <v>0</v>
      </c>
      <c r="P635">
        <v>0</v>
      </c>
      <c r="Q635">
        <v>469</v>
      </c>
      <c r="R635">
        <v>0.55000000000000004</v>
      </c>
      <c r="S635" t="s">
        <v>30</v>
      </c>
      <c r="T635" s="1">
        <v>44742</v>
      </c>
      <c r="U635">
        <v>0</v>
      </c>
    </row>
    <row r="636" spans="1:21" x14ac:dyDescent="0.25">
      <c r="A636" t="s">
        <v>683</v>
      </c>
      <c r="B636">
        <v>28</v>
      </c>
      <c r="C636" t="s">
        <v>21</v>
      </c>
      <c r="D636" t="s">
        <v>35</v>
      </c>
      <c r="E636" t="s">
        <v>31</v>
      </c>
      <c r="F636" t="s">
        <v>36</v>
      </c>
      <c r="G636">
        <v>6896.1</v>
      </c>
      <c r="H636">
        <v>2443.9299999999998</v>
      </c>
      <c r="I636">
        <v>16676.900000000001</v>
      </c>
      <c r="J636" t="s">
        <v>25</v>
      </c>
      <c r="K636" t="s">
        <v>33</v>
      </c>
      <c r="L636">
        <v>465559.79</v>
      </c>
      <c r="M636">
        <v>180</v>
      </c>
      <c r="N636">
        <v>10483.1</v>
      </c>
      <c r="O636">
        <v>26.49</v>
      </c>
      <c r="P636">
        <v>1.52</v>
      </c>
      <c r="Q636">
        <v>686</v>
      </c>
      <c r="R636">
        <v>0.2</v>
      </c>
      <c r="S636" t="s">
        <v>39</v>
      </c>
      <c r="T636" s="1">
        <v>45090</v>
      </c>
      <c r="U636">
        <v>1</v>
      </c>
    </row>
    <row r="637" spans="1:21" x14ac:dyDescent="0.25">
      <c r="A637" t="s">
        <v>684</v>
      </c>
      <c r="B637">
        <v>67</v>
      </c>
      <c r="C637" t="s">
        <v>29</v>
      </c>
      <c r="D637" t="s">
        <v>56</v>
      </c>
      <c r="E637" t="s">
        <v>31</v>
      </c>
      <c r="F637" t="s">
        <v>42</v>
      </c>
      <c r="G637">
        <v>2781.73</v>
      </c>
      <c r="H637">
        <v>840.52</v>
      </c>
      <c r="I637">
        <v>9633.98</v>
      </c>
      <c r="J637" t="s">
        <v>37</v>
      </c>
      <c r="K637" t="s">
        <v>38</v>
      </c>
      <c r="L637">
        <v>0</v>
      </c>
      <c r="M637">
        <v>0</v>
      </c>
      <c r="N637">
        <v>0</v>
      </c>
      <c r="O637">
        <v>0</v>
      </c>
      <c r="P637">
        <v>0</v>
      </c>
      <c r="Q637">
        <v>813</v>
      </c>
      <c r="R637">
        <v>0.28999999999999998</v>
      </c>
      <c r="S637" t="s">
        <v>47</v>
      </c>
      <c r="T637" s="1">
        <v>45382</v>
      </c>
      <c r="U637">
        <v>0</v>
      </c>
    </row>
    <row r="638" spans="1:21" x14ac:dyDescent="0.25">
      <c r="A638" t="s">
        <v>685</v>
      </c>
      <c r="B638">
        <v>52</v>
      </c>
      <c r="C638" t="s">
        <v>21</v>
      </c>
      <c r="D638" t="s">
        <v>41</v>
      </c>
      <c r="E638" t="s">
        <v>23</v>
      </c>
      <c r="F638" t="s">
        <v>44</v>
      </c>
      <c r="G638">
        <v>3100.4</v>
      </c>
      <c r="H638">
        <v>2784.48</v>
      </c>
      <c r="I638">
        <v>31923.11</v>
      </c>
      <c r="J638" t="s">
        <v>37</v>
      </c>
      <c r="K638" t="s">
        <v>38</v>
      </c>
      <c r="L638">
        <v>0</v>
      </c>
      <c r="M638">
        <v>0</v>
      </c>
      <c r="N638">
        <v>0</v>
      </c>
      <c r="O638">
        <v>0</v>
      </c>
      <c r="P638">
        <v>0</v>
      </c>
      <c r="Q638">
        <v>726</v>
      </c>
      <c r="R638">
        <v>0.86</v>
      </c>
      <c r="S638" t="s">
        <v>39</v>
      </c>
      <c r="T638" s="1">
        <v>45391</v>
      </c>
      <c r="U638">
        <v>0</v>
      </c>
    </row>
    <row r="639" spans="1:21" x14ac:dyDescent="0.25">
      <c r="A639" t="s">
        <v>686</v>
      </c>
      <c r="B639">
        <v>29</v>
      </c>
      <c r="C639" t="s">
        <v>21</v>
      </c>
      <c r="D639" t="s">
        <v>35</v>
      </c>
      <c r="E639" t="s">
        <v>51</v>
      </c>
      <c r="F639" t="s">
        <v>42</v>
      </c>
      <c r="G639">
        <v>5183.0200000000004</v>
      </c>
      <c r="H639">
        <v>3237.03</v>
      </c>
      <c r="I639">
        <v>44553.2</v>
      </c>
      <c r="J639" t="s">
        <v>37</v>
      </c>
      <c r="K639" t="s">
        <v>38</v>
      </c>
      <c r="L639">
        <v>0</v>
      </c>
      <c r="M639">
        <v>0</v>
      </c>
      <c r="N639">
        <v>0</v>
      </c>
      <c r="O639">
        <v>0</v>
      </c>
      <c r="P639">
        <v>0</v>
      </c>
      <c r="Q639">
        <v>473</v>
      </c>
      <c r="R639">
        <v>0.72</v>
      </c>
      <c r="S639" t="s">
        <v>72</v>
      </c>
      <c r="T639" s="1">
        <v>44406</v>
      </c>
      <c r="U639">
        <v>0</v>
      </c>
    </row>
    <row r="640" spans="1:21" x14ac:dyDescent="0.25">
      <c r="A640" t="s">
        <v>687</v>
      </c>
      <c r="B640">
        <v>46</v>
      </c>
      <c r="C640" t="s">
        <v>29</v>
      </c>
      <c r="D640" t="s">
        <v>41</v>
      </c>
      <c r="E640" t="s">
        <v>31</v>
      </c>
      <c r="F640" t="s">
        <v>52</v>
      </c>
      <c r="G640">
        <v>3165.52</v>
      </c>
      <c r="H640">
        <v>1054.1600000000001</v>
      </c>
      <c r="I640">
        <v>16494.560000000001</v>
      </c>
      <c r="J640" t="s">
        <v>37</v>
      </c>
      <c r="K640" t="s">
        <v>38</v>
      </c>
      <c r="L640">
        <v>0</v>
      </c>
      <c r="M640">
        <v>0</v>
      </c>
      <c r="N640">
        <v>0</v>
      </c>
      <c r="O640">
        <v>0</v>
      </c>
      <c r="P640">
        <v>0</v>
      </c>
      <c r="Q640">
        <v>552</v>
      </c>
      <c r="R640">
        <v>0.43</v>
      </c>
      <c r="S640" t="s">
        <v>47</v>
      </c>
      <c r="T640" s="1">
        <v>45527</v>
      </c>
      <c r="U640">
        <v>0</v>
      </c>
    </row>
    <row r="641" spans="1:21" x14ac:dyDescent="0.25">
      <c r="A641" t="s">
        <v>688</v>
      </c>
      <c r="B641">
        <v>48</v>
      </c>
      <c r="C641" t="s">
        <v>29</v>
      </c>
      <c r="D641" t="s">
        <v>41</v>
      </c>
      <c r="E641" t="s">
        <v>23</v>
      </c>
      <c r="F641" t="s">
        <v>24</v>
      </c>
      <c r="G641">
        <v>3076.67</v>
      </c>
      <c r="H641">
        <v>2140.92</v>
      </c>
      <c r="I641">
        <v>23787.46</v>
      </c>
      <c r="J641" t="s">
        <v>25</v>
      </c>
      <c r="K641" t="s">
        <v>45</v>
      </c>
      <c r="L641">
        <v>304733.07</v>
      </c>
      <c r="M641">
        <v>240</v>
      </c>
      <c r="N641">
        <v>3842.65</v>
      </c>
      <c r="O641">
        <v>14.24</v>
      </c>
      <c r="P641">
        <v>1.25</v>
      </c>
      <c r="Q641">
        <v>676</v>
      </c>
      <c r="R641">
        <v>0.64</v>
      </c>
      <c r="S641" t="s">
        <v>39</v>
      </c>
      <c r="T641" s="1">
        <v>45808</v>
      </c>
      <c r="U641">
        <v>1</v>
      </c>
    </row>
    <row r="642" spans="1:21" x14ac:dyDescent="0.25">
      <c r="A642" t="s">
        <v>689</v>
      </c>
      <c r="B642">
        <v>43</v>
      </c>
      <c r="C642" t="s">
        <v>21</v>
      </c>
      <c r="D642" t="s">
        <v>35</v>
      </c>
      <c r="E642" t="s">
        <v>51</v>
      </c>
      <c r="F642" t="s">
        <v>52</v>
      </c>
      <c r="G642">
        <v>4143.59</v>
      </c>
      <c r="H642">
        <v>2940.97</v>
      </c>
      <c r="I642">
        <v>37593.32</v>
      </c>
      <c r="J642" t="s">
        <v>37</v>
      </c>
      <c r="K642" t="s">
        <v>38</v>
      </c>
      <c r="L642">
        <v>0</v>
      </c>
      <c r="M642">
        <v>0</v>
      </c>
      <c r="N642">
        <v>0</v>
      </c>
      <c r="O642">
        <v>0</v>
      </c>
      <c r="P642">
        <v>0</v>
      </c>
      <c r="Q642">
        <v>365</v>
      </c>
      <c r="R642">
        <v>0.76</v>
      </c>
      <c r="S642" t="s">
        <v>27</v>
      </c>
      <c r="T642" s="1">
        <v>44591</v>
      </c>
      <c r="U642">
        <v>0</v>
      </c>
    </row>
    <row r="643" spans="1:21" x14ac:dyDescent="0.25">
      <c r="A643" t="s">
        <v>690</v>
      </c>
      <c r="B643">
        <v>34</v>
      </c>
      <c r="C643" t="s">
        <v>29</v>
      </c>
      <c r="D643" t="s">
        <v>56</v>
      </c>
      <c r="E643" t="s">
        <v>51</v>
      </c>
      <c r="F643" t="s">
        <v>36</v>
      </c>
      <c r="G643">
        <v>2501.09</v>
      </c>
      <c r="H643">
        <v>1349.16</v>
      </c>
      <c r="I643">
        <v>16592.71</v>
      </c>
      <c r="J643" t="s">
        <v>25</v>
      </c>
      <c r="K643" t="s">
        <v>33</v>
      </c>
      <c r="L643">
        <v>290927.34999999998</v>
      </c>
      <c r="M643">
        <v>120</v>
      </c>
      <c r="N643">
        <v>4539.8900000000003</v>
      </c>
      <c r="O643">
        <v>14.13</v>
      </c>
      <c r="P643">
        <v>1.82</v>
      </c>
      <c r="Q643">
        <v>774</v>
      </c>
      <c r="R643">
        <v>0.55000000000000004</v>
      </c>
      <c r="S643" t="s">
        <v>27</v>
      </c>
      <c r="T643" s="1">
        <v>45393</v>
      </c>
      <c r="U643">
        <v>1</v>
      </c>
    </row>
    <row r="644" spans="1:21" x14ac:dyDescent="0.25">
      <c r="A644" t="s">
        <v>691</v>
      </c>
      <c r="B644">
        <v>52</v>
      </c>
      <c r="C644" t="s">
        <v>30</v>
      </c>
      <c r="D644" t="s">
        <v>35</v>
      </c>
      <c r="E644" t="s">
        <v>51</v>
      </c>
      <c r="F644" t="s">
        <v>52</v>
      </c>
      <c r="G644">
        <v>6835.11</v>
      </c>
      <c r="H644">
        <v>3935.71</v>
      </c>
      <c r="I644">
        <v>67050.320000000007</v>
      </c>
      <c r="J644" t="s">
        <v>25</v>
      </c>
      <c r="K644" t="s">
        <v>45</v>
      </c>
      <c r="L644">
        <v>226277.84</v>
      </c>
      <c r="M644">
        <v>180</v>
      </c>
      <c r="N644">
        <v>5057.92</v>
      </c>
      <c r="O644">
        <v>26.28</v>
      </c>
      <c r="P644">
        <v>0.74</v>
      </c>
      <c r="Q644">
        <v>701</v>
      </c>
      <c r="R644">
        <v>0.82</v>
      </c>
      <c r="S644" t="s">
        <v>47</v>
      </c>
      <c r="T644" s="1">
        <v>45402</v>
      </c>
      <c r="U644">
        <v>1</v>
      </c>
    </row>
    <row r="645" spans="1:21" x14ac:dyDescent="0.25">
      <c r="A645" t="s">
        <v>692</v>
      </c>
      <c r="B645">
        <v>54</v>
      </c>
      <c r="C645" t="s">
        <v>29</v>
      </c>
      <c r="D645" t="s">
        <v>41</v>
      </c>
      <c r="E645" t="s">
        <v>31</v>
      </c>
      <c r="F645" t="s">
        <v>36</v>
      </c>
      <c r="G645">
        <v>2338.06</v>
      </c>
      <c r="H645">
        <v>982.45</v>
      </c>
      <c r="I645">
        <v>15602.21</v>
      </c>
      <c r="J645" t="s">
        <v>37</v>
      </c>
      <c r="K645" t="s">
        <v>38</v>
      </c>
      <c r="L645">
        <v>0</v>
      </c>
      <c r="M645">
        <v>0</v>
      </c>
      <c r="N645">
        <v>0</v>
      </c>
      <c r="O645">
        <v>0</v>
      </c>
      <c r="P645">
        <v>0</v>
      </c>
      <c r="Q645">
        <v>670</v>
      </c>
      <c r="R645">
        <v>0.56000000000000005</v>
      </c>
      <c r="S645" t="s">
        <v>27</v>
      </c>
      <c r="T645" s="1">
        <v>45572</v>
      </c>
      <c r="U645">
        <v>0</v>
      </c>
    </row>
    <row r="646" spans="1:21" x14ac:dyDescent="0.25">
      <c r="A646" t="s">
        <v>693</v>
      </c>
      <c r="B646">
        <v>40</v>
      </c>
      <c r="C646" t="s">
        <v>29</v>
      </c>
      <c r="D646" t="s">
        <v>35</v>
      </c>
      <c r="E646" t="s">
        <v>31</v>
      </c>
      <c r="F646" t="s">
        <v>52</v>
      </c>
      <c r="G646">
        <v>1777.78</v>
      </c>
      <c r="H646">
        <v>792.56</v>
      </c>
      <c r="I646">
        <v>13792.65</v>
      </c>
      <c r="J646" t="s">
        <v>25</v>
      </c>
      <c r="K646" t="s">
        <v>26</v>
      </c>
      <c r="L646">
        <v>162944.4</v>
      </c>
      <c r="M646">
        <v>360</v>
      </c>
      <c r="N646">
        <v>2391.9499999999998</v>
      </c>
      <c r="O646">
        <v>17.52</v>
      </c>
      <c r="P646">
        <v>1.35</v>
      </c>
      <c r="Q646">
        <v>467</v>
      </c>
      <c r="R646">
        <v>0.65</v>
      </c>
      <c r="S646" t="s">
        <v>30</v>
      </c>
      <c r="T646" s="1">
        <v>44906</v>
      </c>
      <c r="U646">
        <v>1</v>
      </c>
    </row>
    <row r="647" spans="1:21" x14ac:dyDescent="0.25">
      <c r="A647" t="s">
        <v>694</v>
      </c>
      <c r="B647">
        <v>47</v>
      </c>
      <c r="C647" t="s">
        <v>21</v>
      </c>
      <c r="D647" t="s">
        <v>35</v>
      </c>
      <c r="E647" t="s">
        <v>49</v>
      </c>
      <c r="F647" t="s">
        <v>44</v>
      </c>
      <c r="G647">
        <v>3372.9</v>
      </c>
      <c r="H647">
        <v>2675.82</v>
      </c>
      <c r="I647">
        <v>23431.67</v>
      </c>
      <c r="J647" t="s">
        <v>37</v>
      </c>
      <c r="K647" t="s">
        <v>38</v>
      </c>
      <c r="L647">
        <v>0</v>
      </c>
      <c r="M647">
        <v>0</v>
      </c>
      <c r="N647">
        <v>0</v>
      </c>
      <c r="O647">
        <v>0</v>
      </c>
      <c r="P647">
        <v>0</v>
      </c>
      <c r="Q647">
        <v>477</v>
      </c>
      <c r="R647">
        <v>0.57999999999999996</v>
      </c>
      <c r="S647" t="s">
        <v>39</v>
      </c>
      <c r="T647" s="1">
        <v>45623</v>
      </c>
      <c r="U647">
        <v>0</v>
      </c>
    </row>
    <row r="648" spans="1:21" x14ac:dyDescent="0.25">
      <c r="A648" t="s">
        <v>695</v>
      </c>
      <c r="B648">
        <v>29</v>
      </c>
      <c r="C648" t="s">
        <v>29</v>
      </c>
      <c r="D648" t="s">
        <v>35</v>
      </c>
      <c r="E648" t="s">
        <v>23</v>
      </c>
      <c r="F648" t="s">
        <v>36</v>
      </c>
      <c r="G648">
        <v>3692.06</v>
      </c>
      <c r="H648">
        <v>3114.76</v>
      </c>
      <c r="I648">
        <v>17821.759999999998</v>
      </c>
      <c r="J648" t="s">
        <v>37</v>
      </c>
      <c r="K648" t="s">
        <v>38</v>
      </c>
      <c r="L648">
        <v>0</v>
      </c>
      <c r="M648">
        <v>0</v>
      </c>
      <c r="N648">
        <v>0</v>
      </c>
      <c r="O648">
        <v>0</v>
      </c>
      <c r="P648">
        <v>0</v>
      </c>
      <c r="Q648">
        <v>376</v>
      </c>
      <c r="R648">
        <v>0.4</v>
      </c>
      <c r="S648" t="s">
        <v>30</v>
      </c>
      <c r="T648" s="1">
        <v>44662</v>
      </c>
      <c r="U648">
        <v>0</v>
      </c>
    </row>
    <row r="649" spans="1:21" x14ac:dyDescent="0.25">
      <c r="A649" t="s">
        <v>696</v>
      </c>
      <c r="B649">
        <v>65</v>
      </c>
      <c r="C649" t="s">
        <v>29</v>
      </c>
      <c r="D649" t="s">
        <v>35</v>
      </c>
      <c r="E649" t="s">
        <v>51</v>
      </c>
      <c r="F649" t="s">
        <v>36</v>
      </c>
      <c r="G649">
        <v>7290.23</v>
      </c>
      <c r="H649">
        <v>3113.8</v>
      </c>
      <c r="I649">
        <v>24642.71</v>
      </c>
      <c r="J649" t="s">
        <v>25</v>
      </c>
      <c r="K649" t="s">
        <v>54</v>
      </c>
      <c r="L649">
        <v>73735.929999999993</v>
      </c>
      <c r="M649">
        <v>360</v>
      </c>
      <c r="N649">
        <v>327.82</v>
      </c>
      <c r="O649">
        <v>3.42</v>
      </c>
      <c r="P649">
        <v>0.04</v>
      </c>
      <c r="Q649">
        <v>783</v>
      </c>
      <c r="R649">
        <v>0.28000000000000003</v>
      </c>
      <c r="S649" t="s">
        <v>72</v>
      </c>
      <c r="T649" s="1">
        <v>45433</v>
      </c>
      <c r="U649">
        <v>0</v>
      </c>
    </row>
    <row r="650" spans="1:21" x14ac:dyDescent="0.25">
      <c r="A650" t="s">
        <v>697</v>
      </c>
      <c r="B650">
        <v>61</v>
      </c>
      <c r="C650" t="s">
        <v>21</v>
      </c>
      <c r="D650" t="s">
        <v>41</v>
      </c>
      <c r="E650" t="s">
        <v>31</v>
      </c>
      <c r="F650" t="s">
        <v>23</v>
      </c>
      <c r="G650">
        <v>2269.11</v>
      </c>
      <c r="H650">
        <v>1493.35</v>
      </c>
      <c r="I650">
        <v>9608.16</v>
      </c>
      <c r="J650" t="s">
        <v>37</v>
      </c>
      <c r="K650" t="s">
        <v>38</v>
      </c>
      <c r="L650">
        <v>0</v>
      </c>
      <c r="M650">
        <v>0</v>
      </c>
      <c r="N650">
        <v>0</v>
      </c>
      <c r="O650">
        <v>0</v>
      </c>
      <c r="P650">
        <v>0</v>
      </c>
      <c r="Q650">
        <v>430</v>
      </c>
      <c r="R650">
        <v>0.35</v>
      </c>
      <c r="S650" t="s">
        <v>30</v>
      </c>
      <c r="T650" s="1">
        <v>45651</v>
      </c>
      <c r="U650">
        <v>0</v>
      </c>
    </row>
    <row r="651" spans="1:21" x14ac:dyDescent="0.25">
      <c r="A651" t="s">
        <v>698</v>
      </c>
      <c r="B651">
        <v>62</v>
      </c>
      <c r="C651" t="s">
        <v>21</v>
      </c>
      <c r="D651" t="s">
        <v>41</v>
      </c>
      <c r="E651" t="s">
        <v>31</v>
      </c>
      <c r="F651" t="s">
        <v>42</v>
      </c>
      <c r="G651">
        <v>3792.25</v>
      </c>
      <c r="H651">
        <v>1139.46</v>
      </c>
      <c r="I651">
        <v>5513.04</v>
      </c>
      <c r="J651" t="s">
        <v>37</v>
      </c>
      <c r="K651" t="s">
        <v>38</v>
      </c>
      <c r="L651">
        <v>0</v>
      </c>
      <c r="M651">
        <v>0</v>
      </c>
      <c r="N651">
        <v>0</v>
      </c>
      <c r="O651">
        <v>0</v>
      </c>
      <c r="P651">
        <v>0</v>
      </c>
      <c r="Q651">
        <v>509</v>
      </c>
      <c r="R651">
        <v>0.12</v>
      </c>
      <c r="S651" t="s">
        <v>39</v>
      </c>
      <c r="T651" s="1">
        <v>45131</v>
      </c>
      <c r="U651">
        <v>0</v>
      </c>
    </row>
    <row r="652" spans="1:21" x14ac:dyDescent="0.25">
      <c r="A652" t="s">
        <v>699</v>
      </c>
      <c r="B652">
        <v>45</v>
      </c>
      <c r="C652" t="s">
        <v>21</v>
      </c>
      <c r="D652" t="s">
        <v>30</v>
      </c>
      <c r="E652" t="s">
        <v>31</v>
      </c>
      <c r="F652" t="s">
        <v>44</v>
      </c>
      <c r="G652">
        <v>5255.79</v>
      </c>
      <c r="H652">
        <v>3671.68</v>
      </c>
      <c r="I652">
        <v>25000.98</v>
      </c>
      <c r="J652" t="s">
        <v>25</v>
      </c>
      <c r="K652" t="s">
        <v>54</v>
      </c>
      <c r="L652">
        <v>366631.04</v>
      </c>
      <c r="M652">
        <v>300</v>
      </c>
      <c r="N652">
        <v>7162.12</v>
      </c>
      <c r="O652">
        <v>23.37</v>
      </c>
      <c r="P652">
        <v>1.36</v>
      </c>
      <c r="Q652">
        <v>431</v>
      </c>
      <c r="R652">
        <v>0.4</v>
      </c>
      <c r="S652" t="s">
        <v>47</v>
      </c>
      <c r="T652" s="1">
        <v>44994</v>
      </c>
      <c r="U652">
        <v>1</v>
      </c>
    </row>
    <row r="653" spans="1:21" x14ac:dyDescent="0.25">
      <c r="A653" t="s">
        <v>700</v>
      </c>
      <c r="B653">
        <v>61</v>
      </c>
      <c r="C653" t="s">
        <v>29</v>
      </c>
      <c r="D653" t="s">
        <v>41</v>
      </c>
      <c r="E653" t="s">
        <v>31</v>
      </c>
      <c r="F653" t="s">
        <v>32</v>
      </c>
      <c r="G653">
        <v>1985.78</v>
      </c>
      <c r="H653">
        <v>1360.77</v>
      </c>
      <c r="I653">
        <v>20150.150000000001</v>
      </c>
      <c r="J653" t="s">
        <v>37</v>
      </c>
      <c r="K653" t="s">
        <v>38</v>
      </c>
      <c r="L653">
        <v>0</v>
      </c>
      <c r="M653">
        <v>0</v>
      </c>
      <c r="N653">
        <v>0</v>
      </c>
      <c r="O653">
        <v>0</v>
      </c>
      <c r="P653">
        <v>0</v>
      </c>
      <c r="Q653">
        <v>751</v>
      </c>
      <c r="R653">
        <v>0.85</v>
      </c>
      <c r="S653" t="s">
        <v>39</v>
      </c>
      <c r="T653" s="1">
        <v>44879</v>
      </c>
      <c r="U653">
        <v>0</v>
      </c>
    </row>
    <row r="654" spans="1:21" x14ac:dyDescent="0.25">
      <c r="A654" t="s">
        <v>701</v>
      </c>
      <c r="B654">
        <v>19</v>
      </c>
      <c r="C654" t="s">
        <v>29</v>
      </c>
      <c r="D654" t="s">
        <v>22</v>
      </c>
      <c r="E654" t="s">
        <v>31</v>
      </c>
      <c r="F654" t="s">
        <v>36</v>
      </c>
      <c r="G654">
        <v>2485.7600000000002</v>
      </c>
      <c r="H654">
        <v>821.56</v>
      </c>
      <c r="I654">
        <v>28724.26</v>
      </c>
      <c r="J654" t="s">
        <v>37</v>
      </c>
      <c r="K654" t="s">
        <v>38</v>
      </c>
      <c r="L654">
        <v>0</v>
      </c>
      <c r="M654">
        <v>0</v>
      </c>
      <c r="N654">
        <v>0</v>
      </c>
      <c r="O654">
        <v>0</v>
      </c>
      <c r="P654">
        <v>0</v>
      </c>
      <c r="Q654">
        <v>652</v>
      </c>
      <c r="R654">
        <v>0.96</v>
      </c>
      <c r="S654" t="s">
        <v>39</v>
      </c>
      <c r="T654" s="1">
        <v>44520</v>
      </c>
      <c r="U654">
        <v>0</v>
      </c>
    </row>
    <row r="655" spans="1:21" x14ac:dyDescent="0.25">
      <c r="A655" t="s">
        <v>702</v>
      </c>
      <c r="B655">
        <v>45</v>
      </c>
      <c r="C655" t="s">
        <v>29</v>
      </c>
      <c r="D655" t="s">
        <v>35</v>
      </c>
      <c r="E655" t="s">
        <v>23</v>
      </c>
      <c r="F655" t="s">
        <v>32</v>
      </c>
      <c r="G655">
        <v>6137.99</v>
      </c>
      <c r="H655">
        <v>4149.7299999999996</v>
      </c>
      <c r="I655">
        <v>32782.129999999997</v>
      </c>
      <c r="J655" t="s">
        <v>37</v>
      </c>
      <c r="K655" t="s">
        <v>38</v>
      </c>
      <c r="L655">
        <v>0</v>
      </c>
      <c r="M655">
        <v>0</v>
      </c>
      <c r="N655">
        <v>0</v>
      </c>
      <c r="O655">
        <v>0</v>
      </c>
      <c r="P655">
        <v>0</v>
      </c>
      <c r="Q655">
        <v>569</v>
      </c>
      <c r="R655">
        <v>0.45</v>
      </c>
      <c r="S655" t="s">
        <v>47</v>
      </c>
      <c r="T655" s="1">
        <v>45120</v>
      </c>
      <c r="U655">
        <v>0</v>
      </c>
    </row>
    <row r="656" spans="1:21" x14ac:dyDescent="0.25">
      <c r="A656" t="s">
        <v>703</v>
      </c>
      <c r="B656">
        <v>48</v>
      </c>
      <c r="C656" t="s">
        <v>29</v>
      </c>
      <c r="D656" t="s">
        <v>35</v>
      </c>
      <c r="E656" t="s">
        <v>31</v>
      </c>
      <c r="F656" t="s">
        <v>42</v>
      </c>
      <c r="G656">
        <v>3184.91</v>
      </c>
      <c r="H656">
        <v>959.04</v>
      </c>
      <c r="I656">
        <v>27511.45</v>
      </c>
      <c r="J656" t="s">
        <v>37</v>
      </c>
      <c r="K656" t="s">
        <v>38</v>
      </c>
      <c r="L656">
        <v>0</v>
      </c>
      <c r="M656">
        <v>0</v>
      </c>
      <c r="N656">
        <v>0</v>
      </c>
      <c r="O656">
        <v>0</v>
      </c>
      <c r="P656">
        <v>0</v>
      </c>
      <c r="Q656">
        <v>510</v>
      </c>
      <c r="R656">
        <v>0.72</v>
      </c>
      <c r="S656" t="s">
        <v>30</v>
      </c>
      <c r="T656" s="1">
        <v>44653</v>
      </c>
      <c r="U656">
        <v>0</v>
      </c>
    </row>
    <row r="657" spans="1:21" x14ac:dyDescent="0.25">
      <c r="A657" t="s">
        <v>704</v>
      </c>
      <c r="B657">
        <v>59</v>
      </c>
      <c r="C657" t="s">
        <v>21</v>
      </c>
      <c r="D657" t="s">
        <v>41</v>
      </c>
      <c r="E657" t="s">
        <v>31</v>
      </c>
      <c r="F657" t="s">
        <v>32</v>
      </c>
      <c r="G657">
        <v>2132.0700000000002</v>
      </c>
      <c r="H657">
        <v>1713.57</v>
      </c>
      <c r="I657">
        <v>3835.24</v>
      </c>
      <c r="J657" t="s">
        <v>37</v>
      </c>
      <c r="K657" t="s">
        <v>38</v>
      </c>
      <c r="L657">
        <v>0</v>
      </c>
      <c r="M657">
        <v>0</v>
      </c>
      <c r="N657">
        <v>0</v>
      </c>
      <c r="O657">
        <v>0</v>
      </c>
      <c r="P657">
        <v>0</v>
      </c>
      <c r="Q657">
        <v>354</v>
      </c>
      <c r="R657">
        <v>0.15</v>
      </c>
      <c r="S657" t="s">
        <v>30</v>
      </c>
      <c r="T657" s="1">
        <v>45388</v>
      </c>
      <c r="U657">
        <v>0</v>
      </c>
    </row>
    <row r="658" spans="1:21" x14ac:dyDescent="0.25">
      <c r="A658" t="s">
        <v>705</v>
      </c>
      <c r="B658">
        <v>38</v>
      </c>
      <c r="C658" t="s">
        <v>21</v>
      </c>
      <c r="D658" t="s">
        <v>41</v>
      </c>
      <c r="E658" t="s">
        <v>31</v>
      </c>
      <c r="F658" t="s">
        <v>24</v>
      </c>
      <c r="G658">
        <v>2784.76</v>
      </c>
      <c r="H658">
        <v>1919.02</v>
      </c>
      <c r="I658">
        <v>32887.269999999997</v>
      </c>
      <c r="J658" t="s">
        <v>25</v>
      </c>
      <c r="K658" t="s">
        <v>54</v>
      </c>
      <c r="L658">
        <v>213693.42</v>
      </c>
      <c r="M658">
        <v>300</v>
      </c>
      <c r="N658">
        <v>1499.45</v>
      </c>
      <c r="O658">
        <v>6.92</v>
      </c>
      <c r="P658">
        <v>0.54</v>
      </c>
      <c r="Q658">
        <v>682</v>
      </c>
      <c r="R658">
        <v>0.98</v>
      </c>
      <c r="S658" t="s">
        <v>39</v>
      </c>
      <c r="T658" s="1">
        <v>44870</v>
      </c>
      <c r="U658">
        <v>1</v>
      </c>
    </row>
    <row r="659" spans="1:21" x14ac:dyDescent="0.25">
      <c r="A659" t="s">
        <v>706</v>
      </c>
      <c r="B659">
        <v>55</v>
      </c>
      <c r="C659" t="s">
        <v>21</v>
      </c>
      <c r="D659" t="s">
        <v>56</v>
      </c>
      <c r="E659" t="s">
        <v>31</v>
      </c>
      <c r="F659" t="s">
        <v>42</v>
      </c>
      <c r="G659">
        <v>4614.38</v>
      </c>
      <c r="H659">
        <v>3050.37</v>
      </c>
      <c r="I659">
        <v>51705.33</v>
      </c>
      <c r="J659" t="s">
        <v>25</v>
      </c>
      <c r="K659" t="s">
        <v>54</v>
      </c>
      <c r="L659">
        <v>4734.6499999999996</v>
      </c>
      <c r="M659">
        <v>180</v>
      </c>
      <c r="N659">
        <v>54.41</v>
      </c>
      <c r="O659">
        <v>11.2</v>
      </c>
      <c r="P659">
        <v>0.01</v>
      </c>
      <c r="Q659">
        <v>676</v>
      </c>
      <c r="R659">
        <v>0.93</v>
      </c>
      <c r="S659" t="s">
        <v>30</v>
      </c>
      <c r="T659" s="1">
        <v>45753</v>
      </c>
      <c r="U659">
        <v>0</v>
      </c>
    </row>
    <row r="660" spans="1:21" x14ac:dyDescent="0.25">
      <c r="A660" t="s">
        <v>707</v>
      </c>
      <c r="B660">
        <v>48</v>
      </c>
      <c r="C660" t="s">
        <v>21</v>
      </c>
      <c r="D660" t="s">
        <v>41</v>
      </c>
      <c r="E660" t="s">
        <v>31</v>
      </c>
      <c r="F660" t="s">
        <v>23</v>
      </c>
      <c r="G660">
        <v>5831.46</v>
      </c>
      <c r="H660">
        <v>5069.8900000000003</v>
      </c>
      <c r="I660">
        <v>22593.65</v>
      </c>
      <c r="J660" t="s">
        <v>25</v>
      </c>
      <c r="K660" t="s">
        <v>33</v>
      </c>
      <c r="L660">
        <v>113322.29</v>
      </c>
      <c r="M660">
        <v>120</v>
      </c>
      <c r="N660">
        <v>1297.1500000000001</v>
      </c>
      <c r="O660">
        <v>6.68</v>
      </c>
      <c r="P660">
        <v>0.22</v>
      </c>
      <c r="Q660">
        <v>663</v>
      </c>
      <c r="R660">
        <v>0.32</v>
      </c>
      <c r="S660" t="s">
        <v>39</v>
      </c>
      <c r="T660" s="1">
        <v>44549</v>
      </c>
      <c r="U660">
        <v>0</v>
      </c>
    </row>
    <row r="661" spans="1:21" x14ac:dyDescent="0.25">
      <c r="A661" t="s">
        <v>708</v>
      </c>
      <c r="B661">
        <v>40</v>
      </c>
      <c r="C661" t="s">
        <v>21</v>
      </c>
      <c r="D661" t="s">
        <v>35</v>
      </c>
      <c r="E661" t="s">
        <v>31</v>
      </c>
      <c r="F661" t="s">
        <v>24</v>
      </c>
      <c r="G661">
        <v>2579.23</v>
      </c>
      <c r="H661">
        <v>924.02</v>
      </c>
      <c r="I661">
        <v>27262.37</v>
      </c>
      <c r="J661" t="s">
        <v>37</v>
      </c>
      <c r="K661" t="s">
        <v>38</v>
      </c>
      <c r="L661">
        <v>0</v>
      </c>
      <c r="M661">
        <v>0</v>
      </c>
      <c r="N661">
        <v>0</v>
      </c>
      <c r="O661">
        <v>0</v>
      </c>
      <c r="P661">
        <v>0</v>
      </c>
      <c r="Q661">
        <v>785</v>
      </c>
      <c r="R661">
        <v>0.88</v>
      </c>
      <c r="S661" t="s">
        <v>39</v>
      </c>
      <c r="T661" s="1">
        <v>45348</v>
      </c>
      <c r="U661">
        <v>0</v>
      </c>
    </row>
    <row r="662" spans="1:21" x14ac:dyDescent="0.25">
      <c r="A662" t="s">
        <v>709</v>
      </c>
      <c r="B662">
        <v>63</v>
      </c>
      <c r="C662" t="s">
        <v>21</v>
      </c>
      <c r="D662" t="s">
        <v>56</v>
      </c>
      <c r="E662" t="s">
        <v>49</v>
      </c>
      <c r="F662" t="s">
        <v>42</v>
      </c>
      <c r="G662">
        <v>4035.37</v>
      </c>
      <c r="H662">
        <v>3116.75</v>
      </c>
      <c r="I662">
        <v>23137.35</v>
      </c>
      <c r="J662" t="s">
        <v>25</v>
      </c>
      <c r="K662" t="s">
        <v>45</v>
      </c>
      <c r="L662">
        <v>246640.57</v>
      </c>
      <c r="M662">
        <v>360</v>
      </c>
      <c r="N662">
        <v>4730.33</v>
      </c>
      <c r="O662">
        <v>22.99</v>
      </c>
      <c r="P662">
        <v>1.17</v>
      </c>
      <c r="Q662">
        <v>749</v>
      </c>
      <c r="R662">
        <v>0.48</v>
      </c>
      <c r="S662" t="s">
        <v>39</v>
      </c>
      <c r="T662" s="1">
        <v>45583</v>
      </c>
      <c r="U662">
        <v>1</v>
      </c>
    </row>
    <row r="663" spans="1:21" x14ac:dyDescent="0.25">
      <c r="A663" t="s">
        <v>710</v>
      </c>
      <c r="B663">
        <v>25</v>
      </c>
      <c r="C663" t="s">
        <v>29</v>
      </c>
      <c r="D663" t="s">
        <v>41</v>
      </c>
      <c r="E663" t="s">
        <v>31</v>
      </c>
      <c r="F663" t="s">
        <v>23</v>
      </c>
      <c r="G663">
        <v>3713.5</v>
      </c>
      <c r="H663">
        <v>3142.6</v>
      </c>
      <c r="I663">
        <v>16757.36</v>
      </c>
      <c r="J663" t="s">
        <v>37</v>
      </c>
      <c r="K663" t="s">
        <v>38</v>
      </c>
      <c r="L663">
        <v>0</v>
      </c>
      <c r="M663">
        <v>0</v>
      </c>
      <c r="N663">
        <v>0</v>
      </c>
      <c r="O663">
        <v>0</v>
      </c>
      <c r="P663">
        <v>0</v>
      </c>
      <c r="Q663">
        <v>709</v>
      </c>
      <c r="R663">
        <v>0.38</v>
      </c>
      <c r="S663" t="s">
        <v>72</v>
      </c>
      <c r="T663" s="1">
        <v>44878</v>
      </c>
      <c r="U663">
        <v>0</v>
      </c>
    </row>
    <row r="664" spans="1:21" x14ac:dyDescent="0.25">
      <c r="A664" t="s">
        <v>711</v>
      </c>
      <c r="B664">
        <v>60</v>
      </c>
      <c r="C664" t="s">
        <v>29</v>
      </c>
      <c r="D664" t="s">
        <v>41</v>
      </c>
      <c r="E664" t="s">
        <v>31</v>
      </c>
      <c r="F664" t="s">
        <v>44</v>
      </c>
      <c r="G664">
        <v>4497.6499999999996</v>
      </c>
      <c r="H664">
        <v>2099.96</v>
      </c>
      <c r="I664">
        <v>30489.75</v>
      </c>
      <c r="J664" t="s">
        <v>37</v>
      </c>
      <c r="K664" t="s">
        <v>38</v>
      </c>
      <c r="L664">
        <v>0</v>
      </c>
      <c r="M664">
        <v>0</v>
      </c>
      <c r="N664">
        <v>0</v>
      </c>
      <c r="O664">
        <v>0</v>
      </c>
      <c r="P664">
        <v>0</v>
      </c>
      <c r="Q664">
        <v>495</v>
      </c>
      <c r="R664">
        <v>0.56000000000000005</v>
      </c>
      <c r="S664" t="s">
        <v>72</v>
      </c>
      <c r="T664" s="1">
        <v>45721</v>
      </c>
      <c r="U664">
        <v>0</v>
      </c>
    </row>
    <row r="665" spans="1:21" x14ac:dyDescent="0.25">
      <c r="A665" t="s">
        <v>712</v>
      </c>
      <c r="B665">
        <v>65</v>
      </c>
      <c r="C665" t="s">
        <v>29</v>
      </c>
      <c r="D665" t="s">
        <v>35</v>
      </c>
      <c r="E665" t="s">
        <v>49</v>
      </c>
      <c r="F665" t="s">
        <v>52</v>
      </c>
      <c r="G665">
        <v>4856.84</v>
      </c>
      <c r="H665">
        <v>4018.67</v>
      </c>
      <c r="I665">
        <v>6457.57</v>
      </c>
      <c r="J665" t="s">
        <v>37</v>
      </c>
      <c r="K665" t="s">
        <v>38</v>
      </c>
      <c r="L665">
        <v>0</v>
      </c>
      <c r="M665">
        <v>0</v>
      </c>
      <c r="N665">
        <v>0</v>
      </c>
      <c r="O665">
        <v>0</v>
      </c>
      <c r="P665">
        <v>0</v>
      </c>
      <c r="Q665">
        <v>645</v>
      </c>
      <c r="R665">
        <v>0.11</v>
      </c>
      <c r="S665" t="s">
        <v>47</v>
      </c>
      <c r="T665" s="1">
        <v>45472</v>
      </c>
      <c r="U665">
        <v>0</v>
      </c>
    </row>
    <row r="666" spans="1:21" x14ac:dyDescent="0.25">
      <c r="A666" t="s">
        <v>713</v>
      </c>
      <c r="B666">
        <v>69</v>
      </c>
      <c r="C666" t="s">
        <v>29</v>
      </c>
      <c r="D666" t="s">
        <v>41</v>
      </c>
      <c r="E666" t="s">
        <v>31</v>
      </c>
      <c r="F666" t="s">
        <v>52</v>
      </c>
      <c r="G666">
        <v>5295.38</v>
      </c>
      <c r="H666">
        <v>2113.73</v>
      </c>
      <c r="I666">
        <v>56723.63</v>
      </c>
      <c r="J666" t="s">
        <v>37</v>
      </c>
      <c r="K666" t="s">
        <v>38</v>
      </c>
      <c r="L666">
        <v>0</v>
      </c>
      <c r="M666">
        <v>0</v>
      </c>
      <c r="N666">
        <v>0</v>
      </c>
      <c r="O666">
        <v>0</v>
      </c>
      <c r="P666">
        <v>0</v>
      </c>
      <c r="Q666">
        <v>658</v>
      </c>
      <c r="R666">
        <v>0.89</v>
      </c>
      <c r="S666" t="s">
        <v>30</v>
      </c>
      <c r="T666" s="1">
        <v>44729</v>
      </c>
      <c r="U666">
        <v>0</v>
      </c>
    </row>
    <row r="667" spans="1:21" x14ac:dyDescent="0.25">
      <c r="A667" t="s">
        <v>714</v>
      </c>
      <c r="B667">
        <v>41</v>
      </c>
      <c r="C667" t="s">
        <v>29</v>
      </c>
      <c r="D667" t="s">
        <v>41</v>
      </c>
      <c r="E667" t="s">
        <v>51</v>
      </c>
      <c r="F667" t="s">
        <v>44</v>
      </c>
      <c r="G667">
        <v>1454.19</v>
      </c>
      <c r="H667">
        <v>545.94000000000005</v>
      </c>
      <c r="I667">
        <v>11790.24</v>
      </c>
      <c r="J667" t="s">
        <v>25</v>
      </c>
      <c r="K667" t="s">
        <v>45</v>
      </c>
      <c r="L667">
        <v>57849.47</v>
      </c>
      <c r="M667">
        <v>60</v>
      </c>
      <c r="N667">
        <v>1272.26</v>
      </c>
      <c r="O667">
        <v>11.5</v>
      </c>
      <c r="P667">
        <v>0.87</v>
      </c>
      <c r="Q667">
        <v>676</v>
      </c>
      <c r="R667">
        <v>0.68</v>
      </c>
      <c r="S667" t="s">
        <v>30</v>
      </c>
      <c r="T667" s="1">
        <v>45295</v>
      </c>
      <c r="U667">
        <v>1</v>
      </c>
    </row>
    <row r="668" spans="1:21" x14ac:dyDescent="0.25">
      <c r="A668" t="s">
        <v>715</v>
      </c>
      <c r="B668">
        <v>38</v>
      </c>
      <c r="C668" t="s">
        <v>21</v>
      </c>
      <c r="D668" t="s">
        <v>41</v>
      </c>
      <c r="E668" t="s">
        <v>31</v>
      </c>
      <c r="F668" t="s">
        <v>23</v>
      </c>
      <c r="G668">
        <v>3277.46</v>
      </c>
      <c r="H668">
        <v>2181.0500000000002</v>
      </c>
      <c r="I668">
        <v>36800.46</v>
      </c>
      <c r="J668" t="s">
        <v>25</v>
      </c>
      <c r="K668" t="s">
        <v>26</v>
      </c>
      <c r="L668">
        <v>114017.25</v>
      </c>
      <c r="M668">
        <v>120</v>
      </c>
      <c r="N668">
        <v>1475.98</v>
      </c>
      <c r="O668">
        <v>9.51</v>
      </c>
      <c r="P668">
        <v>0.45</v>
      </c>
      <c r="Q668">
        <v>571</v>
      </c>
      <c r="R668">
        <v>0.94</v>
      </c>
      <c r="S668" t="s">
        <v>30</v>
      </c>
      <c r="T668" s="1">
        <v>44801</v>
      </c>
      <c r="U668">
        <v>1</v>
      </c>
    </row>
    <row r="669" spans="1:21" x14ac:dyDescent="0.25">
      <c r="A669" t="s">
        <v>716</v>
      </c>
      <c r="B669">
        <v>18</v>
      </c>
      <c r="C669" t="s">
        <v>21</v>
      </c>
      <c r="D669" t="s">
        <v>22</v>
      </c>
      <c r="E669" t="s">
        <v>31</v>
      </c>
      <c r="F669" t="s">
        <v>36</v>
      </c>
      <c r="G669">
        <v>2424.14</v>
      </c>
      <c r="H669">
        <v>1969.19</v>
      </c>
      <c r="I669">
        <v>20784.61</v>
      </c>
      <c r="J669" t="s">
        <v>37</v>
      </c>
      <c r="K669" t="s">
        <v>38</v>
      </c>
      <c r="L669">
        <v>0</v>
      </c>
      <c r="M669">
        <v>0</v>
      </c>
      <c r="N669">
        <v>0</v>
      </c>
      <c r="O669">
        <v>0</v>
      </c>
      <c r="P669">
        <v>0</v>
      </c>
      <c r="Q669">
        <v>786</v>
      </c>
      <c r="R669">
        <v>0.71</v>
      </c>
      <c r="S669" t="s">
        <v>30</v>
      </c>
      <c r="T669" s="1">
        <v>44737</v>
      </c>
      <c r="U669">
        <v>0</v>
      </c>
    </row>
    <row r="670" spans="1:21" x14ac:dyDescent="0.25">
      <c r="A670" t="s">
        <v>717</v>
      </c>
      <c r="B670">
        <v>31</v>
      </c>
      <c r="C670" t="s">
        <v>21</v>
      </c>
      <c r="D670" t="s">
        <v>35</v>
      </c>
      <c r="E670" t="s">
        <v>31</v>
      </c>
      <c r="F670" t="s">
        <v>36</v>
      </c>
      <c r="G670">
        <v>3385.53</v>
      </c>
      <c r="H670">
        <v>2363.8000000000002</v>
      </c>
      <c r="I670">
        <v>24199.21</v>
      </c>
      <c r="J670" t="s">
        <v>37</v>
      </c>
      <c r="K670" t="s">
        <v>38</v>
      </c>
      <c r="L670">
        <v>0</v>
      </c>
      <c r="M670">
        <v>0</v>
      </c>
      <c r="N670">
        <v>0</v>
      </c>
      <c r="O670">
        <v>0</v>
      </c>
      <c r="P670">
        <v>0</v>
      </c>
      <c r="Q670">
        <v>640</v>
      </c>
      <c r="R670">
        <v>0.6</v>
      </c>
      <c r="S670" t="s">
        <v>27</v>
      </c>
      <c r="T670" s="1">
        <v>44555</v>
      </c>
      <c r="U670">
        <v>0</v>
      </c>
    </row>
    <row r="671" spans="1:21" x14ac:dyDescent="0.25">
      <c r="A671" t="s">
        <v>718</v>
      </c>
      <c r="B671">
        <v>52</v>
      </c>
      <c r="C671" t="s">
        <v>21</v>
      </c>
      <c r="D671" t="s">
        <v>41</v>
      </c>
      <c r="E671" t="s">
        <v>51</v>
      </c>
      <c r="F671" t="s">
        <v>44</v>
      </c>
      <c r="G671">
        <v>4415.6400000000003</v>
      </c>
      <c r="H671">
        <v>3970.64</v>
      </c>
      <c r="I671">
        <v>24145.79</v>
      </c>
      <c r="J671" t="s">
        <v>37</v>
      </c>
      <c r="K671" t="s">
        <v>38</v>
      </c>
      <c r="L671">
        <v>0</v>
      </c>
      <c r="M671">
        <v>0</v>
      </c>
      <c r="N671">
        <v>0</v>
      </c>
      <c r="O671">
        <v>0</v>
      </c>
      <c r="P671">
        <v>0</v>
      </c>
      <c r="Q671">
        <v>326</v>
      </c>
      <c r="R671">
        <v>0.46</v>
      </c>
      <c r="S671" t="s">
        <v>27</v>
      </c>
      <c r="T671" s="1">
        <v>45231</v>
      </c>
      <c r="U671">
        <v>0</v>
      </c>
    </row>
    <row r="672" spans="1:21" x14ac:dyDescent="0.25">
      <c r="A672" t="s">
        <v>719</v>
      </c>
      <c r="B672">
        <v>29</v>
      </c>
      <c r="C672" t="s">
        <v>29</v>
      </c>
      <c r="D672" t="s">
        <v>41</v>
      </c>
      <c r="E672" t="s">
        <v>31</v>
      </c>
      <c r="F672" t="s">
        <v>36</v>
      </c>
      <c r="G672">
        <v>3055.61</v>
      </c>
      <c r="H672">
        <v>2307.6799999999998</v>
      </c>
      <c r="I672">
        <v>27862.58</v>
      </c>
      <c r="J672" t="s">
        <v>37</v>
      </c>
      <c r="K672" t="s">
        <v>38</v>
      </c>
      <c r="L672">
        <v>0</v>
      </c>
      <c r="M672">
        <v>0</v>
      </c>
      <c r="N672">
        <v>0</v>
      </c>
      <c r="O672">
        <v>0</v>
      </c>
      <c r="P672">
        <v>0</v>
      </c>
      <c r="Q672">
        <v>464</v>
      </c>
      <c r="R672">
        <v>0.76</v>
      </c>
      <c r="S672" t="s">
        <v>47</v>
      </c>
      <c r="T672" s="1">
        <v>44518</v>
      </c>
      <c r="U672">
        <v>0</v>
      </c>
    </row>
    <row r="673" spans="1:21" x14ac:dyDescent="0.25">
      <c r="A673" t="s">
        <v>720</v>
      </c>
      <c r="B673">
        <v>30</v>
      </c>
      <c r="C673" t="s">
        <v>21</v>
      </c>
      <c r="D673" t="s">
        <v>22</v>
      </c>
      <c r="E673" t="s">
        <v>31</v>
      </c>
      <c r="F673" t="s">
        <v>52</v>
      </c>
      <c r="G673">
        <v>3057.12</v>
      </c>
      <c r="H673">
        <v>1649.71</v>
      </c>
      <c r="I673">
        <v>6681.15</v>
      </c>
      <c r="J673" t="s">
        <v>37</v>
      </c>
      <c r="K673" t="s">
        <v>38</v>
      </c>
      <c r="L673">
        <v>0</v>
      </c>
      <c r="M673">
        <v>0</v>
      </c>
      <c r="N673">
        <v>0</v>
      </c>
      <c r="O673">
        <v>0</v>
      </c>
      <c r="P673">
        <v>0</v>
      </c>
      <c r="Q673">
        <v>363</v>
      </c>
      <c r="R673">
        <v>0.18</v>
      </c>
      <c r="S673" t="s">
        <v>27</v>
      </c>
      <c r="T673" s="1">
        <v>45652</v>
      </c>
      <c r="U673">
        <v>0</v>
      </c>
    </row>
    <row r="674" spans="1:21" x14ac:dyDescent="0.25">
      <c r="A674" t="s">
        <v>721</v>
      </c>
      <c r="B674">
        <v>47</v>
      </c>
      <c r="C674" t="s">
        <v>29</v>
      </c>
      <c r="D674" t="s">
        <v>41</v>
      </c>
      <c r="E674" t="s">
        <v>31</v>
      </c>
      <c r="F674" t="s">
        <v>32</v>
      </c>
      <c r="G674">
        <v>7972.09</v>
      </c>
      <c r="H674">
        <v>5966.7</v>
      </c>
      <c r="I674">
        <v>66262.86</v>
      </c>
      <c r="J674" t="s">
        <v>37</v>
      </c>
      <c r="K674" t="s">
        <v>38</v>
      </c>
      <c r="L674">
        <v>0</v>
      </c>
      <c r="M674">
        <v>0</v>
      </c>
      <c r="N674">
        <v>0</v>
      </c>
      <c r="O674">
        <v>0</v>
      </c>
      <c r="P674">
        <v>0</v>
      </c>
      <c r="Q674">
        <v>765</v>
      </c>
      <c r="R674">
        <v>0.69</v>
      </c>
      <c r="S674" t="s">
        <v>39</v>
      </c>
      <c r="T674" s="1">
        <v>44823</v>
      </c>
      <c r="U674">
        <v>0</v>
      </c>
    </row>
    <row r="675" spans="1:21" x14ac:dyDescent="0.25">
      <c r="A675" t="s">
        <v>722</v>
      </c>
      <c r="B675">
        <v>49</v>
      </c>
      <c r="C675" t="s">
        <v>29</v>
      </c>
      <c r="D675" t="s">
        <v>41</v>
      </c>
      <c r="E675" t="s">
        <v>51</v>
      </c>
      <c r="F675" t="s">
        <v>32</v>
      </c>
      <c r="G675">
        <v>3894.9</v>
      </c>
      <c r="H675">
        <v>1311.21</v>
      </c>
      <c r="I675">
        <v>24817.82</v>
      </c>
      <c r="J675" t="s">
        <v>37</v>
      </c>
      <c r="K675" t="s">
        <v>38</v>
      </c>
      <c r="L675">
        <v>0</v>
      </c>
      <c r="M675">
        <v>0</v>
      </c>
      <c r="N675">
        <v>0</v>
      </c>
      <c r="O675">
        <v>0</v>
      </c>
      <c r="P675">
        <v>0</v>
      </c>
      <c r="Q675">
        <v>326</v>
      </c>
      <c r="R675">
        <v>0.53</v>
      </c>
      <c r="S675" t="s">
        <v>30</v>
      </c>
      <c r="T675" s="1">
        <v>44830</v>
      </c>
      <c r="U675">
        <v>0</v>
      </c>
    </row>
    <row r="676" spans="1:21" x14ac:dyDescent="0.25">
      <c r="A676" t="s">
        <v>723</v>
      </c>
      <c r="B676">
        <v>64</v>
      </c>
      <c r="C676" t="s">
        <v>21</v>
      </c>
      <c r="D676" t="s">
        <v>41</v>
      </c>
      <c r="E676" t="s">
        <v>31</v>
      </c>
      <c r="F676" t="s">
        <v>32</v>
      </c>
      <c r="G676">
        <v>7605.96</v>
      </c>
      <c r="H676">
        <v>5703.53</v>
      </c>
      <c r="I676">
        <v>53277.33</v>
      </c>
      <c r="J676" t="s">
        <v>25</v>
      </c>
      <c r="K676" t="s">
        <v>54</v>
      </c>
      <c r="L676">
        <v>172519.2</v>
      </c>
      <c r="M676">
        <v>240</v>
      </c>
      <c r="N676">
        <v>2951.12</v>
      </c>
      <c r="O676">
        <v>20.149999999999999</v>
      </c>
      <c r="P676">
        <v>0.39</v>
      </c>
      <c r="Q676">
        <v>691</v>
      </c>
      <c r="R676">
        <v>0.57999999999999996</v>
      </c>
      <c r="S676" t="s">
        <v>47</v>
      </c>
      <c r="T676" s="1">
        <v>45544</v>
      </c>
      <c r="U676">
        <v>0</v>
      </c>
    </row>
    <row r="677" spans="1:21" x14ac:dyDescent="0.25">
      <c r="A677" t="s">
        <v>724</v>
      </c>
      <c r="B677">
        <v>54</v>
      </c>
      <c r="C677" t="s">
        <v>29</v>
      </c>
      <c r="D677" t="s">
        <v>35</v>
      </c>
      <c r="E677" t="s">
        <v>49</v>
      </c>
      <c r="F677" t="s">
        <v>52</v>
      </c>
      <c r="G677">
        <v>3430.84</v>
      </c>
      <c r="H677">
        <v>1099.83</v>
      </c>
      <c r="I677">
        <v>11220.29</v>
      </c>
      <c r="J677" t="s">
        <v>37</v>
      </c>
      <c r="K677" t="s">
        <v>38</v>
      </c>
      <c r="L677">
        <v>0</v>
      </c>
      <c r="M677">
        <v>0</v>
      </c>
      <c r="N677">
        <v>0</v>
      </c>
      <c r="O677">
        <v>0</v>
      </c>
      <c r="P677">
        <v>0</v>
      </c>
      <c r="Q677">
        <v>407</v>
      </c>
      <c r="R677">
        <v>0.27</v>
      </c>
      <c r="S677" t="s">
        <v>30</v>
      </c>
      <c r="T677" s="1">
        <v>44789</v>
      </c>
      <c r="U677">
        <v>0</v>
      </c>
    </row>
    <row r="678" spans="1:21" x14ac:dyDescent="0.25">
      <c r="A678" t="s">
        <v>725</v>
      </c>
      <c r="B678">
        <v>40</v>
      </c>
      <c r="C678" t="s">
        <v>29</v>
      </c>
      <c r="D678" t="s">
        <v>41</v>
      </c>
      <c r="E678" t="s">
        <v>31</v>
      </c>
      <c r="F678" t="s">
        <v>36</v>
      </c>
      <c r="G678">
        <v>5435.33</v>
      </c>
      <c r="H678">
        <v>1936.22</v>
      </c>
      <c r="I678">
        <v>20659.310000000001</v>
      </c>
      <c r="J678" t="s">
        <v>37</v>
      </c>
      <c r="K678" t="s">
        <v>38</v>
      </c>
      <c r="L678">
        <v>0</v>
      </c>
      <c r="M678">
        <v>0</v>
      </c>
      <c r="N678">
        <v>0</v>
      </c>
      <c r="O678">
        <v>0</v>
      </c>
      <c r="P678">
        <v>0</v>
      </c>
      <c r="Q678">
        <v>594</v>
      </c>
      <c r="R678">
        <v>0.32</v>
      </c>
      <c r="S678" t="s">
        <v>27</v>
      </c>
      <c r="T678" s="1">
        <v>45459</v>
      </c>
      <c r="U678">
        <v>0</v>
      </c>
    </row>
    <row r="679" spans="1:21" x14ac:dyDescent="0.25">
      <c r="A679" t="s">
        <v>726</v>
      </c>
      <c r="B679">
        <v>19</v>
      </c>
      <c r="C679" t="s">
        <v>29</v>
      </c>
      <c r="D679" t="s">
        <v>41</v>
      </c>
      <c r="E679" t="s">
        <v>51</v>
      </c>
      <c r="F679" t="s">
        <v>52</v>
      </c>
      <c r="G679">
        <v>4936.03</v>
      </c>
      <c r="H679">
        <v>2972.35</v>
      </c>
      <c r="I679">
        <v>54838.11</v>
      </c>
      <c r="J679" t="s">
        <v>25</v>
      </c>
      <c r="K679" t="s">
        <v>45</v>
      </c>
      <c r="L679">
        <v>434290.73</v>
      </c>
      <c r="M679">
        <v>360</v>
      </c>
      <c r="N679">
        <v>8419.2000000000007</v>
      </c>
      <c r="O679">
        <v>23.24</v>
      </c>
      <c r="P679">
        <v>1.71</v>
      </c>
      <c r="Q679">
        <v>493</v>
      </c>
      <c r="R679">
        <v>0.93</v>
      </c>
      <c r="S679" t="s">
        <v>27</v>
      </c>
      <c r="T679" s="1">
        <v>45860</v>
      </c>
      <c r="U679">
        <v>1</v>
      </c>
    </row>
    <row r="680" spans="1:21" x14ac:dyDescent="0.25">
      <c r="A680" t="s">
        <v>727</v>
      </c>
      <c r="B680">
        <v>29</v>
      </c>
      <c r="C680" t="s">
        <v>21</v>
      </c>
      <c r="D680" t="s">
        <v>22</v>
      </c>
      <c r="E680" t="s">
        <v>51</v>
      </c>
      <c r="F680" t="s">
        <v>52</v>
      </c>
      <c r="G680">
        <v>4035.47</v>
      </c>
      <c r="H680">
        <v>2146.94</v>
      </c>
      <c r="I680">
        <v>36230.660000000003</v>
      </c>
      <c r="J680" t="s">
        <v>37</v>
      </c>
      <c r="K680" t="s">
        <v>38</v>
      </c>
      <c r="L680">
        <v>0</v>
      </c>
      <c r="M680">
        <v>0</v>
      </c>
      <c r="N680">
        <v>0</v>
      </c>
      <c r="O680">
        <v>0</v>
      </c>
      <c r="P680">
        <v>0</v>
      </c>
      <c r="Q680">
        <v>586</v>
      </c>
      <c r="R680">
        <v>0.75</v>
      </c>
      <c r="S680" t="s">
        <v>72</v>
      </c>
      <c r="T680" s="1">
        <v>44444</v>
      </c>
      <c r="U680">
        <v>0</v>
      </c>
    </row>
    <row r="681" spans="1:21" x14ac:dyDescent="0.25">
      <c r="A681" t="s">
        <v>728</v>
      </c>
      <c r="B681">
        <v>50</v>
      </c>
      <c r="C681" t="s">
        <v>21</v>
      </c>
      <c r="D681" t="s">
        <v>30</v>
      </c>
      <c r="E681" t="s">
        <v>31</v>
      </c>
      <c r="F681" t="s">
        <v>63</v>
      </c>
      <c r="G681">
        <v>4310.91</v>
      </c>
      <c r="H681">
        <v>1357.68</v>
      </c>
      <c r="I681">
        <v>29932.68</v>
      </c>
      <c r="J681" t="s">
        <v>25</v>
      </c>
      <c r="K681" t="s">
        <v>45</v>
      </c>
      <c r="L681">
        <v>173197.67</v>
      </c>
      <c r="M681">
        <v>36</v>
      </c>
      <c r="N681">
        <v>6252.83</v>
      </c>
      <c r="O681">
        <v>17.899999999999999</v>
      </c>
      <c r="P681">
        <v>1.45</v>
      </c>
      <c r="Q681">
        <v>386</v>
      </c>
      <c r="R681">
        <v>0.57999999999999996</v>
      </c>
      <c r="S681" t="s">
        <v>30</v>
      </c>
      <c r="T681" s="1">
        <v>45168</v>
      </c>
      <c r="U681">
        <v>1</v>
      </c>
    </row>
    <row r="682" spans="1:21" x14ac:dyDescent="0.25">
      <c r="A682" t="s">
        <v>729</v>
      </c>
      <c r="B682">
        <v>24</v>
      </c>
      <c r="C682" t="s">
        <v>21</v>
      </c>
      <c r="D682" t="s">
        <v>22</v>
      </c>
      <c r="E682" t="s">
        <v>49</v>
      </c>
      <c r="F682" t="s">
        <v>24</v>
      </c>
      <c r="G682">
        <v>5589.64</v>
      </c>
      <c r="H682">
        <v>1926.14</v>
      </c>
      <c r="I682">
        <v>60386.89</v>
      </c>
      <c r="J682" t="s">
        <v>37</v>
      </c>
      <c r="K682" t="s">
        <v>38</v>
      </c>
      <c r="L682">
        <v>0</v>
      </c>
      <c r="M682">
        <v>0</v>
      </c>
      <c r="N682">
        <v>0</v>
      </c>
      <c r="O682">
        <v>0</v>
      </c>
      <c r="P682">
        <v>0</v>
      </c>
      <c r="Q682">
        <v>330</v>
      </c>
      <c r="R682">
        <v>0.9</v>
      </c>
      <c r="S682" t="s">
        <v>30</v>
      </c>
      <c r="T682" s="1">
        <v>45423</v>
      </c>
      <c r="U682">
        <v>0</v>
      </c>
    </row>
    <row r="683" spans="1:21" x14ac:dyDescent="0.25">
      <c r="A683" t="s">
        <v>730</v>
      </c>
      <c r="B683">
        <v>23</v>
      </c>
      <c r="C683" t="s">
        <v>29</v>
      </c>
      <c r="D683" t="s">
        <v>22</v>
      </c>
      <c r="E683" t="s">
        <v>31</v>
      </c>
      <c r="F683" t="s">
        <v>42</v>
      </c>
      <c r="G683">
        <v>3971.99</v>
      </c>
      <c r="H683">
        <v>2795.56</v>
      </c>
      <c r="I683">
        <v>9609.08</v>
      </c>
      <c r="J683" t="s">
        <v>37</v>
      </c>
      <c r="K683" t="s">
        <v>38</v>
      </c>
      <c r="L683">
        <v>0</v>
      </c>
      <c r="M683">
        <v>0</v>
      </c>
      <c r="N683">
        <v>0</v>
      </c>
      <c r="O683">
        <v>0</v>
      </c>
      <c r="P683">
        <v>0</v>
      </c>
      <c r="Q683">
        <v>847</v>
      </c>
      <c r="R683">
        <v>0.2</v>
      </c>
      <c r="S683" t="s">
        <v>39</v>
      </c>
      <c r="T683" s="1">
        <v>45519</v>
      </c>
      <c r="U683">
        <v>0</v>
      </c>
    </row>
    <row r="684" spans="1:21" x14ac:dyDescent="0.25">
      <c r="A684" t="s">
        <v>731</v>
      </c>
      <c r="B684">
        <v>18</v>
      </c>
      <c r="C684" t="s">
        <v>30</v>
      </c>
      <c r="D684" t="s">
        <v>35</v>
      </c>
      <c r="E684" t="s">
        <v>31</v>
      </c>
      <c r="F684" t="s">
        <v>52</v>
      </c>
      <c r="G684">
        <v>2038.89</v>
      </c>
      <c r="H684">
        <v>1462.49</v>
      </c>
      <c r="I684">
        <v>21625.57</v>
      </c>
      <c r="J684" t="s">
        <v>37</v>
      </c>
      <c r="K684" t="s">
        <v>38</v>
      </c>
      <c r="L684">
        <v>0</v>
      </c>
      <c r="M684">
        <v>0</v>
      </c>
      <c r="N684">
        <v>0</v>
      </c>
      <c r="O684">
        <v>0</v>
      </c>
      <c r="P684">
        <v>0</v>
      </c>
      <c r="Q684">
        <v>718</v>
      </c>
      <c r="R684">
        <v>0.88</v>
      </c>
      <c r="S684" t="s">
        <v>47</v>
      </c>
      <c r="T684" s="1">
        <v>45771</v>
      </c>
      <c r="U684">
        <v>0</v>
      </c>
    </row>
    <row r="685" spans="1:21" x14ac:dyDescent="0.25">
      <c r="A685" t="s">
        <v>732</v>
      </c>
      <c r="B685">
        <v>34</v>
      </c>
      <c r="C685" t="s">
        <v>21</v>
      </c>
      <c r="D685" t="s">
        <v>41</v>
      </c>
      <c r="E685" t="s">
        <v>31</v>
      </c>
      <c r="F685" t="s">
        <v>52</v>
      </c>
      <c r="G685">
        <v>1848.11</v>
      </c>
      <c r="H685">
        <v>607.36</v>
      </c>
      <c r="I685">
        <v>7571.44</v>
      </c>
      <c r="J685" t="s">
        <v>37</v>
      </c>
      <c r="K685" t="s">
        <v>38</v>
      </c>
      <c r="L685">
        <v>0</v>
      </c>
      <c r="M685">
        <v>0</v>
      </c>
      <c r="N685">
        <v>0</v>
      </c>
      <c r="O685">
        <v>0</v>
      </c>
      <c r="P685">
        <v>0</v>
      </c>
      <c r="Q685">
        <v>464</v>
      </c>
      <c r="R685">
        <v>0.34</v>
      </c>
      <c r="S685" t="s">
        <v>39</v>
      </c>
      <c r="T685" s="1">
        <v>45790</v>
      </c>
      <c r="U685">
        <v>0</v>
      </c>
    </row>
    <row r="686" spans="1:21" x14ac:dyDescent="0.25">
      <c r="A686" t="s">
        <v>733</v>
      </c>
      <c r="B686">
        <v>24</v>
      </c>
      <c r="C686" t="s">
        <v>29</v>
      </c>
      <c r="D686" t="s">
        <v>35</v>
      </c>
      <c r="E686" t="s">
        <v>31</v>
      </c>
      <c r="F686" t="s">
        <v>63</v>
      </c>
      <c r="G686">
        <v>8123.77</v>
      </c>
      <c r="H686">
        <v>6864.3</v>
      </c>
      <c r="I686">
        <v>56328.79</v>
      </c>
      <c r="J686" t="s">
        <v>25</v>
      </c>
      <c r="K686" t="s">
        <v>54</v>
      </c>
      <c r="L686">
        <v>321268.77</v>
      </c>
      <c r="M686">
        <v>300</v>
      </c>
      <c r="N686">
        <v>5475.69</v>
      </c>
      <c r="O686">
        <v>20.32</v>
      </c>
      <c r="P686">
        <v>0.67</v>
      </c>
      <c r="Q686">
        <v>399</v>
      </c>
      <c r="R686">
        <v>0.57999999999999996</v>
      </c>
      <c r="S686" t="s">
        <v>39</v>
      </c>
      <c r="T686" s="1">
        <v>45475</v>
      </c>
      <c r="U686">
        <v>1</v>
      </c>
    </row>
    <row r="687" spans="1:21" x14ac:dyDescent="0.25">
      <c r="A687" t="s">
        <v>734</v>
      </c>
      <c r="B687">
        <v>48</v>
      </c>
      <c r="C687" t="s">
        <v>21</v>
      </c>
      <c r="D687" t="s">
        <v>41</v>
      </c>
      <c r="E687" t="s">
        <v>51</v>
      </c>
      <c r="F687" t="s">
        <v>32</v>
      </c>
      <c r="G687">
        <v>7344.02</v>
      </c>
      <c r="H687">
        <v>4495.8900000000003</v>
      </c>
      <c r="I687">
        <v>78361.42</v>
      </c>
      <c r="J687" t="s">
        <v>37</v>
      </c>
      <c r="K687" t="s">
        <v>38</v>
      </c>
      <c r="L687">
        <v>0</v>
      </c>
      <c r="M687">
        <v>0</v>
      </c>
      <c r="N687">
        <v>0</v>
      </c>
      <c r="O687">
        <v>0</v>
      </c>
      <c r="P687">
        <v>0</v>
      </c>
      <c r="Q687">
        <v>467</v>
      </c>
      <c r="R687">
        <v>0.89</v>
      </c>
      <c r="S687" t="s">
        <v>72</v>
      </c>
      <c r="T687" s="1">
        <v>45060</v>
      </c>
      <c r="U687">
        <v>0</v>
      </c>
    </row>
    <row r="688" spans="1:21" x14ac:dyDescent="0.25">
      <c r="A688" t="s">
        <v>735</v>
      </c>
      <c r="B688">
        <v>39</v>
      </c>
      <c r="C688" t="s">
        <v>29</v>
      </c>
      <c r="D688" t="s">
        <v>35</v>
      </c>
      <c r="E688" t="s">
        <v>49</v>
      </c>
      <c r="F688" t="s">
        <v>52</v>
      </c>
      <c r="G688">
        <v>2373.19</v>
      </c>
      <c r="H688">
        <v>1263.3900000000001</v>
      </c>
      <c r="I688">
        <v>11114.07</v>
      </c>
      <c r="J688" t="s">
        <v>37</v>
      </c>
      <c r="K688" t="s">
        <v>38</v>
      </c>
      <c r="L688">
        <v>0</v>
      </c>
      <c r="M688">
        <v>0</v>
      </c>
      <c r="N688">
        <v>0</v>
      </c>
      <c r="O688">
        <v>0</v>
      </c>
      <c r="P688">
        <v>0</v>
      </c>
      <c r="Q688">
        <v>731</v>
      </c>
      <c r="R688">
        <v>0.39</v>
      </c>
      <c r="S688" t="s">
        <v>27</v>
      </c>
      <c r="T688" s="1">
        <v>45214</v>
      </c>
      <c r="U688">
        <v>0</v>
      </c>
    </row>
    <row r="689" spans="1:21" x14ac:dyDescent="0.25">
      <c r="A689" t="s">
        <v>736</v>
      </c>
      <c r="B689">
        <v>19</v>
      </c>
      <c r="C689" t="s">
        <v>21</v>
      </c>
      <c r="D689" t="s">
        <v>35</v>
      </c>
      <c r="E689" t="s">
        <v>49</v>
      </c>
      <c r="F689" t="s">
        <v>63</v>
      </c>
      <c r="G689">
        <v>7419.97</v>
      </c>
      <c r="H689">
        <v>3678.22</v>
      </c>
      <c r="I689">
        <v>82325.56</v>
      </c>
      <c r="J689" t="s">
        <v>25</v>
      </c>
      <c r="K689" t="s">
        <v>26</v>
      </c>
      <c r="L689">
        <v>40548.82</v>
      </c>
      <c r="M689">
        <v>36</v>
      </c>
      <c r="N689">
        <v>1241.8599999999999</v>
      </c>
      <c r="O689">
        <v>6.45</v>
      </c>
      <c r="P689">
        <v>0.17</v>
      </c>
      <c r="Q689">
        <v>418</v>
      </c>
      <c r="R689">
        <v>0.92</v>
      </c>
      <c r="S689" t="s">
        <v>39</v>
      </c>
      <c r="T689" s="1">
        <v>45597</v>
      </c>
      <c r="U689">
        <v>0</v>
      </c>
    </row>
    <row r="690" spans="1:21" x14ac:dyDescent="0.25">
      <c r="A690" t="s">
        <v>737</v>
      </c>
      <c r="B690">
        <v>69</v>
      </c>
      <c r="C690" t="s">
        <v>21</v>
      </c>
      <c r="D690" t="s">
        <v>41</v>
      </c>
      <c r="E690" t="s">
        <v>31</v>
      </c>
      <c r="F690" t="s">
        <v>63</v>
      </c>
      <c r="G690">
        <v>3087.53</v>
      </c>
      <c r="H690">
        <v>1845.79</v>
      </c>
      <c r="I690">
        <v>5482.2</v>
      </c>
      <c r="J690" t="s">
        <v>25</v>
      </c>
      <c r="K690" t="s">
        <v>45</v>
      </c>
      <c r="L690">
        <v>482820.87</v>
      </c>
      <c r="M690">
        <v>120</v>
      </c>
      <c r="N690">
        <v>4763.12</v>
      </c>
      <c r="O690">
        <v>3.45</v>
      </c>
      <c r="P690">
        <v>1.54</v>
      </c>
      <c r="Q690">
        <v>338</v>
      </c>
      <c r="R690">
        <v>0.15</v>
      </c>
      <c r="S690" t="s">
        <v>72</v>
      </c>
      <c r="T690" s="1">
        <v>44653</v>
      </c>
      <c r="U690">
        <v>1</v>
      </c>
    </row>
    <row r="691" spans="1:21" x14ac:dyDescent="0.25">
      <c r="A691" t="s">
        <v>738</v>
      </c>
      <c r="B691">
        <v>37</v>
      </c>
      <c r="C691" t="s">
        <v>21</v>
      </c>
      <c r="D691" t="s">
        <v>41</v>
      </c>
      <c r="E691" t="s">
        <v>31</v>
      </c>
      <c r="F691" t="s">
        <v>63</v>
      </c>
      <c r="G691">
        <v>5528.63</v>
      </c>
      <c r="H691">
        <v>4676.97</v>
      </c>
      <c r="I691">
        <v>52011.07</v>
      </c>
      <c r="J691" t="s">
        <v>37</v>
      </c>
      <c r="K691" t="s">
        <v>38</v>
      </c>
      <c r="L691">
        <v>0</v>
      </c>
      <c r="M691">
        <v>0</v>
      </c>
      <c r="N691">
        <v>0</v>
      </c>
      <c r="O691">
        <v>0</v>
      </c>
      <c r="P691">
        <v>0</v>
      </c>
      <c r="Q691">
        <v>445</v>
      </c>
      <c r="R691">
        <v>0.78</v>
      </c>
      <c r="S691" t="s">
        <v>72</v>
      </c>
      <c r="T691" s="1">
        <v>45018</v>
      </c>
      <c r="U691">
        <v>0</v>
      </c>
    </row>
    <row r="692" spans="1:21" x14ac:dyDescent="0.25">
      <c r="A692" t="s">
        <v>739</v>
      </c>
      <c r="B692">
        <v>40</v>
      </c>
      <c r="C692" t="s">
        <v>29</v>
      </c>
      <c r="D692" t="s">
        <v>41</v>
      </c>
      <c r="E692" t="s">
        <v>51</v>
      </c>
      <c r="F692" t="s">
        <v>42</v>
      </c>
      <c r="G692">
        <v>7306.41</v>
      </c>
      <c r="H692">
        <v>6539.14</v>
      </c>
      <c r="I692">
        <v>63593.52</v>
      </c>
      <c r="J692" t="s">
        <v>37</v>
      </c>
      <c r="K692" t="s">
        <v>38</v>
      </c>
      <c r="L692">
        <v>0</v>
      </c>
      <c r="M692">
        <v>0</v>
      </c>
      <c r="N692">
        <v>0</v>
      </c>
      <c r="O692">
        <v>0</v>
      </c>
      <c r="P692">
        <v>0</v>
      </c>
      <c r="Q692">
        <v>420</v>
      </c>
      <c r="R692">
        <v>0.73</v>
      </c>
      <c r="S692" t="s">
        <v>47</v>
      </c>
      <c r="T692" s="1">
        <v>44926</v>
      </c>
      <c r="U692">
        <v>0</v>
      </c>
    </row>
    <row r="693" spans="1:21" x14ac:dyDescent="0.25">
      <c r="A693" t="s">
        <v>740</v>
      </c>
      <c r="B693">
        <v>18</v>
      </c>
      <c r="C693" t="s">
        <v>29</v>
      </c>
      <c r="D693" t="s">
        <v>41</v>
      </c>
      <c r="E693" t="s">
        <v>31</v>
      </c>
      <c r="F693" t="s">
        <v>24</v>
      </c>
      <c r="G693">
        <v>3707.79</v>
      </c>
      <c r="H693">
        <v>3044.91</v>
      </c>
      <c r="I693">
        <v>20471.72</v>
      </c>
      <c r="J693" t="s">
        <v>37</v>
      </c>
      <c r="K693" t="s">
        <v>38</v>
      </c>
      <c r="L693">
        <v>0</v>
      </c>
      <c r="M693">
        <v>0</v>
      </c>
      <c r="N693">
        <v>0</v>
      </c>
      <c r="O693">
        <v>0</v>
      </c>
      <c r="P693">
        <v>0</v>
      </c>
      <c r="Q693">
        <v>637</v>
      </c>
      <c r="R693">
        <v>0.46</v>
      </c>
      <c r="S693" t="s">
        <v>39</v>
      </c>
      <c r="T693" s="1">
        <v>44905</v>
      </c>
      <c r="U693">
        <v>0</v>
      </c>
    </row>
    <row r="694" spans="1:21" x14ac:dyDescent="0.25">
      <c r="A694" t="s">
        <v>741</v>
      </c>
      <c r="B694">
        <v>67</v>
      </c>
      <c r="C694" t="s">
        <v>29</v>
      </c>
      <c r="D694" t="s">
        <v>41</v>
      </c>
      <c r="E694" t="s">
        <v>31</v>
      </c>
      <c r="F694" t="s">
        <v>36</v>
      </c>
      <c r="G694">
        <v>4002.32</v>
      </c>
      <c r="H694">
        <v>2569.0100000000002</v>
      </c>
      <c r="I694">
        <v>10944.33</v>
      </c>
      <c r="J694" t="s">
        <v>25</v>
      </c>
      <c r="K694" t="s">
        <v>54</v>
      </c>
      <c r="L694">
        <v>125632.02</v>
      </c>
      <c r="M694">
        <v>180</v>
      </c>
      <c r="N694">
        <v>1169.6300000000001</v>
      </c>
      <c r="O694">
        <v>7.57</v>
      </c>
      <c r="P694">
        <v>0.28999999999999998</v>
      </c>
      <c r="Q694">
        <v>686</v>
      </c>
      <c r="R694">
        <v>0.23</v>
      </c>
      <c r="S694" t="s">
        <v>30</v>
      </c>
      <c r="T694" s="1">
        <v>44786</v>
      </c>
      <c r="U694">
        <v>0</v>
      </c>
    </row>
    <row r="695" spans="1:21" x14ac:dyDescent="0.25">
      <c r="A695" t="s">
        <v>742</v>
      </c>
      <c r="B695">
        <v>32</v>
      </c>
      <c r="C695" t="s">
        <v>29</v>
      </c>
      <c r="D695" t="s">
        <v>35</v>
      </c>
      <c r="E695" t="s">
        <v>31</v>
      </c>
      <c r="F695" t="s">
        <v>63</v>
      </c>
      <c r="G695">
        <v>1914.19</v>
      </c>
      <c r="H695">
        <v>1216.6500000000001</v>
      </c>
      <c r="I695">
        <v>21497.06</v>
      </c>
      <c r="J695" t="s">
        <v>25</v>
      </c>
      <c r="K695" t="s">
        <v>54</v>
      </c>
      <c r="L695">
        <v>6354.86</v>
      </c>
      <c r="M695">
        <v>300</v>
      </c>
      <c r="N695">
        <v>87.3</v>
      </c>
      <c r="O695">
        <v>16.190000000000001</v>
      </c>
      <c r="P695">
        <v>0.05</v>
      </c>
      <c r="Q695">
        <v>350</v>
      </c>
      <c r="R695">
        <v>0.94</v>
      </c>
      <c r="S695" t="s">
        <v>39</v>
      </c>
      <c r="T695" s="1">
        <v>44885</v>
      </c>
      <c r="U695">
        <v>0</v>
      </c>
    </row>
    <row r="696" spans="1:21" x14ac:dyDescent="0.25">
      <c r="A696" t="s">
        <v>743</v>
      </c>
      <c r="B696">
        <v>55</v>
      </c>
      <c r="C696" t="s">
        <v>21</v>
      </c>
      <c r="D696" t="s">
        <v>35</v>
      </c>
      <c r="E696" t="s">
        <v>23</v>
      </c>
      <c r="F696" t="s">
        <v>24</v>
      </c>
      <c r="G696">
        <v>4618.8999999999996</v>
      </c>
      <c r="H696">
        <v>4077.45</v>
      </c>
      <c r="I696">
        <v>41057.51</v>
      </c>
      <c r="J696" t="s">
        <v>25</v>
      </c>
      <c r="K696" t="s">
        <v>33</v>
      </c>
      <c r="L696">
        <v>35816.559999999998</v>
      </c>
      <c r="M696">
        <v>360</v>
      </c>
      <c r="N696">
        <v>626.24</v>
      </c>
      <c r="O696">
        <v>20.94</v>
      </c>
      <c r="P696">
        <v>0.14000000000000001</v>
      </c>
      <c r="Q696">
        <v>605</v>
      </c>
      <c r="R696">
        <v>0.74</v>
      </c>
      <c r="S696" t="s">
        <v>72</v>
      </c>
      <c r="T696" s="1">
        <v>45792</v>
      </c>
      <c r="U696">
        <v>0</v>
      </c>
    </row>
    <row r="697" spans="1:21" x14ac:dyDescent="0.25">
      <c r="A697" t="s">
        <v>744</v>
      </c>
      <c r="B697">
        <v>38</v>
      </c>
      <c r="C697" t="s">
        <v>21</v>
      </c>
      <c r="D697" t="s">
        <v>56</v>
      </c>
      <c r="E697" t="s">
        <v>31</v>
      </c>
      <c r="F697" t="s">
        <v>42</v>
      </c>
      <c r="G697">
        <v>5419.76</v>
      </c>
      <c r="H697">
        <v>3229.56</v>
      </c>
      <c r="I697">
        <v>35507.589999999997</v>
      </c>
      <c r="J697" t="s">
        <v>25</v>
      </c>
      <c r="K697" t="s">
        <v>45</v>
      </c>
      <c r="L697">
        <v>249022.6</v>
      </c>
      <c r="M697">
        <v>36</v>
      </c>
      <c r="N697">
        <v>7603.99</v>
      </c>
      <c r="O697">
        <v>6.25</v>
      </c>
      <c r="P697">
        <v>1.4</v>
      </c>
      <c r="Q697">
        <v>844</v>
      </c>
      <c r="R697">
        <v>0.55000000000000004</v>
      </c>
      <c r="S697" t="s">
        <v>27</v>
      </c>
      <c r="T697" s="1">
        <v>44946</v>
      </c>
      <c r="U697">
        <v>1</v>
      </c>
    </row>
    <row r="698" spans="1:21" x14ac:dyDescent="0.25">
      <c r="A698" t="s">
        <v>745</v>
      </c>
      <c r="B698">
        <v>18</v>
      </c>
      <c r="C698" t="s">
        <v>29</v>
      </c>
      <c r="D698" t="s">
        <v>56</v>
      </c>
      <c r="E698" t="s">
        <v>23</v>
      </c>
      <c r="F698" t="s">
        <v>52</v>
      </c>
      <c r="G698">
        <v>3533.27</v>
      </c>
      <c r="H698">
        <v>2507.81</v>
      </c>
      <c r="I698">
        <v>17443.349999999999</v>
      </c>
      <c r="J698" t="s">
        <v>25</v>
      </c>
      <c r="K698" t="s">
        <v>45</v>
      </c>
      <c r="L698">
        <v>79814.710000000006</v>
      </c>
      <c r="M698">
        <v>300</v>
      </c>
      <c r="N698">
        <v>1647.82</v>
      </c>
      <c r="O698">
        <v>24.72</v>
      </c>
      <c r="P698">
        <v>0.47</v>
      </c>
      <c r="Q698">
        <v>309</v>
      </c>
      <c r="R698">
        <v>0.41</v>
      </c>
      <c r="S698" t="s">
        <v>47</v>
      </c>
      <c r="T698" s="1">
        <v>44890</v>
      </c>
      <c r="U698">
        <v>1</v>
      </c>
    </row>
    <row r="699" spans="1:21" x14ac:dyDescent="0.25">
      <c r="A699" t="s">
        <v>746</v>
      </c>
      <c r="B699">
        <v>59</v>
      </c>
      <c r="C699" t="s">
        <v>21</v>
      </c>
      <c r="D699" t="s">
        <v>22</v>
      </c>
      <c r="E699" t="s">
        <v>31</v>
      </c>
      <c r="F699" t="s">
        <v>23</v>
      </c>
      <c r="G699">
        <v>1836.48</v>
      </c>
      <c r="H699">
        <v>950.22</v>
      </c>
      <c r="I699">
        <v>5187.1899999999996</v>
      </c>
      <c r="J699" t="s">
        <v>37</v>
      </c>
      <c r="K699" t="s">
        <v>38</v>
      </c>
      <c r="L699">
        <v>0</v>
      </c>
      <c r="M699">
        <v>0</v>
      </c>
      <c r="N699">
        <v>0</v>
      </c>
      <c r="O699">
        <v>0</v>
      </c>
      <c r="P699">
        <v>0</v>
      </c>
      <c r="Q699">
        <v>489</v>
      </c>
      <c r="R699">
        <v>0.24</v>
      </c>
      <c r="S699" t="s">
        <v>30</v>
      </c>
      <c r="T699" s="1">
        <v>45644</v>
      </c>
      <c r="U699">
        <v>0</v>
      </c>
    </row>
    <row r="700" spans="1:21" x14ac:dyDescent="0.25">
      <c r="A700" t="s">
        <v>747</v>
      </c>
      <c r="B700">
        <v>27</v>
      </c>
      <c r="C700" t="s">
        <v>21</v>
      </c>
      <c r="D700" t="s">
        <v>35</v>
      </c>
      <c r="E700" t="s">
        <v>31</v>
      </c>
      <c r="F700" t="s">
        <v>23</v>
      </c>
      <c r="G700">
        <v>4357.7700000000004</v>
      </c>
      <c r="H700">
        <v>2519.33</v>
      </c>
      <c r="I700">
        <v>48288.92</v>
      </c>
      <c r="J700" t="s">
        <v>25</v>
      </c>
      <c r="K700" t="s">
        <v>26</v>
      </c>
      <c r="L700">
        <v>81855.350000000006</v>
      </c>
      <c r="M700">
        <v>12</v>
      </c>
      <c r="N700">
        <v>7574.01</v>
      </c>
      <c r="O700">
        <v>19.78</v>
      </c>
      <c r="P700">
        <v>1.74</v>
      </c>
      <c r="Q700">
        <v>521</v>
      </c>
      <c r="R700">
        <v>0.92</v>
      </c>
      <c r="S700" t="s">
        <v>27</v>
      </c>
      <c r="T700" s="1">
        <v>44989</v>
      </c>
      <c r="U700">
        <v>1</v>
      </c>
    </row>
    <row r="701" spans="1:21" x14ac:dyDescent="0.25">
      <c r="A701" t="s">
        <v>748</v>
      </c>
      <c r="B701">
        <v>46</v>
      </c>
      <c r="C701" t="s">
        <v>29</v>
      </c>
      <c r="D701" t="s">
        <v>35</v>
      </c>
      <c r="E701" t="s">
        <v>31</v>
      </c>
      <c r="F701" t="s">
        <v>44</v>
      </c>
      <c r="G701">
        <v>4643.33</v>
      </c>
      <c r="H701">
        <v>3687.72</v>
      </c>
      <c r="I701">
        <v>15911.27</v>
      </c>
      <c r="J701" t="s">
        <v>37</v>
      </c>
      <c r="K701" t="s">
        <v>38</v>
      </c>
      <c r="L701">
        <v>0</v>
      </c>
      <c r="M701">
        <v>0</v>
      </c>
      <c r="N701">
        <v>0</v>
      </c>
      <c r="O701">
        <v>0</v>
      </c>
      <c r="P701">
        <v>0</v>
      </c>
      <c r="Q701">
        <v>310</v>
      </c>
      <c r="R701">
        <v>0.28999999999999998</v>
      </c>
      <c r="S701" t="s">
        <v>27</v>
      </c>
      <c r="T701" s="1">
        <v>44784</v>
      </c>
      <c r="U701">
        <v>0</v>
      </c>
    </row>
    <row r="702" spans="1:21" x14ac:dyDescent="0.25">
      <c r="A702" t="s">
        <v>749</v>
      </c>
      <c r="B702">
        <v>53</v>
      </c>
      <c r="C702" t="s">
        <v>21</v>
      </c>
      <c r="D702" t="s">
        <v>35</v>
      </c>
      <c r="E702" t="s">
        <v>31</v>
      </c>
      <c r="F702" t="s">
        <v>44</v>
      </c>
      <c r="G702">
        <v>8753.06</v>
      </c>
      <c r="H702">
        <v>4576.1899999999996</v>
      </c>
      <c r="I702">
        <v>45793.89</v>
      </c>
      <c r="J702" t="s">
        <v>37</v>
      </c>
      <c r="K702" t="s">
        <v>38</v>
      </c>
      <c r="L702">
        <v>0</v>
      </c>
      <c r="M702">
        <v>0</v>
      </c>
      <c r="N702">
        <v>0</v>
      </c>
      <c r="O702">
        <v>0</v>
      </c>
      <c r="P702">
        <v>0</v>
      </c>
      <c r="Q702">
        <v>418</v>
      </c>
      <c r="R702">
        <v>0.44</v>
      </c>
      <c r="S702" t="s">
        <v>39</v>
      </c>
      <c r="T702" s="1">
        <v>45147</v>
      </c>
      <c r="U702">
        <v>0</v>
      </c>
    </row>
    <row r="703" spans="1:21" x14ac:dyDescent="0.25">
      <c r="A703" t="s">
        <v>750</v>
      </c>
      <c r="B703">
        <v>40</v>
      </c>
      <c r="C703" t="s">
        <v>29</v>
      </c>
      <c r="D703" t="s">
        <v>35</v>
      </c>
      <c r="E703" t="s">
        <v>31</v>
      </c>
      <c r="F703" t="s">
        <v>42</v>
      </c>
      <c r="G703">
        <v>5593.53</v>
      </c>
      <c r="H703">
        <v>4253.99</v>
      </c>
      <c r="I703">
        <v>25254.33</v>
      </c>
      <c r="J703" t="s">
        <v>37</v>
      </c>
      <c r="K703" t="s">
        <v>38</v>
      </c>
      <c r="L703">
        <v>0</v>
      </c>
      <c r="M703">
        <v>0</v>
      </c>
      <c r="N703">
        <v>0</v>
      </c>
      <c r="O703">
        <v>0</v>
      </c>
      <c r="P703">
        <v>0</v>
      </c>
      <c r="Q703">
        <v>538</v>
      </c>
      <c r="R703">
        <v>0.38</v>
      </c>
      <c r="S703" t="s">
        <v>72</v>
      </c>
      <c r="T703" s="1">
        <v>44870</v>
      </c>
      <c r="U703">
        <v>0</v>
      </c>
    </row>
    <row r="704" spans="1:21" x14ac:dyDescent="0.25">
      <c r="A704" t="s">
        <v>751</v>
      </c>
      <c r="B704">
        <v>41</v>
      </c>
      <c r="C704" t="s">
        <v>21</v>
      </c>
      <c r="D704" t="s">
        <v>41</v>
      </c>
      <c r="E704" t="s">
        <v>31</v>
      </c>
      <c r="F704" t="s">
        <v>63</v>
      </c>
      <c r="G704">
        <v>1259.57</v>
      </c>
      <c r="H704">
        <v>1115.32</v>
      </c>
      <c r="I704">
        <v>10208.879999999999</v>
      </c>
      <c r="J704" t="s">
        <v>37</v>
      </c>
      <c r="K704" t="s">
        <v>38</v>
      </c>
      <c r="L704">
        <v>0</v>
      </c>
      <c r="M704">
        <v>0</v>
      </c>
      <c r="N704">
        <v>0</v>
      </c>
      <c r="O704">
        <v>0</v>
      </c>
      <c r="P704">
        <v>0</v>
      </c>
      <c r="Q704">
        <v>400</v>
      </c>
      <c r="R704">
        <v>0.68</v>
      </c>
      <c r="S704" t="s">
        <v>72</v>
      </c>
      <c r="T704" s="1">
        <v>45191</v>
      </c>
      <c r="U704">
        <v>0</v>
      </c>
    </row>
    <row r="705" spans="1:21" x14ac:dyDescent="0.25">
      <c r="A705" t="s">
        <v>752</v>
      </c>
      <c r="B705">
        <v>29</v>
      </c>
      <c r="C705" t="s">
        <v>21</v>
      </c>
      <c r="D705" t="s">
        <v>22</v>
      </c>
      <c r="E705" t="s">
        <v>31</v>
      </c>
      <c r="F705" t="s">
        <v>63</v>
      </c>
      <c r="G705">
        <v>4919.72</v>
      </c>
      <c r="H705">
        <v>3680.27</v>
      </c>
      <c r="I705">
        <v>36768.83</v>
      </c>
      <c r="J705" t="s">
        <v>25</v>
      </c>
      <c r="K705" t="s">
        <v>45</v>
      </c>
      <c r="L705">
        <v>492477.09</v>
      </c>
      <c r="M705">
        <v>300</v>
      </c>
      <c r="N705">
        <v>7614.95</v>
      </c>
      <c r="O705">
        <v>18.36</v>
      </c>
      <c r="P705">
        <v>1.55</v>
      </c>
      <c r="Q705">
        <v>850</v>
      </c>
      <c r="R705">
        <v>0.62</v>
      </c>
      <c r="S705" t="s">
        <v>47</v>
      </c>
      <c r="T705" s="1">
        <v>45339</v>
      </c>
      <c r="U705">
        <v>1</v>
      </c>
    </row>
    <row r="706" spans="1:21" x14ac:dyDescent="0.25">
      <c r="A706" t="s">
        <v>753</v>
      </c>
      <c r="B706">
        <v>45</v>
      </c>
      <c r="C706" t="s">
        <v>21</v>
      </c>
      <c r="D706" t="s">
        <v>22</v>
      </c>
      <c r="E706" t="s">
        <v>31</v>
      </c>
      <c r="F706" t="s">
        <v>52</v>
      </c>
      <c r="G706">
        <v>4187.32</v>
      </c>
      <c r="H706">
        <v>3175.46</v>
      </c>
      <c r="I706">
        <v>23699.31</v>
      </c>
      <c r="J706" t="s">
        <v>37</v>
      </c>
      <c r="K706" t="s">
        <v>38</v>
      </c>
      <c r="L706">
        <v>0</v>
      </c>
      <c r="M706">
        <v>0</v>
      </c>
      <c r="N706">
        <v>0</v>
      </c>
      <c r="O706">
        <v>0</v>
      </c>
      <c r="P706">
        <v>0</v>
      </c>
      <c r="Q706">
        <v>409</v>
      </c>
      <c r="R706">
        <v>0.47</v>
      </c>
      <c r="S706" t="s">
        <v>72</v>
      </c>
      <c r="T706" s="1">
        <v>45445</v>
      </c>
      <c r="U706">
        <v>0</v>
      </c>
    </row>
    <row r="707" spans="1:21" x14ac:dyDescent="0.25">
      <c r="A707" t="s">
        <v>754</v>
      </c>
      <c r="B707">
        <v>28</v>
      </c>
      <c r="C707" t="s">
        <v>29</v>
      </c>
      <c r="D707" t="s">
        <v>35</v>
      </c>
      <c r="E707" t="s">
        <v>31</v>
      </c>
      <c r="F707" t="s">
        <v>52</v>
      </c>
      <c r="G707">
        <v>5932.22</v>
      </c>
      <c r="H707">
        <v>3642.24</v>
      </c>
      <c r="I707">
        <v>45644.12</v>
      </c>
      <c r="J707" t="s">
        <v>37</v>
      </c>
      <c r="K707" t="s">
        <v>38</v>
      </c>
      <c r="L707">
        <v>0</v>
      </c>
      <c r="M707">
        <v>0</v>
      </c>
      <c r="N707">
        <v>0</v>
      </c>
      <c r="O707">
        <v>0</v>
      </c>
      <c r="P707">
        <v>0</v>
      </c>
      <c r="Q707">
        <v>609</v>
      </c>
      <c r="R707">
        <v>0.64</v>
      </c>
      <c r="S707" t="s">
        <v>47</v>
      </c>
      <c r="T707" s="1">
        <v>45174</v>
      </c>
      <c r="U707">
        <v>0</v>
      </c>
    </row>
    <row r="708" spans="1:21" x14ac:dyDescent="0.25">
      <c r="A708" t="s">
        <v>755</v>
      </c>
      <c r="B708">
        <v>44</v>
      </c>
      <c r="C708" t="s">
        <v>29</v>
      </c>
      <c r="D708" t="s">
        <v>41</v>
      </c>
      <c r="E708" t="s">
        <v>31</v>
      </c>
      <c r="F708" t="s">
        <v>49</v>
      </c>
      <c r="G708">
        <v>4897.25</v>
      </c>
      <c r="H708">
        <v>1567.39</v>
      </c>
      <c r="I708">
        <v>36022.620000000003</v>
      </c>
      <c r="J708" t="s">
        <v>37</v>
      </c>
      <c r="K708" t="s">
        <v>38</v>
      </c>
      <c r="L708">
        <v>0</v>
      </c>
      <c r="M708">
        <v>0</v>
      </c>
      <c r="N708">
        <v>0</v>
      </c>
      <c r="O708">
        <v>0</v>
      </c>
      <c r="P708">
        <v>0</v>
      </c>
      <c r="Q708">
        <v>720</v>
      </c>
      <c r="R708">
        <v>0.61</v>
      </c>
      <c r="S708" t="s">
        <v>47</v>
      </c>
      <c r="T708" s="1">
        <v>45670</v>
      </c>
      <c r="U708">
        <v>0</v>
      </c>
    </row>
    <row r="709" spans="1:21" x14ac:dyDescent="0.25">
      <c r="A709" t="s">
        <v>756</v>
      </c>
      <c r="B709">
        <v>40</v>
      </c>
      <c r="C709" t="s">
        <v>29</v>
      </c>
      <c r="D709" t="s">
        <v>30</v>
      </c>
      <c r="E709" t="s">
        <v>51</v>
      </c>
      <c r="F709" t="s">
        <v>49</v>
      </c>
      <c r="G709">
        <v>2918.57</v>
      </c>
      <c r="H709">
        <v>2392.52</v>
      </c>
      <c r="I709">
        <v>18354.669999999998</v>
      </c>
      <c r="J709" t="s">
        <v>37</v>
      </c>
      <c r="K709" t="s">
        <v>38</v>
      </c>
      <c r="L709">
        <v>0</v>
      </c>
      <c r="M709">
        <v>0</v>
      </c>
      <c r="N709">
        <v>0</v>
      </c>
      <c r="O709">
        <v>0</v>
      </c>
      <c r="P709">
        <v>0</v>
      </c>
      <c r="Q709">
        <v>767</v>
      </c>
      <c r="R709">
        <v>0.52</v>
      </c>
      <c r="S709" t="s">
        <v>47</v>
      </c>
      <c r="T709" s="1">
        <v>45583</v>
      </c>
      <c r="U709">
        <v>0</v>
      </c>
    </row>
    <row r="710" spans="1:21" x14ac:dyDescent="0.25">
      <c r="A710" t="s">
        <v>757</v>
      </c>
      <c r="B710">
        <v>50</v>
      </c>
      <c r="C710" t="s">
        <v>29</v>
      </c>
      <c r="D710" t="s">
        <v>41</v>
      </c>
      <c r="E710" t="s">
        <v>49</v>
      </c>
      <c r="F710" t="s">
        <v>36</v>
      </c>
      <c r="G710">
        <v>6884.79</v>
      </c>
      <c r="H710">
        <v>5807.1</v>
      </c>
      <c r="I710">
        <v>18319.34</v>
      </c>
      <c r="J710" t="s">
        <v>37</v>
      </c>
      <c r="K710" t="s">
        <v>38</v>
      </c>
      <c r="L710">
        <v>0</v>
      </c>
      <c r="M710">
        <v>0</v>
      </c>
      <c r="N710">
        <v>0</v>
      </c>
      <c r="O710">
        <v>0</v>
      </c>
      <c r="P710">
        <v>0</v>
      </c>
      <c r="Q710">
        <v>378</v>
      </c>
      <c r="R710">
        <v>0.22</v>
      </c>
      <c r="S710" t="s">
        <v>39</v>
      </c>
      <c r="T710" s="1">
        <v>45271</v>
      </c>
      <c r="U710">
        <v>0</v>
      </c>
    </row>
    <row r="711" spans="1:21" x14ac:dyDescent="0.25">
      <c r="A711" t="s">
        <v>758</v>
      </c>
      <c r="B711">
        <v>48</v>
      </c>
      <c r="C711" t="s">
        <v>29</v>
      </c>
      <c r="D711" t="s">
        <v>22</v>
      </c>
      <c r="E711" t="s">
        <v>51</v>
      </c>
      <c r="F711" t="s">
        <v>44</v>
      </c>
      <c r="G711">
        <v>2194.8000000000002</v>
      </c>
      <c r="H711">
        <v>838.83</v>
      </c>
      <c r="I711">
        <v>22518.959999999999</v>
      </c>
      <c r="J711" t="s">
        <v>37</v>
      </c>
      <c r="K711" t="s">
        <v>38</v>
      </c>
      <c r="L711">
        <v>0</v>
      </c>
      <c r="M711">
        <v>0</v>
      </c>
      <c r="N711">
        <v>0</v>
      </c>
      <c r="O711">
        <v>0</v>
      </c>
      <c r="P711">
        <v>0</v>
      </c>
      <c r="Q711">
        <v>320</v>
      </c>
      <c r="R711">
        <v>0.86</v>
      </c>
      <c r="S711" t="s">
        <v>39</v>
      </c>
      <c r="T711" s="1">
        <v>45035</v>
      </c>
      <c r="U711">
        <v>0</v>
      </c>
    </row>
    <row r="712" spans="1:21" x14ac:dyDescent="0.25">
      <c r="A712" t="s">
        <v>759</v>
      </c>
      <c r="B712">
        <v>61</v>
      </c>
      <c r="C712" t="s">
        <v>29</v>
      </c>
      <c r="D712" t="s">
        <v>35</v>
      </c>
      <c r="E712" t="s">
        <v>49</v>
      </c>
      <c r="F712" t="s">
        <v>42</v>
      </c>
      <c r="G712">
        <v>5714.59</v>
      </c>
      <c r="H712">
        <v>3152.79</v>
      </c>
      <c r="I712">
        <v>28928.16</v>
      </c>
      <c r="J712" t="s">
        <v>37</v>
      </c>
      <c r="K712" t="s">
        <v>38</v>
      </c>
      <c r="L712">
        <v>0</v>
      </c>
      <c r="M712">
        <v>0</v>
      </c>
      <c r="N712">
        <v>0</v>
      </c>
      <c r="O712">
        <v>0</v>
      </c>
      <c r="P712">
        <v>0</v>
      </c>
      <c r="Q712">
        <v>641</v>
      </c>
      <c r="R712">
        <v>0.42</v>
      </c>
      <c r="S712" t="s">
        <v>27</v>
      </c>
      <c r="T712" s="1">
        <v>45511</v>
      </c>
      <c r="U712">
        <v>0</v>
      </c>
    </row>
    <row r="713" spans="1:21" x14ac:dyDescent="0.25">
      <c r="A713" t="s">
        <v>760</v>
      </c>
      <c r="B713">
        <v>31</v>
      </c>
      <c r="C713" t="s">
        <v>21</v>
      </c>
      <c r="D713" t="s">
        <v>41</v>
      </c>
      <c r="E713" t="s">
        <v>51</v>
      </c>
      <c r="F713" t="s">
        <v>36</v>
      </c>
      <c r="G713">
        <v>3679.09</v>
      </c>
      <c r="H713">
        <v>1897.45</v>
      </c>
      <c r="I713">
        <v>20880.990000000002</v>
      </c>
      <c r="J713" t="s">
        <v>37</v>
      </c>
      <c r="K713" t="s">
        <v>38</v>
      </c>
      <c r="L713">
        <v>0</v>
      </c>
      <c r="M713">
        <v>0</v>
      </c>
      <c r="N713">
        <v>0</v>
      </c>
      <c r="O713">
        <v>0</v>
      </c>
      <c r="P713">
        <v>0</v>
      </c>
      <c r="Q713">
        <v>325</v>
      </c>
      <c r="R713">
        <v>0.47</v>
      </c>
      <c r="S713" t="s">
        <v>27</v>
      </c>
      <c r="T713" s="1">
        <v>45492</v>
      </c>
      <c r="U713">
        <v>0</v>
      </c>
    </row>
    <row r="714" spans="1:21" x14ac:dyDescent="0.25">
      <c r="A714" t="s">
        <v>761</v>
      </c>
      <c r="B714">
        <v>41</v>
      </c>
      <c r="C714" t="s">
        <v>29</v>
      </c>
      <c r="D714" t="s">
        <v>41</v>
      </c>
      <c r="E714" t="s">
        <v>49</v>
      </c>
      <c r="F714" t="s">
        <v>44</v>
      </c>
      <c r="G714">
        <v>5178.04</v>
      </c>
      <c r="H714">
        <v>2750.45</v>
      </c>
      <c r="I714">
        <v>55437.1</v>
      </c>
      <c r="J714" t="s">
        <v>37</v>
      </c>
      <c r="K714" t="s">
        <v>38</v>
      </c>
      <c r="L714">
        <v>0</v>
      </c>
      <c r="M714">
        <v>0</v>
      </c>
      <c r="N714">
        <v>0</v>
      </c>
      <c r="O714">
        <v>0</v>
      </c>
      <c r="P714">
        <v>0</v>
      </c>
      <c r="Q714">
        <v>538</v>
      </c>
      <c r="R714">
        <v>0.89</v>
      </c>
      <c r="S714" t="s">
        <v>47</v>
      </c>
      <c r="T714" s="1">
        <v>45667</v>
      </c>
      <c r="U714">
        <v>0</v>
      </c>
    </row>
    <row r="715" spans="1:21" x14ac:dyDescent="0.25">
      <c r="A715" t="s">
        <v>762</v>
      </c>
      <c r="B715">
        <v>69</v>
      </c>
      <c r="C715" t="s">
        <v>21</v>
      </c>
      <c r="D715" t="s">
        <v>30</v>
      </c>
      <c r="E715" t="s">
        <v>49</v>
      </c>
      <c r="F715" t="s">
        <v>44</v>
      </c>
      <c r="G715">
        <v>5926.31</v>
      </c>
      <c r="H715">
        <v>3909.48</v>
      </c>
      <c r="I715">
        <v>39436.449999999997</v>
      </c>
      <c r="J715" t="s">
        <v>25</v>
      </c>
      <c r="K715" t="s">
        <v>33</v>
      </c>
      <c r="L715">
        <v>145755.04999999999</v>
      </c>
      <c r="M715">
        <v>24</v>
      </c>
      <c r="N715">
        <v>6860.52</v>
      </c>
      <c r="O715">
        <v>11.99</v>
      </c>
      <c r="P715">
        <v>1.1599999999999999</v>
      </c>
      <c r="Q715">
        <v>761</v>
      </c>
      <c r="R715">
        <v>0.55000000000000004</v>
      </c>
      <c r="S715" t="s">
        <v>27</v>
      </c>
      <c r="T715" s="1">
        <v>45196</v>
      </c>
      <c r="U715">
        <v>1</v>
      </c>
    </row>
    <row r="716" spans="1:21" x14ac:dyDescent="0.25">
      <c r="A716" t="s">
        <v>763</v>
      </c>
      <c r="B716">
        <v>34</v>
      </c>
      <c r="C716" t="s">
        <v>21</v>
      </c>
      <c r="D716" t="s">
        <v>41</v>
      </c>
      <c r="E716" t="s">
        <v>31</v>
      </c>
      <c r="F716" t="s">
        <v>42</v>
      </c>
      <c r="G716">
        <v>7439.96</v>
      </c>
      <c r="H716">
        <v>2694.61</v>
      </c>
      <c r="I716">
        <v>34717.07</v>
      </c>
      <c r="J716" t="s">
        <v>37</v>
      </c>
      <c r="K716" t="s">
        <v>38</v>
      </c>
      <c r="L716">
        <v>0</v>
      </c>
      <c r="M716">
        <v>0</v>
      </c>
      <c r="N716">
        <v>0</v>
      </c>
      <c r="O716">
        <v>0</v>
      </c>
      <c r="P716">
        <v>0</v>
      </c>
      <c r="Q716">
        <v>346</v>
      </c>
      <c r="R716">
        <v>0.39</v>
      </c>
      <c r="S716" t="s">
        <v>27</v>
      </c>
      <c r="T716" s="1">
        <v>45260</v>
      </c>
      <c r="U716">
        <v>0</v>
      </c>
    </row>
    <row r="717" spans="1:21" x14ac:dyDescent="0.25">
      <c r="A717" t="s">
        <v>764</v>
      </c>
      <c r="B717">
        <v>60</v>
      </c>
      <c r="C717" t="s">
        <v>29</v>
      </c>
      <c r="D717" t="s">
        <v>35</v>
      </c>
      <c r="E717" t="s">
        <v>31</v>
      </c>
      <c r="F717" t="s">
        <v>63</v>
      </c>
      <c r="G717">
        <v>5169.96</v>
      </c>
      <c r="H717">
        <v>4619.83</v>
      </c>
      <c r="I717">
        <v>34289.99</v>
      </c>
      <c r="J717" t="s">
        <v>37</v>
      </c>
      <c r="K717" t="s">
        <v>38</v>
      </c>
      <c r="L717">
        <v>0</v>
      </c>
      <c r="M717">
        <v>0</v>
      </c>
      <c r="N717">
        <v>0</v>
      </c>
      <c r="O717">
        <v>0</v>
      </c>
      <c r="P717">
        <v>0</v>
      </c>
      <c r="Q717">
        <v>391</v>
      </c>
      <c r="R717">
        <v>0.55000000000000004</v>
      </c>
      <c r="S717" t="s">
        <v>30</v>
      </c>
      <c r="T717" s="1">
        <v>45833</v>
      </c>
      <c r="U717">
        <v>0</v>
      </c>
    </row>
    <row r="718" spans="1:21" x14ac:dyDescent="0.25">
      <c r="A718" t="s">
        <v>765</v>
      </c>
      <c r="B718">
        <v>29</v>
      </c>
      <c r="C718" t="s">
        <v>29</v>
      </c>
      <c r="D718" t="s">
        <v>22</v>
      </c>
      <c r="E718" t="s">
        <v>51</v>
      </c>
      <c r="F718" t="s">
        <v>23</v>
      </c>
      <c r="G718">
        <v>7735.17</v>
      </c>
      <c r="H718">
        <v>2686.51</v>
      </c>
      <c r="I718">
        <v>9669.1200000000008</v>
      </c>
      <c r="J718" t="s">
        <v>25</v>
      </c>
      <c r="K718" t="s">
        <v>45</v>
      </c>
      <c r="L718">
        <v>444784.6</v>
      </c>
      <c r="M718">
        <v>180</v>
      </c>
      <c r="N718">
        <v>3459.68</v>
      </c>
      <c r="O718">
        <v>4.75</v>
      </c>
      <c r="P718">
        <v>0.45</v>
      </c>
      <c r="Q718">
        <v>559</v>
      </c>
      <c r="R718">
        <v>0.1</v>
      </c>
      <c r="S718" t="s">
        <v>27</v>
      </c>
      <c r="T718" s="1">
        <v>44453</v>
      </c>
      <c r="U718">
        <v>1</v>
      </c>
    </row>
    <row r="719" spans="1:21" x14ac:dyDescent="0.25">
      <c r="A719" t="s">
        <v>766</v>
      </c>
      <c r="B719">
        <v>52</v>
      </c>
      <c r="C719" t="s">
        <v>29</v>
      </c>
      <c r="D719" t="s">
        <v>35</v>
      </c>
      <c r="E719" t="s">
        <v>51</v>
      </c>
      <c r="F719" t="s">
        <v>23</v>
      </c>
      <c r="G719">
        <v>2865.71</v>
      </c>
      <c r="H719">
        <v>1153.96</v>
      </c>
      <c r="I719">
        <v>24540.66</v>
      </c>
      <c r="J719" t="s">
        <v>37</v>
      </c>
      <c r="K719" t="s">
        <v>38</v>
      </c>
      <c r="L719">
        <v>0</v>
      </c>
      <c r="M719">
        <v>0</v>
      </c>
      <c r="N719">
        <v>0</v>
      </c>
      <c r="O719">
        <v>0</v>
      </c>
      <c r="P719">
        <v>0</v>
      </c>
      <c r="Q719">
        <v>383</v>
      </c>
      <c r="R719">
        <v>0.71</v>
      </c>
      <c r="S719" t="s">
        <v>72</v>
      </c>
      <c r="T719" s="1">
        <v>45175</v>
      </c>
      <c r="U719">
        <v>0</v>
      </c>
    </row>
    <row r="720" spans="1:21" x14ac:dyDescent="0.25">
      <c r="A720" t="s">
        <v>767</v>
      </c>
      <c r="B720">
        <v>61</v>
      </c>
      <c r="C720" t="s">
        <v>29</v>
      </c>
      <c r="D720" t="s">
        <v>41</v>
      </c>
      <c r="E720" t="s">
        <v>31</v>
      </c>
      <c r="F720" t="s">
        <v>23</v>
      </c>
      <c r="G720">
        <v>2621.99</v>
      </c>
      <c r="H720">
        <v>2162.7800000000002</v>
      </c>
      <c r="I720">
        <v>8920.23</v>
      </c>
      <c r="J720" t="s">
        <v>37</v>
      </c>
      <c r="K720" t="s">
        <v>38</v>
      </c>
      <c r="L720">
        <v>0</v>
      </c>
      <c r="M720">
        <v>0</v>
      </c>
      <c r="N720">
        <v>0</v>
      </c>
      <c r="O720">
        <v>0</v>
      </c>
      <c r="P720">
        <v>0</v>
      </c>
      <c r="Q720">
        <v>538</v>
      </c>
      <c r="R720">
        <v>0.28000000000000003</v>
      </c>
      <c r="S720" t="s">
        <v>27</v>
      </c>
      <c r="T720" s="1">
        <v>44855</v>
      </c>
      <c r="U720">
        <v>0</v>
      </c>
    </row>
    <row r="721" spans="1:21" x14ac:dyDescent="0.25">
      <c r="A721" t="s">
        <v>768</v>
      </c>
      <c r="B721">
        <v>29</v>
      </c>
      <c r="C721" t="s">
        <v>21</v>
      </c>
      <c r="D721" t="s">
        <v>30</v>
      </c>
      <c r="E721" t="s">
        <v>31</v>
      </c>
      <c r="F721" t="s">
        <v>36</v>
      </c>
      <c r="G721">
        <v>3930.54</v>
      </c>
      <c r="H721">
        <v>3331.77</v>
      </c>
      <c r="I721">
        <v>38370.959999999999</v>
      </c>
      <c r="J721" t="s">
        <v>37</v>
      </c>
      <c r="K721" t="s">
        <v>38</v>
      </c>
      <c r="L721">
        <v>0</v>
      </c>
      <c r="M721">
        <v>0</v>
      </c>
      <c r="N721">
        <v>0</v>
      </c>
      <c r="O721">
        <v>0</v>
      </c>
      <c r="P721">
        <v>0</v>
      </c>
      <c r="Q721">
        <v>831</v>
      </c>
      <c r="R721">
        <v>0.81</v>
      </c>
      <c r="S721" t="s">
        <v>27</v>
      </c>
      <c r="T721" s="1">
        <v>44702</v>
      </c>
      <c r="U721">
        <v>0</v>
      </c>
    </row>
    <row r="722" spans="1:21" x14ac:dyDescent="0.25">
      <c r="A722" t="s">
        <v>769</v>
      </c>
      <c r="B722">
        <v>45</v>
      </c>
      <c r="C722" t="s">
        <v>21</v>
      </c>
      <c r="D722" t="s">
        <v>22</v>
      </c>
      <c r="E722" t="s">
        <v>51</v>
      </c>
      <c r="F722" t="s">
        <v>63</v>
      </c>
      <c r="G722">
        <v>4929</v>
      </c>
      <c r="H722">
        <v>4019.84</v>
      </c>
      <c r="I722">
        <v>20874</v>
      </c>
      <c r="J722" t="s">
        <v>37</v>
      </c>
      <c r="K722" t="s">
        <v>38</v>
      </c>
      <c r="L722">
        <v>0</v>
      </c>
      <c r="M722">
        <v>0</v>
      </c>
      <c r="N722">
        <v>0</v>
      </c>
      <c r="O722">
        <v>0</v>
      </c>
      <c r="P722">
        <v>0</v>
      </c>
      <c r="Q722">
        <v>656</v>
      </c>
      <c r="R722">
        <v>0.35</v>
      </c>
      <c r="S722" t="s">
        <v>39</v>
      </c>
      <c r="T722" s="1">
        <v>45072</v>
      </c>
      <c r="U722">
        <v>0</v>
      </c>
    </row>
    <row r="723" spans="1:21" x14ac:dyDescent="0.25">
      <c r="A723" t="s">
        <v>770</v>
      </c>
      <c r="B723">
        <v>20</v>
      </c>
      <c r="C723" t="s">
        <v>29</v>
      </c>
      <c r="D723" t="s">
        <v>41</v>
      </c>
      <c r="E723" t="s">
        <v>31</v>
      </c>
      <c r="F723" t="s">
        <v>24</v>
      </c>
      <c r="G723">
        <v>3003.19</v>
      </c>
      <c r="H723">
        <v>1468.91</v>
      </c>
      <c r="I723">
        <v>17724.57</v>
      </c>
      <c r="J723" t="s">
        <v>25</v>
      </c>
      <c r="K723" t="s">
        <v>33</v>
      </c>
      <c r="L723">
        <v>140432.25</v>
      </c>
      <c r="M723">
        <v>240</v>
      </c>
      <c r="N723">
        <v>1329.25</v>
      </c>
      <c r="O723">
        <v>9.7200000000000006</v>
      </c>
      <c r="P723">
        <v>0.44</v>
      </c>
      <c r="Q723">
        <v>815</v>
      </c>
      <c r="R723">
        <v>0.49</v>
      </c>
      <c r="S723" t="s">
        <v>30</v>
      </c>
      <c r="T723" s="1">
        <v>45661</v>
      </c>
      <c r="U723">
        <v>1</v>
      </c>
    </row>
    <row r="724" spans="1:21" x14ac:dyDescent="0.25">
      <c r="A724" t="s">
        <v>771</v>
      </c>
      <c r="B724">
        <v>66</v>
      </c>
      <c r="C724" t="s">
        <v>21</v>
      </c>
      <c r="D724" t="s">
        <v>35</v>
      </c>
      <c r="E724" t="s">
        <v>51</v>
      </c>
      <c r="F724" t="s">
        <v>32</v>
      </c>
      <c r="G724">
        <v>3647</v>
      </c>
      <c r="H724">
        <v>1870.65</v>
      </c>
      <c r="I724">
        <v>12172.42</v>
      </c>
      <c r="J724" t="s">
        <v>37</v>
      </c>
      <c r="K724" t="s">
        <v>38</v>
      </c>
      <c r="L724">
        <v>0</v>
      </c>
      <c r="M724">
        <v>0</v>
      </c>
      <c r="N724">
        <v>0</v>
      </c>
      <c r="O724">
        <v>0</v>
      </c>
      <c r="P724">
        <v>0</v>
      </c>
      <c r="Q724">
        <v>770</v>
      </c>
      <c r="R724">
        <v>0.28000000000000003</v>
      </c>
      <c r="S724" t="s">
        <v>72</v>
      </c>
      <c r="T724" s="1">
        <v>45811</v>
      </c>
      <c r="U724">
        <v>0</v>
      </c>
    </row>
    <row r="725" spans="1:21" x14ac:dyDescent="0.25">
      <c r="A725" t="s">
        <v>772</v>
      </c>
      <c r="B725">
        <v>21</v>
      </c>
      <c r="C725" t="s">
        <v>21</v>
      </c>
      <c r="D725" t="s">
        <v>56</v>
      </c>
      <c r="E725" t="s">
        <v>23</v>
      </c>
      <c r="F725" t="s">
        <v>44</v>
      </c>
      <c r="G725">
        <v>4888.5200000000004</v>
      </c>
      <c r="H725">
        <v>4163.8599999999997</v>
      </c>
      <c r="I725">
        <v>37902.480000000003</v>
      </c>
      <c r="J725" t="s">
        <v>37</v>
      </c>
      <c r="K725" t="s">
        <v>38</v>
      </c>
      <c r="L725">
        <v>0</v>
      </c>
      <c r="M725">
        <v>0</v>
      </c>
      <c r="N725">
        <v>0</v>
      </c>
      <c r="O725">
        <v>0</v>
      </c>
      <c r="P725">
        <v>0</v>
      </c>
      <c r="Q725">
        <v>572</v>
      </c>
      <c r="R725">
        <v>0.65</v>
      </c>
      <c r="S725" t="s">
        <v>72</v>
      </c>
      <c r="T725" s="1">
        <v>44886</v>
      </c>
      <c r="U725">
        <v>0</v>
      </c>
    </row>
    <row r="726" spans="1:21" x14ac:dyDescent="0.25">
      <c r="A726" t="s">
        <v>773</v>
      </c>
      <c r="B726">
        <v>61</v>
      </c>
      <c r="C726" t="s">
        <v>21</v>
      </c>
      <c r="D726" t="s">
        <v>22</v>
      </c>
      <c r="E726" t="s">
        <v>31</v>
      </c>
      <c r="F726" t="s">
        <v>49</v>
      </c>
      <c r="G726">
        <v>5469.14</v>
      </c>
      <c r="H726">
        <v>2535.8000000000002</v>
      </c>
      <c r="I726">
        <v>16723.62</v>
      </c>
      <c r="J726" t="s">
        <v>37</v>
      </c>
      <c r="K726" t="s">
        <v>38</v>
      </c>
      <c r="L726">
        <v>0</v>
      </c>
      <c r="M726">
        <v>0</v>
      </c>
      <c r="N726">
        <v>0</v>
      </c>
      <c r="O726">
        <v>0</v>
      </c>
      <c r="P726">
        <v>0</v>
      </c>
      <c r="Q726">
        <v>806</v>
      </c>
      <c r="R726">
        <v>0.25</v>
      </c>
      <c r="S726" t="s">
        <v>39</v>
      </c>
      <c r="T726" s="1">
        <v>45332</v>
      </c>
      <c r="U726">
        <v>0</v>
      </c>
    </row>
    <row r="727" spans="1:21" x14ac:dyDescent="0.25">
      <c r="A727" t="s">
        <v>774</v>
      </c>
      <c r="B727">
        <v>66</v>
      </c>
      <c r="C727" t="s">
        <v>21</v>
      </c>
      <c r="D727" t="s">
        <v>41</v>
      </c>
      <c r="E727" t="s">
        <v>31</v>
      </c>
      <c r="F727" t="s">
        <v>42</v>
      </c>
      <c r="G727">
        <v>7347.77</v>
      </c>
      <c r="H727">
        <v>6323.46</v>
      </c>
      <c r="I727">
        <v>73218.27</v>
      </c>
      <c r="J727" t="s">
        <v>37</v>
      </c>
      <c r="K727" t="s">
        <v>38</v>
      </c>
      <c r="L727">
        <v>0</v>
      </c>
      <c r="M727">
        <v>0</v>
      </c>
      <c r="N727">
        <v>0</v>
      </c>
      <c r="O727">
        <v>0</v>
      </c>
      <c r="P727">
        <v>0</v>
      </c>
      <c r="Q727">
        <v>672</v>
      </c>
      <c r="R727">
        <v>0.83</v>
      </c>
      <c r="S727" t="s">
        <v>47</v>
      </c>
      <c r="T727" s="1">
        <v>44608</v>
      </c>
      <c r="U727">
        <v>0</v>
      </c>
    </row>
    <row r="728" spans="1:21" x14ac:dyDescent="0.25">
      <c r="A728" t="s">
        <v>775</v>
      </c>
      <c r="B728">
        <v>54</v>
      </c>
      <c r="C728" t="s">
        <v>21</v>
      </c>
      <c r="D728" t="s">
        <v>41</v>
      </c>
      <c r="E728" t="s">
        <v>23</v>
      </c>
      <c r="F728" t="s">
        <v>23</v>
      </c>
      <c r="G728">
        <v>2624.16</v>
      </c>
      <c r="H728">
        <v>813.3</v>
      </c>
      <c r="I728">
        <v>20446.45</v>
      </c>
      <c r="J728" t="s">
        <v>37</v>
      </c>
      <c r="K728" t="s">
        <v>38</v>
      </c>
      <c r="L728">
        <v>0</v>
      </c>
      <c r="M728">
        <v>0</v>
      </c>
      <c r="N728">
        <v>0</v>
      </c>
      <c r="O728">
        <v>0</v>
      </c>
      <c r="P728">
        <v>0</v>
      </c>
      <c r="Q728">
        <v>690</v>
      </c>
      <c r="R728">
        <v>0.65</v>
      </c>
      <c r="S728" t="s">
        <v>47</v>
      </c>
      <c r="T728" s="1">
        <v>44523</v>
      </c>
      <c r="U728">
        <v>0</v>
      </c>
    </row>
    <row r="729" spans="1:21" x14ac:dyDescent="0.25">
      <c r="A729" t="s">
        <v>776</v>
      </c>
      <c r="B729">
        <v>23</v>
      </c>
      <c r="C729" t="s">
        <v>21</v>
      </c>
      <c r="D729" t="s">
        <v>35</v>
      </c>
      <c r="E729" t="s">
        <v>51</v>
      </c>
      <c r="F729" t="s">
        <v>24</v>
      </c>
      <c r="G729">
        <v>5149</v>
      </c>
      <c r="H729">
        <v>2808.63</v>
      </c>
      <c r="I729">
        <v>9324.6200000000008</v>
      </c>
      <c r="J729" t="s">
        <v>37</v>
      </c>
      <c r="K729" t="s">
        <v>38</v>
      </c>
      <c r="L729">
        <v>0</v>
      </c>
      <c r="M729">
        <v>0</v>
      </c>
      <c r="N729">
        <v>0</v>
      </c>
      <c r="O729">
        <v>0</v>
      </c>
      <c r="P729">
        <v>0</v>
      </c>
      <c r="Q729">
        <v>412</v>
      </c>
      <c r="R729">
        <v>0.15</v>
      </c>
      <c r="S729" t="s">
        <v>39</v>
      </c>
      <c r="T729" s="1">
        <v>45655</v>
      </c>
      <c r="U729">
        <v>0</v>
      </c>
    </row>
    <row r="730" spans="1:21" x14ac:dyDescent="0.25">
      <c r="A730" t="s">
        <v>777</v>
      </c>
      <c r="B730">
        <v>28</v>
      </c>
      <c r="C730" t="s">
        <v>21</v>
      </c>
      <c r="D730" t="s">
        <v>30</v>
      </c>
      <c r="E730" t="s">
        <v>23</v>
      </c>
      <c r="F730" t="s">
        <v>42</v>
      </c>
      <c r="G730">
        <v>7448.77</v>
      </c>
      <c r="H730">
        <v>2624</v>
      </c>
      <c r="I730">
        <v>20200.599999999999</v>
      </c>
      <c r="J730" t="s">
        <v>25</v>
      </c>
      <c r="K730" t="s">
        <v>54</v>
      </c>
      <c r="L730">
        <v>332003.15999999997</v>
      </c>
      <c r="M730">
        <v>120</v>
      </c>
      <c r="N730">
        <v>7032.73</v>
      </c>
      <c r="O730">
        <v>22.75</v>
      </c>
      <c r="P730">
        <v>0.94</v>
      </c>
      <c r="Q730">
        <v>782</v>
      </c>
      <c r="R730">
        <v>0.23</v>
      </c>
      <c r="S730" t="s">
        <v>47</v>
      </c>
      <c r="T730" s="1">
        <v>45279</v>
      </c>
      <c r="U730">
        <v>1</v>
      </c>
    </row>
    <row r="731" spans="1:21" x14ac:dyDescent="0.25">
      <c r="A731" t="s">
        <v>778</v>
      </c>
      <c r="B731">
        <v>43</v>
      </c>
      <c r="C731" t="s">
        <v>29</v>
      </c>
      <c r="D731" t="s">
        <v>41</v>
      </c>
      <c r="E731" t="s">
        <v>51</v>
      </c>
      <c r="F731" t="s">
        <v>63</v>
      </c>
      <c r="G731">
        <v>6302.69</v>
      </c>
      <c r="H731">
        <v>4888.83</v>
      </c>
      <c r="I731">
        <v>39777.99</v>
      </c>
      <c r="J731" t="s">
        <v>37</v>
      </c>
      <c r="K731" t="s">
        <v>38</v>
      </c>
      <c r="L731">
        <v>0</v>
      </c>
      <c r="M731">
        <v>0</v>
      </c>
      <c r="N731">
        <v>0</v>
      </c>
      <c r="O731">
        <v>0</v>
      </c>
      <c r="P731">
        <v>0</v>
      </c>
      <c r="Q731">
        <v>309</v>
      </c>
      <c r="R731">
        <v>0.53</v>
      </c>
      <c r="S731" t="s">
        <v>47</v>
      </c>
      <c r="T731" s="1">
        <v>44762</v>
      </c>
      <c r="U731">
        <v>0</v>
      </c>
    </row>
    <row r="732" spans="1:21" x14ac:dyDescent="0.25">
      <c r="A732" t="s">
        <v>779</v>
      </c>
      <c r="B732">
        <v>46</v>
      </c>
      <c r="C732" t="s">
        <v>21</v>
      </c>
      <c r="D732" t="s">
        <v>41</v>
      </c>
      <c r="E732" t="s">
        <v>51</v>
      </c>
      <c r="F732" t="s">
        <v>63</v>
      </c>
      <c r="G732">
        <v>1326.08</v>
      </c>
      <c r="H732">
        <v>665.12</v>
      </c>
      <c r="I732">
        <v>10391.620000000001</v>
      </c>
      <c r="J732" t="s">
        <v>37</v>
      </c>
      <c r="K732" t="s">
        <v>38</v>
      </c>
      <c r="L732">
        <v>0</v>
      </c>
      <c r="M732">
        <v>0</v>
      </c>
      <c r="N732">
        <v>0</v>
      </c>
      <c r="O732">
        <v>0</v>
      </c>
      <c r="P732">
        <v>0</v>
      </c>
      <c r="Q732">
        <v>613</v>
      </c>
      <c r="R732">
        <v>0.65</v>
      </c>
      <c r="S732" t="s">
        <v>72</v>
      </c>
      <c r="T732" s="1">
        <v>44593</v>
      </c>
      <c r="U732">
        <v>0</v>
      </c>
    </row>
    <row r="733" spans="1:21" x14ac:dyDescent="0.25">
      <c r="A733" t="s">
        <v>780</v>
      </c>
      <c r="B733">
        <v>36</v>
      </c>
      <c r="C733" t="s">
        <v>21</v>
      </c>
      <c r="D733" t="s">
        <v>56</v>
      </c>
      <c r="E733" t="s">
        <v>31</v>
      </c>
      <c r="F733" t="s">
        <v>44</v>
      </c>
      <c r="G733">
        <v>3760.11</v>
      </c>
      <c r="H733">
        <v>2267.39</v>
      </c>
      <c r="I733">
        <v>35515.85</v>
      </c>
      <c r="J733" t="s">
        <v>25</v>
      </c>
      <c r="K733" t="s">
        <v>33</v>
      </c>
      <c r="L733">
        <v>256935.94</v>
      </c>
      <c r="M733">
        <v>180</v>
      </c>
      <c r="N733">
        <v>2296.5</v>
      </c>
      <c r="O733">
        <v>6.91</v>
      </c>
      <c r="P733">
        <v>0.61</v>
      </c>
      <c r="Q733">
        <v>754</v>
      </c>
      <c r="R733">
        <v>0.79</v>
      </c>
      <c r="S733" t="s">
        <v>72</v>
      </c>
      <c r="T733" s="1">
        <v>44760</v>
      </c>
      <c r="U733">
        <v>1</v>
      </c>
    </row>
    <row r="734" spans="1:21" x14ac:dyDescent="0.25">
      <c r="A734" t="s">
        <v>781</v>
      </c>
      <c r="B734">
        <v>44</v>
      </c>
      <c r="C734" t="s">
        <v>21</v>
      </c>
      <c r="D734" t="s">
        <v>35</v>
      </c>
      <c r="E734" t="s">
        <v>31</v>
      </c>
      <c r="F734" t="s">
        <v>24</v>
      </c>
      <c r="G734">
        <v>1993.96</v>
      </c>
      <c r="H734">
        <v>802.79</v>
      </c>
      <c r="I734">
        <v>20709.7</v>
      </c>
      <c r="J734" t="s">
        <v>37</v>
      </c>
      <c r="K734" t="s">
        <v>38</v>
      </c>
      <c r="L734">
        <v>0</v>
      </c>
      <c r="M734">
        <v>0</v>
      </c>
      <c r="N734">
        <v>0</v>
      </c>
      <c r="O734">
        <v>0</v>
      </c>
      <c r="P734">
        <v>0</v>
      </c>
      <c r="Q734">
        <v>638</v>
      </c>
      <c r="R734">
        <v>0.87</v>
      </c>
      <c r="S734" t="s">
        <v>72</v>
      </c>
      <c r="T734" s="1">
        <v>45666</v>
      </c>
      <c r="U734">
        <v>0</v>
      </c>
    </row>
    <row r="735" spans="1:21" x14ac:dyDescent="0.25">
      <c r="A735" t="s">
        <v>782</v>
      </c>
      <c r="B735">
        <v>58</v>
      </c>
      <c r="C735" t="s">
        <v>21</v>
      </c>
      <c r="D735" t="s">
        <v>56</v>
      </c>
      <c r="E735" t="s">
        <v>31</v>
      </c>
      <c r="F735" t="s">
        <v>63</v>
      </c>
      <c r="G735">
        <v>10515.08</v>
      </c>
      <c r="H735">
        <v>3417.52</v>
      </c>
      <c r="I735">
        <v>116084.84</v>
      </c>
      <c r="J735" t="s">
        <v>37</v>
      </c>
      <c r="K735" t="s">
        <v>38</v>
      </c>
      <c r="L735">
        <v>0</v>
      </c>
      <c r="M735">
        <v>0</v>
      </c>
      <c r="N735">
        <v>0</v>
      </c>
      <c r="O735">
        <v>0</v>
      </c>
      <c r="P735">
        <v>0</v>
      </c>
      <c r="Q735">
        <v>301</v>
      </c>
      <c r="R735">
        <v>0.92</v>
      </c>
      <c r="S735" t="s">
        <v>39</v>
      </c>
      <c r="T735" s="1">
        <v>44419</v>
      </c>
      <c r="U735">
        <v>0</v>
      </c>
    </row>
    <row r="736" spans="1:21" x14ac:dyDescent="0.25">
      <c r="A736" t="s">
        <v>783</v>
      </c>
      <c r="B736">
        <v>54</v>
      </c>
      <c r="C736" t="s">
        <v>29</v>
      </c>
      <c r="D736" t="s">
        <v>35</v>
      </c>
      <c r="E736" t="s">
        <v>31</v>
      </c>
      <c r="F736" t="s">
        <v>52</v>
      </c>
      <c r="G736">
        <v>6284.81</v>
      </c>
      <c r="H736">
        <v>4840.1899999999996</v>
      </c>
      <c r="I736">
        <v>65744.800000000003</v>
      </c>
      <c r="J736" t="s">
        <v>25</v>
      </c>
      <c r="K736" t="s">
        <v>54</v>
      </c>
      <c r="L736">
        <v>330649.94</v>
      </c>
      <c r="M736">
        <v>300</v>
      </c>
      <c r="N736">
        <v>5224.1899999999996</v>
      </c>
      <c r="O736">
        <v>18.78</v>
      </c>
      <c r="P736">
        <v>0.83</v>
      </c>
      <c r="Q736">
        <v>478</v>
      </c>
      <c r="R736">
        <v>0.87</v>
      </c>
      <c r="S736" t="s">
        <v>27</v>
      </c>
      <c r="T736" s="1">
        <v>45561</v>
      </c>
      <c r="U736">
        <v>1</v>
      </c>
    </row>
    <row r="737" spans="1:21" x14ac:dyDescent="0.25">
      <c r="A737" t="s">
        <v>784</v>
      </c>
      <c r="B737">
        <v>36</v>
      </c>
      <c r="C737" t="s">
        <v>29</v>
      </c>
      <c r="D737" t="s">
        <v>35</v>
      </c>
      <c r="E737" t="s">
        <v>31</v>
      </c>
      <c r="F737" t="s">
        <v>23</v>
      </c>
      <c r="G737">
        <v>3534.93</v>
      </c>
      <c r="H737">
        <v>1732.55</v>
      </c>
      <c r="I737">
        <v>4733.1099999999997</v>
      </c>
      <c r="J737" t="s">
        <v>37</v>
      </c>
      <c r="K737" t="s">
        <v>38</v>
      </c>
      <c r="L737">
        <v>0</v>
      </c>
      <c r="M737">
        <v>0</v>
      </c>
      <c r="N737">
        <v>0</v>
      </c>
      <c r="O737">
        <v>0</v>
      </c>
      <c r="P737">
        <v>0</v>
      </c>
      <c r="Q737">
        <v>488</v>
      </c>
      <c r="R737">
        <v>0.11</v>
      </c>
      <c r="S737" t="s">
        <v>72</v>
      </c>
      <c r="T737" s="1">
        <v>45527</v>
      </c>
      <c r="U737">
        <v>0</v>
      </c>
    </row>
    <row r="738" spans="1:21" x14ac:dyDescent="0.25">
      <c r="A738" t="s">
        <v>785</v>
      </c>
      <c r="B738">
        <v>69</v>
      </c>
      <c r="C738" t="s">
        <v>21</v>
      </c>
      <c r="D738" t="s">
        <v>41</v>
      </c>
      <c r="E738" t="s">
        <v>31</v>
      </c>
      <c r="F738" t="s">
        <v>42</v>
      </c>
      <c r="G738">
        <v>4292.55</v>
      </c>
      <c r="H738">
        <v>1708.4</v>
      </c>
      <c r="I738">
        <v>23314.32</v>
      </c>
      <c r="J738" t="s">
        <v>37</v>
      </c>
      <c r="K738" t="s">
        <v>38</v>
      </c>
      <c r="L738">
        <v>0</v>
      </c>
      <c r="M738">
        <v>0</v>
      </c>
      <c r="N738">
        <v>0</v>
      </c>
      <c r="O738">
        <v>0</v>
      </c>
      <c r="P738">
        <v>0</v>
      </c>
      <c r="Q738">
        <v>355</v>
      </c>
      <c r="R738">
        <v>0.45</v>
      </c>
      <c r="S738" t="s">
        <v>47</v>
      </c>
      <c r="T738" s="1">
        <v>45016</v>
      </c>
      <c r="U738">
        <v>0</v>
      </c>
    </row>
    <row r="739" spans="1:21" x14ac:dyDescent="0.25">
      <c r="A739" t="s">
        <v>786</v>
      </c>
      <c r="B739">
        <v>20</v>
      </c>
      <c r="C739" t="s">
        <v>29</v>
      </c>
      <c r="D739" t="s">
        <v>41</v>
      </c>
      <c r="E739" t="s">
        <v>31</v>
      </c>
      <c r="F739" t="s">
        <v>24</v>
      </c>
      <c r="G739">
        <v>4161.6099999999997</v>
      </c>
      <c r="H739">
        <v>3407.97</v>
      </c>
      <c r="I739">
        <v>14062.8</v>
      </c>
      <c r="J739" t="s">
        <v>25</v>
      </c>
      <c r="K739" t="s">
        <v>54</v>
      </c>
      <c r="L739">
        <v>313704.2</v>
      </c>
      <c r="M739">
        <v>240</v>
      </c>
      <c r="N739">
        <v>5403.25</v>
      </c>
      <c r="O739">
        <v>20.3</v>
      </c>
      <c r="P739">
        <v>1.3</v>
      </c>
      <c r="Q739">
        <v>844</v>
      </c>
      <c r="R739">
        <v>0.28000000000000003</v>
      </c>
      <c r="S739" t="s">
        <v>39</v>
      </c>
      <c r="T739" s="1">
        <v>44782</v>
      </c>
      <c r="U739">
        <v>1</v>
      </c>
    </row>
    <row r="740" spans="1:21" x14ac:dyDescent="0.25">
      <c r="A740" t="s">
        <v>787</v>
      </c>
      <c r="B740">
        <v>23</v>
      </c>
      <c r="C740" t="s">
        <v>21</v>
      </c>
      <c r="D740" t="s">
        <v>41</v>
      </c>
      <c r="E740" t="s">
        <v>31</v>
      </c>
      <c r="F740" t="s">
        <v>24</v>
      </c>
      <c r="G740">
        <v>2164.2399999999998</v>
      </c>
      <c r="H740">
        <v>669.51</v>
      </c>
      <c r="I740">
        <v>11450.67</v>
      </c>
      <c r="J740" t="s">
        <v>25</v>
      </c>
      <c r="K740" t="s">
        <v>33</v>
      </c>
      <c r="L740">
        <v>208798.62</v>
      </c>
      <c r="M740">
        <v>120</v>
      </c>
      <c r="N740">
        <v>2195.29</v>
      </c>
      <c r="O740">
        <v>4.8099999999999996</v>
      </c>
      <c r="P740">
        <v>1.01</v>
      </c>
      <c r="Q740">
        <v>537</v>
      </c>
      <c r="R740">
        <v>0.44</v>
      </c>
      <c r="S740" t="s">
        <v>39</v>
      </c>
      <c r="T740" s="1">
        <v>44754</v>
      </c>
      <c r="U740">
        <v>1</v>
      </c>
    </row>
    <row r="741" spans="1:21" x14ac:dyDescent="0.25">
      <c r="A741" t="s">
        <v>788</v>
      </c>
      <c r="B741">
        <v>68</v>
      </c>
      <c r="C741" t="s">
        <v>29</v>
      </c>
      <c r="D741" t="s">
        <v>35</v>
      </c>
      <c r="E741" t="s">
        <v>23</v>
      </c>
      <c r="F741" t="s">
        <v>49</v>
      </c>
      <c r="G741">
        <v>2851.01</v>
      </c>
      <c r="H741">
        <v>1148.9100000000001</v>
      </c>
      <c r="I741">
        <v>15149.97</v>
      </c>
      <c r="J741" t="s">
        <v>37</v>
      </c>
      <c r="K741" t="s">
        <v>38</v>
      </c>
      <c r="L741">
        <v>0</v>
      </c>
      <c r="M741">
        <v>0</v>
      </c>
      <c r="N741">
        <v>0</v>
      </c>
      <c r="O741">
        <v>0</v>
      </c>
      <c r="P741">
        <v>0</v>
      </c>
      <c r="Q741">
        <v>507</v>
      </c>
      <c r="R741">
        <v>0.44</v>
      </c>
      <c r="S741" t="s">
        <v>47</v>
      </c>
      <c r="T741" s="1">
        <v>44864</v>
      </c>
      <c r="U741">
        <v>0</v>
      </c>
    </row>
    <row r="742" spans="1:21" x14ac:dyDescent="0.25">
      <c r="A742" t="s">
        <v>789</v>
      </c>
      <c r="B742">
        <v>51</v>
      </c>
      <c r="C742" t="s">
        <v>29</v>
      </c>
      <c r="D742" t="s">
        <v>35</v>
      </c>
      <c r="E742" t="s">
        <v>31</v>
      </c>
      <c r="F742" t="s">
        <v>32</v>
      </c>
      <c r="G742">
        <v>4296.49</v>
      </c>
      <c r="H742">
        <v>2674.76</v>
      </c>
      <c r="I742">
        <v>25863.07</v>
      </c>
      <c r="J742" t="s">
        <v>37</v>
      </c>
      <c r="K742" t="s">
        <v>38</v>
      </c>
      <c r="L742">
        <v>0</v>
      </c>
      <c r="M742">
        <v>0</v>
      </c>
      <c r="N742">
        <v>0</v>
      </c>
      <c r="O742">
        <v>0</v>
      </c>
      <c r="P742">
        <v>0</v>
      </c>
      <c r="Q742">
        <v>303</v>
      </c>
      <c r="R742">
        <v>0.5</v>
      </c>
      <c r="S742" t="s">
        <v>39</v>
      </c>
      <c r="T742" s="1">
        <v>44741</v>
      </c>
      <c r="U742">
        <v>0</v>
      </c>
    </row>
    <row r="743" spans="1:21" x14ac:dyDescent="0.25">
      <c r="A743" t="s">
        <v>790</v>
      </c>
      <c r="B743">
        <v>50</v>
      </c>
      <c r="C743" t="s">
        <v>29</v>
      </c>
      <c r="D743" t="s">
        <v>56</v>
      </c>
      <c r="E743" t="s">
        <v>31</v>
      </c>
      <c r="F743" t="s">
        <v>32</v>
      </c>
      <c r="G743">
        <v>6544.01</v>
      </c>
      <c r="H743">
        <v>2628.54</v>
      </c>
      <c r="I743">
        <v>31461.62</v>
      </c>
      <c r="J743" t="s">
        <v>37</v>
      </c>
      <c r="K743" t="s">
        <v>38</v>
      </c>
      <c r="L743">
        <v>0</v>
      </c>
      <c r="M743">
        <v>0</v>
      </c>
      <c r="N743">
        <v>0</v>
      </c>
      <c r="O743">
        <v>0</v>
      </c>
      <c r="P743">
        <v>0</v>
      </c>
      <c r="Q743">
        <v>850</v>
      </c>
      <c r="R743">
        <v>0.4</v>
      </c>
      <c r="S743" t="s">
        <v>72</v>
      </c>
      <c r="T743" s="1">
        <v>45067</v>
      </c>
      <c r="U743">
        <v>0</v>
      </c>
    </row>
    <row r="744" spans="1:21" x14ac:dyDescent="0.25">
      <c r="A744" t="s">
        <v>791</v>
      </c>
      <c r="B744">
        <v>26</v>
      </c>
      <c r="C744" t="s">
        <v>21</v>
      </c>
      <c r="D744" t="s">
        <v>41</v>
      </c>
      <c r="E744" t="s">
        <v>31</v>
      </c>
      <c r="F744" t="s">
        <v>32</v>
      </c>
      <c r="G744">
        <v>5552.34</v>
      </c>
      <c r="H744">
        <v>3687.47</v>
      </c>
      <c r="I744">
        <v>45299.87</v>
      </c>
      <c r="J744" t="s">
        <v>25</v>
      </c>
      <c r="K744" t="s">
        <v>54</v>
      </c>
      <c r="L744">
        <v>185060.04</v>
      </c>
      <c r="M744">
        <v>120</v>
      </c>
      <c r="N744">
        <v>2483.66</v>
      </c>
      <c r="O744">
        <v>10.37</v>
      </c>
      <c r="P744">
        <v>0.45</v>
      </c>
      <c r="Q744">
        <v>307</v>
      </c>
      <c r="R744">
        <v>0.68</v>
      </c>
      <c r="S744" t="s">
        <v>30</v>
      </c>
      <c r="T744" s="1">
        <v>45479</v>
      </c>
      <c r="U744">
        <v>1</v>
      </c>
    </row>
    <row r="745" spans="1:21" x14ac:dyDescent="0.25">
      <c r="A745" t="s">
        <v>792</v>
      </c>
      <c r="B745">
        <v>69</v>
      </c>
      <c r="C745" t="s">
        <v>29</v>
      </c>
      <c r="D745" t="s">
        <v>41</v>
      </c>
      <c r="E745" t="s">
        <v>51</v>
      </c>
      <c r="F745" t="s">
        <v>44</v>
      </c>
      <c r="G745">
        <v>7410.66</v>
      </c>
      <c r="H745">
        <v>5200.74</v>
      </c>
      <c r="I745">
        <v>47102.78</v>
      </c>
      <c r="J745" t="s">
        <v>25</v>
      </c>
      <c r="K745" t="s">
        <v>54</v>
      </c>
      <c r="L745">
        <v>317516.45</v>
      </c>
      <c r="M745">
        <v>120</v>
      </c>
      <c r="N745">
        <v>7997.54</v>
      </c>
      <c r="O745">
        <v>28.4</v>
      </c>
      <c r="P745">
        <v>1.08</v>
      </c>
      <c r="Q745">
        <v>612</v>
      </c>
      <c r="R745">
        <v>0.53</v>
      </c>
      <c r="S745" t="s">
        <v>39</v>
      </c>
      <c r="T745" s="1">
        <v>45059</v>
      </c>
      <c r="U745">
        <v>1</v>
      </c>
    </row>
    <row r="746" spans="1:21" x14ac:dyDescent="0.25">
      <c r="A746" t="s">
        <v>793</v>
      </c>
      <c r="B746">
        <v>63</v>
      </c>
      <c r="C746" t="s">
        <v>29</v>
      </c>
      <c r="D746" t="s">
        <v>41</v>
      </c>
      <c r="E746" t="s">
        <v>23</v>
      </c>
      <c r="F746" t="s">
        <v>63</v>
      </c>
      <c r="G746">
        <v>4051.17</v>
      </c>
      <c r="H746">
        <v>2627.24</v>
      </c>
      <c r="I746">
        <v>37623.03</v>
      </c>
      <c r="J746" t="s">
        <v>37</v>
      </c>
      <c r="K746" t="s">
        <v>38</v>
      </c>
      <c r="L746">
        <v>0</v>
      </c>
      <c r="M746">
        <v>0</v>
      </c>
      <c r="N746">
        <v>0</v>
      </c>
      <c r="O746">
        <v>0</v>
      </c>
      <c r="P746">
        <v>0</v>
      </c>
      <c r="Q746">
        <v>793</v>
      </c>
      <c r="R746">
        <v>0.77</v>
      </c>
      <c r="S746" t="s">
        <v>30</v>
      </c>
      <c r="T746" s="1">
        <v>45361</v>
      </c>
      <c r="U746">
        <v>0</v>
      </c>
    </row>
    <row r="747" spans="1:21" x14ac:dyDescent="0.25">
      <c r="A747" t="s">
        <v>794</v>
      </c>
      <c r="B747">
        <v>30</v>
      </c>
      <c r="C747" t="s">
        <v>29</v>
      </c>
      <c r="D747" t="s">
        <v>41</v>
      </c>
      <c r="E747" t="s">
        <v>23</v>
      </c>
      <c r="F747" t="s">
        <v>49</v>
      </c>
      <c r="G747">
        <v>7146.85</v>
      </c>
      <c r="H747">
        <v>3174.75</v>
      </c>
      <c r="I747">
        <v>45372.82</v>
      </c>
      <c r="J747" t="s">
        <v>25</v>
      </c>
      <c r="K747" t="s">
        <v>26</v>
      </c>
      <c r="L747">
        <v>5622.34</v>
      </c>
      <c r="M747">
        <v>120</v>
      </c>
      <c r="N747">
        <v>57.41</v>
      </c>
      <c r="O747">
        <v>4.18</v>
      </c>
      <c r="P747">
        <v>0.01</v>
      </c>
      <c r="Q747">
        <v>511</v>
      </c>
      <c r="R747">
        <v>0.53</v>
      </c>
      <c r="S747" t="s">
        <v>30</v>
      </c>
      <c r="T747" s="1">
        <v>45335</v>
      </c>
      <c r="U747">
        <v>0</v>
      </c>
    </row>
    <row r="748" spans="1:21" x14ac:dyDescent="0.25">
      <c r="A748" t="s">
        <v>795</v>
      </c>
      <c r="B748">
        <v>51</v>
      </c>
      <c r="C748" t="s">
        <v>30</v>
      </c>
      <c r="D748" t="s">
        <v>22</v>
      </c>
      <c r="E748" t="s">
        <v>51</v>
      </c>
      <c r="F748" t="s">
        <v>36</v>
      </c>
      <c r="G748">
        <v>5514.62</v>
      </c>
      <c r="H748">
        <v>2414.31</v>
      </c>
      <c r="I748">
        <v>60324.01</v>
      </c>
      <c r="J748" t="s">
        <v>37</v>
      </c>
      <c r="K748" t="s">
        <v>38</v>
      </c>
      <c r="L748">
        <v>0</v>
      </c>
      <c r="M748">
        <v>0</v>
      </c>
      <c r="N748">
        <v>0</v>
      </c>
      <c r="O748">
        <v>0</v>
      </c>
      <c r="P748">
        <v>0</v>
      </c>
      <c r="Q748">
        <v>468</v>
      </c>
      <c r="R748">
        <v>0.91</v>
      </c>
      <c r="S748" t="s">
        <v>27</v>
      </c>
      <c r="T748" s="1">
        <v>45337</v>
      </c>
      <c r="U748">
        <v>0</v>
      </c>
    </row>
    <row r="749" spans="1:21" x14ac:dyDescent="0.25">
      <c r="A749" t="s">
        <v>796</v>
      </c>
      <c r="B749">
        <v>65</v>
      </c>
      <c r="C749" t="s">
        <v>21</v>
      </c>
      <c r="D749" t="s">
        <v>35</v>
      </c>
      <c r="E749" t="s">
        <v>31</v>
      </c>
      <c r="F749" t="s">
        <v>49</v>
      </c>
      <c r="G749">
        <v>5888.03</v>
      </c>
      <c r="H749">
        <v>4194.7</v>
      </c>
      <c r="I749">
        <v>64106.33</v>
      </c>
      <c r="J749" t="s">
        <v>37</v>
      </c>
      <c r="K749" t="s">
        <v>38</v>
      </c>
      <c r="L749">
        <v>0</v>
      </c>
      <c r="M749">
        <v>0</v>
      </c>
      <c r="N749">
        <v>0</v>
      </c>
      <c r="O749">
        <v>0</v>
      </c>
      <c r="P749">
        <v>0</v>
      </c>
      <c r="Q749">
        <v>378</v>
      </c>
      <c r="R749">
        <v>0.91</v>
      </c>
      <c r="S749" t="s">
        <v>47</v>
      </c>
      <c r="T749" s="1">
        <v>45416</v>
      </c>
      <c r="U749">
        <v>0</v>
      </c>
    </row>
    <row r="750" spans="1:21" x14ac:dyDescent="0.25">
      <c r="A750" t="s">
        <v>797</v>
      </c>
      <c r="B750">
        <v>53</v>
      </c>
      <c r="C750" t="s">
        <v>30</v>
      </c>
      <c r="D750" t="s">
        <v>41</v>
      </c>
      <c r="E750" t="s">
        <v>31</v>
      </c>
      <c r="F750" t="s">
        <v>52</v>
      </c>
      <c r="G750">
        <v>5719.58</v>
      </c>
      <c r="H750">
        <v>2071.7600000000002</v>
      </c>
      <c r="I750">
        <v>21783.37</v>
      </c>
      <c r="J750" t="s">
        <v>25</v>
      </c>
      <c r="K750" t="s">
        <v>33</v>
      </c>
      <c r="L750">
        <v>291124.78000000003</v>
      </c>
      <c r="M750">
        <v>60</v>
      </c>
      <c r="N750">
        <v>8434.32</v>
      </c>
      <c r="O750">
        <v>24.35</v>
      </c>
      <c r="P750">
        <v>1.47</v>
      </c>
      <c r="Q750">
        <v>359</v>
      </c>
      <c r="R750">
        <v>0.32</v>
      </c>
      <c r="S750" t="s">
        <v>39</v>
      </c>
      <c r="T750" s="1">
        <v>45673</v>
      </c>
      <c r="U750">
        <v>1</v>
      </c>
    </row>
    <row r="751" spans="1:21" x14ac:dyDescent="0.25">
      <c r="A751" t="s">
        <v>798</v>
      </c>
      <c r="B751">
        <v>48</v>
      </c>
      <c r="C751" t="s">
        <v>21</v>
      </c>
      <c r="D751" t="s">
        <v>41</v>
      </c>
      <c r="E751" t="s">
        <v>51</v>
      </c>
      <c r="F751" t="s">
        <v>24</v>
      </c>
      <c r="G751">
        <v>3004.1</v>
      </c>
      <c r="H751">
        <v>1832.87</v>
      </c>
      <c r="I751">
        <v>16778.59</v>
      </c>
      <c r="J751" t="s">
        <v>25</v>
      </c>
      <c r="K751" t="s">
        <v>54</v>
      </c>
      <c r="L751">
        <v>319108.32</v>
      </c>
      <c r="M751">
        <v>300</v>
      </c>
      <c r="N751">
        <v>3370.36</v>
      </c>
      <c r="O751">
        <v>12.04</v>
      </c>
      <c r="P751">
        <v>1.1200000000000001</v>
      </c>
      <c r="Q751">
        <v>684</v>
      </c>
      <c r="R751">
        <v>0.47</v>
      </c>
      <c r="S751" t="s">
        <v>39</v>
      </c>
      <c r="T751" s="1">
        <v>45387</v>
      </c>
      <c r="U751">
        <v>1</v>
      </c>
    </row>
    <row r="752" spans="1:21" x14ac:dyDescent="0.25">
      <c r="A752" t="s">
        <v>799</v>
      </c>
      <c r="B752">
        <v>60</v>
      </c>
      <c r="C752" t="s">
        <v>21</v>
      </c>
      <c r="D752" t="s">
        <v>35</v>
      </c>
      <c r="E752" t="s">
        <v>31</v>
      </c>
      <c r="F752" t="s">
        <v>24</v>
      </c>
      <c r="G752">
        <v>6591.05</v>
      </c>
      <c r="H752">
        <v>3934.81</v>
      </c>
      <c r="I752">
        <v>51482.080000000002</v>
      </c>
      <c r="J752" t="s">
        <v>37</v>
      </c>
      <c r="K752" t="s">
        <v>38</v>
      </c>
      <c r="L752">
        <v>0</v>
      </c>
      <c r="M752">
        <v>0</v>
      </c>
      <c r="N752">
        <v>0</v>
      </c>
      <c r="O752">
        <v>0</v>
      </c>
      <c r="P752">
        <v>0</v>
      </c>
      <c r="Q752">
        <v>766</v>
      </c>
      <c r="R752">
        <v>0.65</v>
      </c>
      <c r="S752" t="s">
        <v>30</v>
      </c>
      <c r="T752" s="1">
        <v>44802</v>
      </c>
      <c r="U752">
        <v>0</v>
      </c>
    </row>
    <row r="753" spans="1:21" x14ac:dyDescent="0.25">
      <c r="A753" t="s">
        <v>800</v>
      </c>
      <c r="B753">
        <v>66</v>
      </c>
      <c r="C753" t="s">
        <v>21</v>
      </c>
      <c r="D753" t="s">
        <v>22</v>
      </c>
      <c r="E753" t="s">
        <v>51</v>
      </c>
      <c r="F753" t="s">
        <v>24</v>
      </c>
      <c r="G753">
        <v>1113.93</v>
      </c>
      <c r="H753">
        <v>564.41999999999996</v>
      </c>
      <c r="I753">
        <v>12936.03</v>
      </c>
      <c r="J753" t="s">
        <v>37</v>
      </c>
      <c r="K753" t="s">
        <v>38</v>
      </c>
      <c r="L753">
        <v>0</v>
      </c>
      <c r="M753">
        <v>0</v>
      </c>
      <c r="N753">
        <v>0</v>
      </c>
      <c r="O753">
        <v>0</v>
      </c>
      <c r="P753">
        <v>0</v>
      </c>
      <c r="Q753">
        <v>356</v>
      </c>
      <c r="R753">
        <v>0.97</v>
      </c>
      <c r="S753" t="s">
        <v>39</v>
      </c>
      <c r="T753" s="1">
        <v>44542</v>
      </c>
      <c r="U753">
        <v>0</v>
      </c>
    </row>
    <row r="754" spans="1:21" x14ac:dyDescent="0.25">
      <c r="A754" t="s">
        <v>801</v>
      </c>
      <c r="B754">
        <v>32</v>
      </c>
      <c r="C754" t="s">
        <v>29</v>
      </c>
      <c r="D754" t="s">
        <v>35</v>
      </c>
      <c r="E754" t="s">
        <v>31</v>
      </c>
      <c r="F754" t="s">
        <v>32</v>
      </c>
      <c r="G754">
        <v>3512.59</v>
      </c>
      <c r="H754">
        <v>2720.44</v>
      </c>
      <c r="I754">
        <v>8688.81</v>
      </c>
      <c r="J754" t="s">
        <v>25</v>
      </c>
      <c r="K754" t="s">
        <v>33</v>
      </c>
      <c r="L754">
        <v>307399.05</v>
      </c>
      <c r="M754">
        <v>240</v>
      </c>
      <c r="N754">
        <v>3751.34</v>
      </c>
      <c r="O754">
        <v>13.68</v>
      </c>
      <c r="P754">
        <v>1.07</v>
      </c>
      <c r="Q754">
        <v>546</v>
      </c>
      <c r="R754">
        <v>0.21</v>
      </c>
      <c r="S754" t="s">
        <v>72</v>
      </c>
      <c r="T754" s="1">
        <v>44535</v>
      </c>
      <c r="U754">
        <v>1</v>
      </c>
    </row>
    <row r="755" spans="1:21" x14ac:dyDescent="0.25">
      <c r="A755" t="s">
        <v>802</v>
      </c>
      <c r="B755">
        <v>38</v>
      </c>
      <c r="C755" t="s">
        <v>21</v>
      </c>
      <c r="D755" t="s">
        <v>41</v>
      </c>
      <c r="E755" t="s">
        <v>49</v>
      </c>
      <c r="F755" t="s">
        <v>24</v>
      </c>
      <c r="G755">
        <v>1442.14</v>
      </c>
      <c r="H755">
        <v>944.06</v>
      </c>
      <c r="I755">
        <v>14374.93</v>
      </c>
      <c r="J755" t="s">
        <v>37</v>
      </c>
      <c r="K755" t="s">
        <v>38</v>
      </c>
      <c r="L755">
        <v>0</v>
      </c>
      <c r="M755">
        <v>0</v>
      </c>
      <c r="N755">
        <v>0</v>
      </c>
      <c r="O755">
        <v>0</v>
      </c>
      <c r="P755">
        <v>0</v>
      </c>
      <c r="Q755">
        <v>375</v>
      </c>
      <c r="R755">
        <v>0.83</v>
      </c>
      <c r="S755" t="s">
        <v>39</v>
      </c>
      <c r="T755" s="1">
        <v>45669</v>
      </c>
      <c r="U755">
        <v>0</v>
      </c>
    </row>
    <row r="756" spans="1:21" x14ac:dyDescent="0.25">
      <c r="A756" t="s">
        <v>803</v>
      </c>
      <c r="B756">
        <v>64</v>
      </c>
      <c r="C756" t="s">
        <v>29</v>
      </c>
      <c r="D756" t="s">
        <v>35</v>
      </c>
      <c r="E756" t="s">
        <v>31</v>
      </c>
      <c r="F756" t="s">
        <v>36</v>
      </c>
      <c r="G756">
        <v>3360.84</v>
      </c>
      <c r="H756">
        <v>2636.71</v>
      </c>
      <c r="I756">
        <v>34367.480000000003</v>
      </c>
      <c r="J756" t="s">
        <v>25</v>
      </c>
      <c r="K756" t="s">
        <v>54</v>
      </c>
      <c r="L756">
        <v>299727.2</v>
      </c>
      <c r="M756">
        <v>120</v>
      </c>
      <c r="N756">
        <v>5037.6499999999996</v>
      </c>
      <c r="O756">
        <v>16.09</v>
      </c>
      <c r="P756">
        <v>1.5</v>
      </c>
      <c r="Q756">
        <v>622</v>
      </c>
      <c r="R756">
        <v>0.85</v>
      </c>
      <c r="S756" t="s">
        <v>30</v>
      </c>
      <c r="T756" s="1">
        <v>44735</v>
      </c>
      <c r="U756">
        <v>1</v>
      </c>
    </row>
    <row r="757" spans="1:21" x14ac:dyDescent="0.25">
      <c r="A757" t="s">
        <v>804</v>
      </c>
      <c r="B757">
        <v>51</v>
      </c>
      <c r="C757" t="s">
        <v>21</v>
      </c>
      <c r="D757" t="s">
        <v>30</v>
      </c>
      <c r="E757" t="s">
        <v>23</v>
      </c>
      <c r="F757" t="s">
        <v>44</v>
      </c>
      <c r="G757">
        <v>2777.07</v>
      </c>
      <c r="H757">
        <v>1786.67</v>
      </c>
      <c r="I757">
        <v>9030.66</v>
      </c>
      <c r="J757" t="s">
        <v>37</v>
      </c>
      <c r="K757" t="s">
        <v>38</v>
      </c>
      <c r="L757">
        <v>0</v>
      </c>
      <c r="M757">
        <v>0</v>
      </c>
      <c r="N757">
        <v>0</v>
      </c>
      <c r="O757">
        <v>0</v>
      </c>
      <c r="P757">
        <v>0</v>
      </c>
      <c r="Q757">
        <v>403</v>
      </c>
      <c r="R757">
        <v>0.27</v>
      </c>
      <c r="S757" t="s">
        <v>30</v>
      </c>
      <c r="T757" s="1">
        <v>44649</v>
      </c>
      <c r="U757">
        <v>0</v>
      </c>
    </row>
    <row r="758" spans="1:21" x14ac:dyDescent="0.25">
      <c r="A758" t="s">
        <v>805</v>
      </c>
      <c r="B758">
        <v>41</v>
      </c>
      <c r="C758" t="s">
        <v>29</v>
      </c>
      <c r="D758" t="s">
        <v>41</v>
      </c>
      <c r="E758" t="s">
        <v>51</v>
      </c>
      <c r="F758" t="s">
        <v>23</v>
      </c>
      <c r="G758">
        <v>3571.05</v>
      </c>
      <c r="H758">
        <v>3056.1</v>
      </c>
      <c r="I758">
        <v>30380.43</v>
      </c>
      <c r="J758" t="s">
        <v>25</v>
      </c>
      <c r="K758" t="s">
        <v>54</v>
      </c>
      <c r="L758">
        <v>243333.22</v>
      </c>
      <c r="M758">
        <v>300</v>
      </c>
      <c r="N758">
        <v>5766.07</v>
      </c>
      <c r="O758">
        <v>28.41</v>
      </c>
      <c r="P758">
        <v>1.61</v>
      </c>
      <c r="Q758">
        <v>776</v>
      </c>
      <c r="R758">
        <v>0.71</v>
      </c>
      <c r="S758" t="s">
        <v>72</v>
      </c>
      <c r="T758" s="1">
        <v>45406</v>
      </c>
      <c r="U758">
        <v>1</v>
      </c>
    </row>
    <row r="759" spans="1:21" x14ac:dyDescent="0.25">
      <c r="A759" t="s">
        <v>806</v>
      </c>
      <c r="B759">
        <v>49</v>
      </c>
      <c r="C759" t="s">
        <v>29</v>
      </c>
      <c r="D759" t="s">
        <v>35</v>
      </c>
      <c r="E759" t="s">
        <v>31</v>
      </c>
      <c r="F759" t="s">
        <v>24</v>
      </c>
      <c r="G759">
        <v>5449.52</v>
      </c>
      <c r="H759">
        <v>2783.66</v>
      </c>
      <c r="I759">
        <v>32879.82</v>
      </c>
      <c r="J759" t="s">
        <v>37</v>
      </c>
      <c r="K759" t="s">
        <v>38</v>
      </c>
      <c r="L759">
        <v>0</v>
      </c>
      <c r="M759">
        <v>0</v>
      </c>
      <c r="N759">
        <v>0</v>
      </c>
      <c r="O759">
        <v>0</v>
      </c>
      <c r="P759">
        <v>0</v>
      </c>
      <c r="Q759">
        <v>520</v>
      </c>
      <c r="R759">
        <v>0.5</v>
      </c>
      <c r="S759" t="s">
        <v>27</v>
      </c>
      <c r="T759" s="1">
        <v>44706</v>
      </c>
      <c r="U759">
        <v>0</v>
      </c>
    </row>
    <row r="760" spans="1:21" x14ac:dyDescent="0.25">
      <c r="A760" t="s">
        <v>807</v>
      </c>
      <c r="B760">
        <v>63</v>
      </c>
      <c r="C760" t="s">
        <v>29</v>
      </c>
      <c r="D760" t="s">
        <v>41</v>
      </c>
      <c r="E760" t="s">
        <v>31</v>
      </c>
      <c r="F760" t="s">
        <v>52</v>
      </c>
      <c r="G760">
        <v>500</v>
      </c>
      <c r="H760">
        <v>271.86</v>
      </c>
      <c r="I760">
        <v>2977.61</v>
      </c>
      <c r="J760" t="s">
        <v>37</v>
      </c>
      <c r="K760" t="s">
        <v>38</v>
      </c>
      <c r="L760">
        <v>0</v>
      </c>
      <c r="M760">
        <v>0</v>
      </c>
      <c r="N760">
        <v>0</v>
      </c>
      <c r="O760">
        <v>0</v>
      </c>
      <c r="P760">
        <v>0</v>
      </c>
      <c r="Q760">
        <v>363</v>
      </c>
      <c r="R760">
        <v>0.5</v>
      </c>
      <c r="S760" t="s">
        <v>27</v>
      </c>
      <c r="T760" s="1">
        <v>45212</v>
      </c>
      <c r="U760">
        <v>0</v>
      </c>
    </row>
    <row r="761" spans="1:21" x14ac:dyDescent="0.25">
      <c r="A761" t="s">
        <v>808</v>
      </c>
      <c r="B761">
        <v>66</v>
      </c>
      <c r="C761" t="s">
        <v>29</v>
      </c>
      <c r="D761" t="s">
        <v>41</v>
      </c>
      <c r="E761" t="s">
        <v>31</v>
      </c>
      <c r="F761" t="s">
        <v>63</v>
      </c>
      <c r="G761">
        <v>4814.49</v>
      </c>
      <c r="H761">
        <v>3308.24</v>
      </c>
      <c r="I761">
        <v>28461.85</v>
      </c>
      <c r="J761" t="s">
        <v>37</v>
      </c>
      <c r="K761" t="s">
        <v>38</v>
      </c>
      <c r="L761">
        <v>0</v>
      </c>
      <c r="M761">
        <v>0</v>
      </c>
      <c r="N761">
        <v>0</v>
      </c>
      <c r="O761">
        <v>0</v>
      </c>
      <c r="P761">
        <v>0</v>
      </c>
      <c r="Q761">
        <v>719</v>
      </c>
      <c r="R761">
        <v>0.49</v>
      </c>
      <c r="S761" t="s">
        <v>39</v>
      </c>
      <c r="T761" s="1">
        <v>44650</v>
      </c>
      <c r="U761">
        <v>0</v>
      </c>
    </row>
    <row r="762" spans="1:21" x14ac:dyDescent="0.25">
      <c r="A762" t="s">
        <v>809</v>
      </c>
      <c r="B762">
        <v>64</v>
      </c>
      <c r="C762" t="s">
        <v>29</v>
      </c>
      <c r="D762" t="s">
        <v>41</v>
      </c>
      <c r="E762" t="s">
        <v>51</v>
      </c>
      <c r="F762" t="s">
        <v>32</v>
      </c>
      <c r="G762">
        <v>5428.77</v>
      </c>
      <c r="H762">
        <v>3650.35</v>
      </c>
      <c r="I762">
        <v>35478.19</v>
      </c>
      <c r="J762" t="s">
        <v>37</v>
      </c>
      <c r="K762" t="s">
        <v>38</v>
      </c>
      <c r="L762">
        <v>0</v>
      </c>
      <c r="M762">
        <v>0</v>
      </c>
      <c r="N762">
        <v>0</v>
      </c>
      <c r="O762">
        <v>0</v>
      </c>
      <c r="P762">
        <v>0</v>
      </c>
      <c r="Q762">
        <v>825</v>
      </c>
      <c r="R762">
        <v>0.54</v>
      </c>
      <c r="S762" t="s">
        <v>39</v>
      </c>
      <c r="T762" s="1">
        <v>45540</v>
      </c>
      <c r="U762">
        <v>0</v>
      </c>
    </row>
    <row r="763" spans="1:21" x14ac:dyDescent="0.25">
      <c r="A763" t="s">
        <v>810</v>
      </c>
      <c r="B763">
        <v>57</v>
      </c>
      <c r="C763" t="s">
        <v>29</v>
      </c>
      <c r="D763" t="s">
        <v>41</v>
      </c>
      <c r="E763" t="s">
        <v>31</v>
      </c>
      <c r="F763" t="s">
        <v>36</v>
      </c>
      <c r="G763">
        <v>3870.9</v>
      </c>
      <c r="H763">
        <v>3158.67</v>
      </c>
      <c r="I763">
        <v>27757.81</v>
      </c>
      <c r="J763" t="s">
        <v>37</v>
      </c>
      <c r="K763" t="s">
        <v>38</v>
      </c>
      <c r="L763">
        <v>0</v>
      </c>
      <c r="M763">
        <v>0</v>
      </c>
      <c r="N763">
        <v>0</v>
      </c>
      <c r="O763">
        <v>0</v>
      </c>
      <c r="P763">
        <v>0</v>
      </c>
      <c r="Q763">
        <v>798</v>
      </c>
      <c r="R763">
        <v>0.6</v>
      </c>
      <c r="S763" t="s">
        <v>39</v>
      </c>
      <c r="T763" s="1">
        <v>44583</v>
      </c>
      <c r="U763">
        <v>0</v>
      </c>
    </row>
    <row r="764" spans="1:21" x14ac:dyDescent="0.25">
      <c r="A764" t="s">
        <v>811</v>
      </c>
      <c r="B764">
        <v>38</v>
      </c>
      <c r="C764" t="s">
        <v>21</v>
      </c>
      <c r="D764" t="s">
        <v>41</v>
      </c>
      <c r="E764" t="s">
        <v>49</v>
      </c>
      <c r="F764" t="s">
        <v>44</v>
      </c>
      <c r="G764">
        <v>2217.19</v>
      </c>
      <c r="H764">
        <v>1844.24</v>
      </c>
      <c r="I764">
        <v>19111.86</v>
      </c>
      <c r="J764" t="s">
        <v>37</v>
      </c>
      <c r="K764" t="s">
        <v>38</v>
      </c>
      <c r="L764">
        <v>0</v>
      </c>
      <c r="M764">
        <v>0</v>
      </c>
      <c r="N764">
        <v>0</v>
      </c>
      <c r="O764">
        <v>0</v>
      </c>
      <c r="P764">
        <v>0</v>
      </c>
      <c r="Q764">
        <v>373</v>
      </c>
      <c r="R764">
        <v>0.72</v>
      </c>
      <c r="S764" t="s">
        <v>27</v>
      </c>
      <c r="T764" s="1">
        <v>45522</v>
      </c>
      <c r="U764">
        <v>0</v>
      </c>
    </row>
    <row r="765" spans="1:21" x14ac:dyDescent="0.25">
      <c r="A765" t="s">
        <v>812</v>
      </c>
      <c r="B765">
        <v>50</v>
      </c>
      <c r="C765" t="s">
        <v>29</v>
      </c>
      <c r="D765" t="s">
        <v>41</v>
      </c>
      <c r="E765" t="s">
        <v>31</v>
      </c>
      <c r="F765" t="s">
        <v>36</v>
      </c>
      <c r="G765">
        <v>7805.26</v>
      </c>
      <c r="H765">
        <v>4345.3</v>
      </c>
      <c r="I765">
        <v>11013.59</v>
      </c>
      <c r="J765" t="s">
        <v>37</v>
      </c>
      <c r="K765" t="s">
        <v>38</v>
      </c>
      <c r="L765">
        <v>0</v>
      </c>
      <c r="M765">
        <v>0</v>
      </c>
      <c r="N765">
        <v>0</v>
      </c>
      <c r="O765">
        <v>0</v>
      </c>
      <c r="P765">
        <v>0</v>
      </c>
      <c r="Q765">
        <v>812</v>
      </c>
      <c r="R765">
        <v>0.12</v>
      </c>
      <c r="S765" t="s">
        <v>47</v>
      </c>
      <c r="T765" s="1">
        <v>44747</v>
      </c>
      <c r="U765">
        <v>0</v>
      </c>
    </row>
    <row r="766" spans="1:21" x14ac:dyDescent="0.25">
      <c r="A766" t="s">
        <v>813</v>
      </c>
      <c r="B766">
        <v>50</v>
      </c>
      <c r="C766" t="s">
        <v>21</v>
      </c>
      <c r="D766" t="s">
        <v>41</v>
      </c>
      <c r="E766" t="s">
        <v>31</v>
      </c>
      <c r="F766" t="s">
        <v>42</v>
      </c>
      <c r="G766">
        <v>5203.67</v>
      </c>
      <c r="H766">
        <v>1726.47</v>
      </c>
      <c r="I766">
        <v>10451.290000000001</v>
      </c>
      <c r="J766" t="s">
        <v>37</v>
      </c>
      <c r="K766" t="s">
        <v>38</v>
      </c>
      <c r="L766">
        <v>0</v>
      </c>
      <c r="M766">
        <v>0</v>
      </c>
      <c r="N766">
        <v>0</v>
      </c>
      <c r="O766">
        <v>0</v>
      </c>
      <c r="P766">
        <v>0</v>
      </c>
      <c r="Q766">
        <v>712</v>
      </c>
      <c r="R766">
        <v>0.17</v>
      </c>
      <c r="S766" t="s">
        <v>30</v>
      </c>
      <c r="T766" s="1">
        <v>45410</v>
      </c>
      <c r="U766">
        <v>0</v>
      </c>
    </row>
    <row r="767" spans="1:21" x14ac:dyDescent="0.25">
      <c r="A767" t="s">
        <v>814</v>
      </c>
      <c r="B767">
        <v>38</v>
      </c>
      <c r="C767" t="s">
        <v>21</v>
      </c>
      <c r="D767" t="s">
        <v>22</v>
      </c>
      <c r="E767" t="s">
        <v>31</v>
      </c>
      <c r="F767" t="s">
        <v>36</v>
      </c>
      <c r="G767">
        <v>6817.57</v>
      </c>
      <c r="H767">
        <v>3781.26</v>
      </c>
      <c r="I767">
        <v>24663.34</v>
      </c>
      <c r="J767" t="s">
        <v>25</v>
      </c>
      <c r="K767" t="s">
        <v>33</v>
      </c>
      <c r="L767">
        <v>227229</v>
      </c>
      <c r="M767">
        <v>120</v>
      </c>
      <c r="N767">
        <v>2691.32</v>
      </c>
      <c r="O767">
        <v>7.45</v>
      </c>
      <c r="P767">
        <v>0.39</v>
      </c>
      <c r="Q767">
        <v>421</v>
      </c>
      <c r="R767">
        <v>0.3</v>
      </c>
      <c r="S767" t="s">
        <v>30</v>
      </c>
      <c r="T767" s="1">
        <v>44911</v>
      </c>
      <c r="U767">
        <v>0</v>
      </c>
    </row>
    <row r="768" spans="1:21" x14ac:dyDescent="0.25">
      <c r="A768" t="s">
        <v>815</v>
      </c>
      <c r="B768">
        <v>19</v>
      </c>
      <c r="C768" t="s">
        <v>21</v>
      </c>
      <c r="D768" t="s">
        <v>35</v>
      </c>
      <c r="E768" t="s">
        <v>31</v>
      </c>
      <c r="F768" t="s">
        <v>23</v>
      </c>
      <c r="G768">
        <v>6031.1</v>
      </c>
      <c r="H768">
        <v>4137.04</v>
      </c>
      <c r="I768">
        <v>64223.69</v>
      </c>
      <c r="J768" t="s">
        <v>37</v>
      </c>
      <c r="K768" t="s">
        <v>38</v>
      </c>
      <c r="L768">
        <v>0</v>
      </c>
      <c r="M768">
        <v>0</v>
      </c>
      <c r="N768">
        <v>0</v>
      </c>
      <c r="O768">
        <v>0</v>
      </c>
      <c r="P768">
        <v>0</v>
      </c>
      <c r="Q768">
        <v>312</v>
      </c>
      <c r="R768">
        <v>0.89</v>
      </c>
      <c r="S768" t="s">
        <v>39</v>
      </c>
      <c r="T768" s="1">
        <v>45368</v>
      </c>
      <c r="U768">
        <v>0</v>
      </c>
    </row>
    <row r="769" spans="1:21" x14ac:dyDescent="0.25">
      <c r="A769" t="s">
        <v>816</v>
      </c>
      <c r="B769">
        <v>40</v>
      </c>
      <c r="C769" t="s">
        <v>29</v>
      </c>
      <c r="D769" t="s">
        <v>22</v>
      </c>
      <c r="E769" t="s">
        <v>51</v>
      </c>
      <c r="F769" t="s">
        <v>23</v>
      </c>
      <c r="G769">
        <v>5026.1000000000004</v>
      </c>
      <c r="H769">
        <v>4031.35</v>
      </c>
      <c r="I769">
        <v>11941.21</v>
      </c>
      <c r="J769" t="s">
        <v>25</v>
      </c>
      <c r="K769" t="s">
        <v>54</v>
      </c>
      <c r="L769">
        <v>268918.63</v>
      </c>
      <c r="M769">
        <v>360</v>
      </c>
      <c r="N769">
        <v>5717.47</v>
      </c>
      <c r="O769">
        <v>25.5</v>
      </c>
      <c r="P769">
        <v>1.1399999999999999</v>
      </c>
      <c r="Q769">
        <v>560</v>
      </c>
      <c r="R769">
        <v>0.2</v>
      </c>
      <c r="S769" t="s">
        <v>30</v>
      </c>
      <c r="T769" s="1">
        <v>44455</v>
      </c>
      <c r="U769">
        <v>1</v>
      </c>
    </row>
    <row r="770" spans="1:21" x14ac:dyDescent="0.25">
      <c r="A770" t="s">
        <v>817</v>
      </c>
      <c r="B770">
        <v>60</v>
      </c>
      <c r="C770" t="s">
        <v>21</v>
      </c>
      <c r="D770" t="s">
        <v>35</v>
      </c>
      <c r="E770" t="s">
        <v>31</v>
      </c>
      <c r="F770" t="s">
        <v>24</v>
      </c>
      <c r="G770">
        <v>4487.79</v>
      </c>
      <c r="H770">
        <v>2036.77</v>
      </c>
      <c r="I770">
        <v>41008.42</v>
      </c>
      <c r="J770" t="s">
        <v>37</v>
      </c>
      <c r="K770" t="s">
        <v>38</v>
      </c>
      <c r="L770">
        <v>0</v>
      </c>
      <c r="M770">
        <v>0</v>
      </c>
      <c r="N770">
        <v>0</v>
      </c>
      <c r="O770">
        <v>0</v>
      </c>
      <c r="P770">
        <v>0</v>
      </c>
      <c r="Q770">
        <v>790</v>
      </c>
      <c r="R770">
        <v>0.76</v>
      </c>
      <c r="S770" t="s">
        <v>27</v>
      </c>
      <c r="T770" s="1">
        <v>45412</v>
      </c>
      <c r="U770">
        <v>0</v>
      </c>
    </row>
    <row r="771" spans="1:21" x14ac:dyDescent="0.25">
      <c r="A771" t="s">
        <v>818</v>
      </c>
      <c r="B771">
        <v>18</v>
      </c>
      <c r="C771" t="s">
        <v>29</v>
      </c>
      <c r="D771" t="s">
        <v>41</v>
      </c>
      <c r="E771" t="s">
        <v>23</v>
      </c>
      <c r="F771" t="s">
        <v>52</v>
      </c>
      <c r="G771">
        <v>3283.51</v>
      </c>
      <c r="H771">
        <v>1733.24</v>
      </c>
      <c r="I771">
        <v>19985.240000000002</v>
      </c>
      <c r="J771" t="s">
        <v>37</v>
      </c>
      <c r="K771" t="s">
        <v>38</v>
      </c>
      <c r="L771">
        <v>0</v>
      </c>
      <c r="M771">
        <v>0</v>
      </c>
      <c r="N771">
        <v>0</v>
      </c>
      <c r="O771">
        <v>0</v>
      </c>
      <c r="P771">
        <v>0</v>
      </c>
      <c r="Q771">
        <v>302</v>
      </c>
      <c r="R771">
        <v>0.51</v>
      </c>
      <c r="S771" t="s">
        <v>27</v>
      </c>
      <c r="T771" s="1">
        <v>45151</v>
      </c>
      <c r="U771">
        <v>0</v>
      </c>
    </row>
    <row r="772" spans="1:21" x14ac:dyDescent="0.25">
      <c r="A772" t="s">
        <v>819</v>
      </c>
      <c r="B772">
        <v>47</v>
      </c>
      <c r="C772" t="s">
        <v>21</v>
      </c>
      <c r="D772" t="s">
        <v>41</v>
      </c>
      <c r="E772" t="s">
        <v>31</v>
      </c>
      <c r="F772" t="s">
        <v>49</v>
      </c>
      <c r="G772">
        <v>500</v>
      </c>
      <c r="H772">
        <v>192.93</v>
      </c>
      <c r="I772">
        <v>4763.6400000000003</v>
      </c>
      <c r="J772" t="s">
        <v>37</v>
      </c>
      <c r="K772" t="s">
        <v>38</v>
      </c>
      <c r="L772">
        <v>0</v>
      </c>
      <c r="M772">
        <v>0</v>
      </c>
      <c r="N772">
        <v>0</v>
      </c>
      <c r="O772">
        <v>0</v>
      </c>
      <c r="P772">
        <v>0</v>
      </c>
      <c r="Q772">
        <v>504</v>
      </c>
      <c r="R772">
        <v>0.79</v>
      </c>
      <c r="S772" t="s">
        <v>39</v>
      </c>
      <c r="T772" s="1">
        <v>45618</v>
      </c>
      <c r="U772">
        <v>0</v>
      </c>
    </row>
    <row r="773" spans="1:21" x14ac:dyDescent="0.25">
      <c r="A773" t="s">
        <v>820</v>
      </c>
      <c r="B773">
        <v>51</v>
      </c>
      <c r="C773" t="s">
        <v>21</v>
      </c>
      <c r="D773" t="s">
        <v>41</v>
      </c>
      <c r="E773" t="s">
        <v>31</v>
      </c>
      <c r="F773" t="s">
        <v>36</v>
      </c>
      <c r="G773">
        <v>5367.18</v>
      </c>
      <c r="H773">
        <v>4222.88</v>
      </c>
      <c r="I773">
        <v>53063.25</v>
      </c>
      <c r="J773" t="s">
        <v>37</v>
      </c>
      <c r="K773" t="s">
        <v>38</v>
      </c>
      <c r="L773">
        <v>0</v>
      </c>
      <c r="M773">
        <v>0</v>
      </c>
      <c r="N773">
        <v>0</v>
      </c>
      <c r="O773">
        <v>0</v>
      </c>
      <c r="P773">
        <v>0</v>
      </c>
      <c r="Q773">
        <v>776</v>
      </c>
      <c r="R773">
        <v>0.82</v>
      </c>
      <c r="S773" t="s">
        <v>72</v>
      </c>
      <c r="T773" s="1">
        <v>44946</v>
      </c>
      <c r="U773">
        <v>0</v>
      </c>
    </row>
    <row r="774" spans="1:21" x14ac:dyDescent="0.25">
      <c r="A774" t="s">
        <v>821</v>
      </c>
      <c r="B774">
        <v>46</v>
      </c>
      <c r="C774" t="s">
        <v>29</v>
      </c>
      <c r="D774" t="s">
        <v>41</v>
      </c>
      <c r="E774" t="s">
        <v>31</v>
      </c>
      <c r="F774" t="s">
        <v>63</v>
      </c>
      <c r="G774">
        <v>6317.98</v>
      </c>
      <c r="H774">
        <v>2009.11</v>
      </c>
      <c r="I774">
        <v>44525.71</v>
      </c>
      <c r="J774" t="s">
        <v>25</v>
      </c>
      <c r="K774" t="s">
        <v>26</v>
      </c>
      <c r="L774">
        <v>43229.91</v>
      </c>
      <c r="M774">
        <v>360</v>
      </c>
      <c r="N774">
        <v>798.7</v>
      </c>
      <c r="O774">
        <v>22.14</v>
      </c>
      <c r="P774">
        <v>0.13</v>
      </c>
      <c r="Q774">
        <v>836</v>
      </c>
      <c r="R774">
        <v>0.59</v>
      </c>
      <c r="S774" t="s">
        <v>27</v>
      </c>
      <c r="T774" s="1">
        <v>44802</v>
      </c>
      <c r="U774">
        <v>0</v>
      </c>
    </row>
    <row r="775" spans="1:21" x14ac:dyDescent="0.25">
      <c r="A775" t="s">
        <v>822</v>
      </c>
      <c r="B775">
        <v>23</v>
      </c>
      <c r="C775" t="s">
        <v>21</v>
      </c>
      <c r="D775" t="s">
        <v>41</v>
      </c>
      <c r="E775" t="s">
        <v>51</v>
      </c>
      <c r="F775" t="s">
        <v>63</v>
      </c>
      <c r="G775">
        <v>6471.56</v>
      </c>
      <c r="H775">
        <v>3392.09</v>
      </c>
      <c r="I775">
        <v>18718.14</v>
      </c>
      <c r="J775" t="s">
        <v>37</v>
      </c>
      <c r="K775" t="s">
        <v>38</v>
      </c>
      <c r="L775">
        <v>0</v>
      </c>
      <c r="M775">
        <v>0</v>
      </c>
      <c r="N775">
        <v>0</v>
      </c>
      <c r="O775">
        <v>0</v>
      </c>
      <c r="P775">
        <v>0</v>
      </c>
      <c r="Q775">
        <v>572</v>
      </c>
      <c r="R775">
        <v>0.24</v>
      </c>
      <c r="S775" t="s">
        <v>47</v>
      </c>
      <c r="T775" s="1">
        <v>45520</v>
      </c>
      <c r="U775">
        <v>0</v>
      </c>
    </row>
    <row r="776" spans="1:21" x14ac:dyDescent="0.25">
      <c r="A776" t="s">
        <v>823</v>
      </c>
      <c r="B776">
        <v>32</v>
      </c>
      <c r="C776" t="s">
        <v>29</v>
      </c>
      <c r="D776" t="s">
        <v>41</v>
      </c>
      <c r="E776" t="s">
        <v>49</v>
      </c>
      <c r="F776" t="s">
        <v>42</v>
      </c>
      <c r="G776">
        <v>4766.6400000000003</v>
      </c>
      <c r="H776">
        <v>3751.01</v>
      </c>
      <c r="I776">
        <v>52362.25</v>
      </c>
      <c r="J776" t="s">
        <v>37</v>
      </c>
      <c r="K776" t="s">
        <v>38</v>
      </c>
      <c r="L776">
        <v>0</v>
      </c>
      <c r="M776">
        <v>0</v>
      </c>
      <c r="N776">
        <v>0</v>
      </c>
      <c r="O776">
        <v>0</v>
      </c>
      <c r="P776">
        <v>0</v>
      </c>
      <c r="Q776">
        <v>482</v>
      </c>
      <c r="R776">
        <v>0.92</v>
      </c>
      <c r="S776" t="s">
        <v>39</v>
      </c>
      <c r="T776" s="1">
        <v>44478</v>
      </c>
      <c r="U776">
        <v>0</v>
      </c>
    </row>
    <row r="777" spans="1:21" x14ac:dyDescent="0.25">
      <c r="A777" t="s">
        <v>824</v>
      </c>
      <c r="B777">
        <v>55</v>
      </c>
      <c r="C777" t="s">
        <v>29</v>
      </c>
      <c r="D777" t="s">
        <v>41</v>
      </c>
      <c r="E777" t="s">
        <v>31</v>
      </c>
      <c r="F777" t="s">
        <v>24</v>
      </c>
      <c r="G777">
        <v>5223.41</v>
      </c>
      <c r="H777">
        <v>2609.9</v>
      </c>
      <c r="I777">
        <v>41257.51</v>
      </c>
      <c r="J777" t="s">
        <v>37</v>
      </c>
      <c r="K777" t="s">
        <v>38</v>
      </c>
      <c r="L777">
        <v>0</v>
      </c>
      <c r="M777">
        <v>0</v>
      </c>
      <c r="N777">
        <v>0</v>
      </c>
      <c r="O777">
        <v>0</v>
      </c>
      <c r="P777">
        <v>0</v>
      </c>
      <c r="Q777">
        <v>423</v>
      </c>
      <c r="R777">
        <v>0.66</v>
      </c>
      <c r="S777" t="s">
        <v>47</v>
      </c>
      <c r="T777" s="1">
        <v>45390</v>
      </c>
      <c r="U777">
        <v>0</v>
      </c>
    </row>
    <row r="778" spans="1:21" x14ac:dyDescent="0.25">
      <c r="A778" t="s">
        <v>825</v>
      </c>
      <c r="B778">
        <v>26</v>
      </c>
      <c r="C778" t="s">
        <v>29</v>
      </c>
      <c r="D778" t="s">
        <v>56</v>
      </c>
      <c r="E778" t="s">
        <v>31</v>
      </c>
      <c r="F778" t="s">
        <v>49</v>
      </c>
      <c r="G778">
        <v>7804.08</v>
      </c>
      <c r="H778">
        <v>6485.35</v>
      </c>
      <c r="I778">
        <v>36002.620000000003</v>
      </c>
      <c r="J778" t="s">
        <v>37</v>
      </c>
      <c r="K778" t="s">
        <v>38</v>
      </c>
      <c r="L778">
        <v>0</v>
      </c>
      <c r="M778">
        <v>0</v>
      </c>
      <c r="N778">
        <v>0</v>
      </c>
      <c r="O778">
        <v>0</v>
      </c>
      <c r="P778">
        <v>0</v>
      </c>
      <c r="Q778">
        <v>648</v>
      </c>
      <c r="R778">
        <v>0.38</v>
      </c>
      <c r="S778" t="s">
        <v>27</v>
      </c>
      <c r="T778" s="1">
        <v>45110</v>
      </c>
      <c r="U778">
        <v>0</v>
      </c>
    </row>
    <row r="779" spans="1:21" x14ac:dyDescent="0.25">
      <c r="A779" t="s">
        <v>826</v>
      </c>
      <c r="B779">
        <v>34</v>
      </c>
      <c r="C779" t="s">
        <v>29</v>
      </c>
      <c r="D779" t="s">
        <v>35</v>
      </c>
      <c r="E779" t="s">
        <v>31</v>
      </c>
      <c r="F779" t="s">
        <v>49</v>
      </c>
      <c r="G779">
        <v>4831.82</v>
      </c>
      <c r="H779">
        <v>1527.83</v>
      </c>
      <c r="I779">
        <v>13655.51</v>
      </c>
      <c r="J779" t="s">
        <v>37</v>
      </c>
      <c r="K779" t="s">
        <v>38</v>
      </c>
      <c r="L779">
        <v>0</v>
      </c>
      <c r="M779">
        <v>0</v>
      </c>
      <c r="N779">
        <v>0</v>
      </c>
      <c r="O779">
        <v>0</v>
      </c>
      <c r="P779">
        <v>0</v>
      </c>
      <c r="Q779">
        <v>300</v>
      </c>
      <c r="R779">
        <v>0.24</v>
      </c>
      <c r="S779" t="s">
        <v>39</v>
      </c>
      <c r="T779" s="1">
        <v>44878</v>
      </c>
      <c r="U779">
        <v>0</v>
      </c>
    </row>
    <row r="780" spans="1:21" x14ac:dyDescent="0.25">
      <c r="A780" t="s">
        <v>827</v>
      </c>
      <c r="B780">
        <v>18</v>
      </c>
      <c r="C780" t="s">
        <v>21</v>
      </c>
      <c r="D780" t="s">
        <v>35</v>
      </c>
      <c r="E780" t="s">
        <v>51</v>
      </c>
      <c r="F780" t="s">
        <v>63</v>
      </c>
      <c r="G780">
        <v>3088.84</v>
      </c>
      <c r="H780">
        <v>1750.17</v>
      </c>
      <c r="I780">
        <v>5547.97</v>
      </c>
      <c r="J780" t="s">
        <v>37</v>
      </c>
      <c r="K780" t="s">
        <v>38</v>
      </c>
      <c r="L780">
        <v>0</v>
      </c>
      <c r="M780">
        <v>0</v>
      </c>
      <c r="N780">
        <v>0</v>
      </c>
      <c r="O780">
        <v>0</v>
      </c>
      <c r="P780">
        <v>0</v>
      </c>
      <c r="Q780">
        <v>665</v>
      </c>
      <c r="R780">
        <v>0.15</v>
      </c>
      <c r="S780" t="s">
        <v>27</v>
      </c>
      <c r="T780" s="1">
        <v>45145</v>
      </c>
      <c r="U780">
        <v>0</v>
      </c>
    </row>
    <row r="781" spans="1:21" x14ac:dyDescent="0.25">
      <c r="A781" t="s">
        <v>828</v>
      </c>
      <c r="B781">
        <v>30</v>
      </c>
      <c r="C781" t="s">
        <v>21</v>
      </c>
      <c r="D781" t="s">
        <v>35</v>
      </c>
      <c r="E781" t="s">
        <v>31</v>
      </c>
      <c r="F781" t="s">
        <v>32</v>
      </c>
      <c r="G781">
        <v>2698.59</v>
      </c>
      <c r="H781">
        <v>849.14</v>
      </c>
      <c r="I781">
        <v>29112.69</v>
      </c>
      <c r="J781" t="s">
        <v>37</v>
      </c>
      <c r="K781" t="s">
        <v>38</v>
      </c>
      <c r="L781">
        <v>0</v>
      </c>
      <c r="M781">
        <v>0</v>
      </c>
      <c r="N781">
        <v>0</v>
      </c>
      <c r="O781">
        <v>0</v>
      </c>
      <c r="P781">
        <v>0</v>
      </c>
      <c r="Q781">
        <v>348</v>
      </c>
      <c r="R781">
        <v>0.9</v>
      </c>
      <c r="S781" t="s">
        <v>47</v>
      </c>
      <c r="T781" s="1">
        <v>45125</v>
      </c>
      <c r="U781">
        <v>0</v>
      </c>
    </row>
    <row r="782" spans="1:21" x14ac:dyDescent="0.25">
      <c r="A782" t="s">
        <v>829</v>
      </c>
      <c r="B782">
        <v>29</v>
      </c>
      <c r="C782" t="s">
        <v>21</v>
      </c>
      <c r="D782" t="s">
        <v>41</v>
      </c>
      <c r="E782" t="s">
        <v>31</v>
      </c>
      <c r="F782" t="s">
        <v>32</v>
      </c>
      <c r="G782">
        <v>3232.77</v>
      </c>
      <c r="H782">
        <v>1857.16</v>
      </c>
      <c r="I782">
        <v>15834.96</v>
      </c>
      <c r="J782" t="s">
        <v>25</v>
      </c>
      <c r="K782" t="s">
        <v>54</v>
      </c>
      <c r="L782">
        <v>5327.33</v>
      </c>
      <c r="M782">
        <v>36</v>
      </c>
      <c r="N782">
        <v>179.19</v>
      </c>
      <c r="O782">
        <v>12.88</v>
      </c>
      <c r="P782">
        <v>0.06</v>
      </c>
      <c r="Q782">
        <v>491</v>
      </c>
      <c r="R782">
        <v>0.41</v>
      </c>
      <c r="S782" t="s">
        <v>47</v>
      </c>
      <c r="T782" s="1">
        <v>44826</v>
      </c>
      <c r="U782">
        <v>0</v>
      </c>
    </row>
    <row r="783" spans="1:21" x14ac:dyDescent="0.25">
      <c r="A783" t="s">
        <v>830</v>
      </c>
      <c r="B783">
        <v>64</v>
      </c>
      <c r="C783" t="s">
        <v>21</v>
      </c>
      <c r="D783" t="s">
        <v>22</v>
      </c>
      <c r="E783" t="s">
        <v>31</v>
      </c>
      <c r="F783" t="s">
        <v>49</v>
      </c>
      <c r="G783">
        <v>4288.87</v>
      </c>
      <c r="H783">
        <v>1565.92</v>
      </c>
      <c r="I783">
        <v>37587.89</v>
      </c>
      <c r="J783" t="s">
        <v>37</v>
      </c>
      <c r="K783" t="s">
        <v>38</v>
      </c>
      <c r="L783">
        <v>0</v>
      </c>
      <c r="M783">
        <v>0</v>
      </c>
      <c r="N783">
        <v>0</v>
      </c>
      <c r="O783">
        <v>0</v>
      </c>
      <c r="P783">
        <v>0</v>
      </c>
      <c r="Q783">
        <v>804</v>
      </c>
      <c r="R783">
        <v>0.73</v>
      </c>
      <c r="S783" t="s">
        <v>30</v>
      </c>
      <c r="T783" s="1">
        <v>45440</v>
      </c>
      <c r="U783">
        <v>0</v>
      </c>
    </row>
    <row r="784" spans="1:21" x14ac:dyDescent="0.25">
      <c r="A784" t="s">
        <v>831</v>
      </c>
      <c r="B784">
        <v>28</v>
      </c>
      <c r="C784" t="s">
        <v>29</v>
      </c>
      <c r="D784" t="s">
        <v>35</v>
      </c>
      <c r="E784" t="s">
        <v>31</v>
      </c>
      <c r="F784" t="s">
        <v>52</v>
      </c>
      <c r="G784">
        <v>4523.9799999999996</v>
      </c>
      <c r="H784">
        <v>1701.75</v>
      </c>
      <c r="I784">
        <v>42339.98</v>
      </c>
      <c r="J784" t="s">
        <v>37</v>
      </c>
      <c r="K784" t="s">
        <v>38</v>
      </c>
      <c r="L784">
        <v>0</v>
      </c>
      <c r="M784">
        <v>0</v>
      </c>
      <c r="N784">
        <v>0</v>
      </c>
      <c r="O784">
        <v>0</v>
      </c>
      <c r="P784">
        <v>0</v>
      </c>
      <c r="Q784">
        <v>518</v>
      </c>
      <c r="R784">
        <v>0.78</v>
      </c>
      <c r="S784" t="s">
        <v>47</v>
      </c>
      <c r="T784" s="1">
        <v>44454</v>
      </c>
      <c r="U784">
        <v>0</v>
      </c>
    </row>
    <row r="785" spans="1:21" x14ac:dyDescent="0.25">
      <c r="A785" t="s">
        <v>832</v>
      </c>
      <c r="B785">
        <v>22</v>
      </c>
      <c r="C785" t="s">
        <v>21</v>
      </c>
      <c r="D785" t="s">
        <v>41</v>
      </c>
      <c r="E785" t="s">
        <v>31</v>
      </c>
      <c r="F785" t="s">
        <v>36</v>
      </c>
      <c r="G785">
        <v>1639.27</v>
      </c>
      <c r="H785">
        <v>849.96</v>
      </c>
      <c r="I785">
        <v>4344.66</v>
      </c>
      <c r="J785" t="s">
        <v>37</v>
      </c>
      <c r="K785" t="s">
        <v>38</v>
      </c>
      <c r="L785">
        <v>0</v>
      </c>
      <c r="M785">
        <v>0</v>
      </c>
      <c r="N785">
        <v>0</v>
      </c>
      <c r="O785">
        <v>0</v>
      </c>
      <c r="P785">
        <v>0</v>
      </c>
      <c r="Q785">
        <v>479</v>
      </c>
      <c r="R785">
        <v>0.22</v>
      </c>
      <c r="S785" t="s">
        <v>72</v>
      </c>
      <c r="T785" s="1">
        <v>45395</v>
      </c>
      <c r="U785">
        <v>0</v>
      </c>
    </row>
    <row r="786" spans="1:21" x14ac:dyDescent="0.25">
      <c r="A786" t="s">
        <v>833</v>
      </c>
      <c r="B786">
        <v>37</v>
      </c>
      <c r="C786" t="s">
        <v>21</v>
      </c>
      <c r="D786" t="s">
        <v>41</v>
      </c>
      <c r="E786" t="s">
        <v>31</v>
      </c>
      <c r="F786" t="s">
        <v>42</v>
      </c>
      <c r="G786">
        <v>5911.26</v>
      </c>
      <c r="H786">
        <v>4974.21</v>
      </c>
      <c r="I786">
        <v>51630.42</v>
      </c>
      <c r="J786" t="s">
        <v>37</v>
      </c>
      <c r="K786" t="s">
        <v>38</v>
      </c>
      <c r="L786">
        <v>0</v>
      </c>
      <c r="M786">
        <v>0</v>
      </c>
      <c r="N786">
        <v>0</v>
      </c>
      <c r="O786">
        <v>0</v>
      </c>
      <c r="P786">
        <v>0</v>
      </c>
      <c r="Q786">
        <v>820</v>
      </c>
      <c r="R786">
        <v>0.73</v>
      </c>
      <c r="S786" t="s">
        <v>30</v>
      </c>
      <c r="T786" s="1">
        <v>44988</v>
      </c>
      <c r="U786">
        <v>0</v>
      </c>
    </row>
    <row r="787" spans="1:21" x14ac:dyDescent="0.25">
      <c r="A787" t="s">
        <v>834</v>
      </c>
      <c r="B787">
        <v>19</v>
      </c>
      <c r="C787" t="s">
        <v>21</v>
      </c>
      <c r="D787" t="s">
        <v>41</v>
      </c>
      <c r="E787" t="s">
        <v>31</v>
      </c>
      <c r="F787" t="s">
        <v>23</v>
      </c>
      <c r="G787">
        <v>5448.87</v>
      </c>
      <c r="H787">
        <v>3935.67</v>
      </c>
      <c r="I787">
        <v>31965.37</v>
      </c>
      <c r="J787" t="s">
        <v>37</v>
      </c>
      <c r="K787" t="s">
        <v>38</v>
      </c>
      <c r="L787">
        <v>0</v>
      </c>
      <c r="M787">
        <v>0</v>
      </c>
      <c r="N787">
        <v>0</v>
      </c>
      <c r="O787">
        <v>0</v>
      </c>
      <c r="P787">
        <v>0</v>
      </c>
      <c r="Q787">
        <v>693</v>
      </c>
      <c r="R787">
        <v>0.49</v>
      </c>
      <c r="S787" t="s">
        <v>30</v>
      </c>
      <c r="T787" s="1">
        <v>45000</v>
      </c>
      <c r="U787">
        <v>0</v>
      </c>
    </row>
    <row r="788" spans="1:21" x14ac:dyDescent="0.25">
      <c r="A788" t="s">
        <v>835</v>
      </c>
      <c r="B788">
        <v>48</v>
      </c>
      <c r="C788" t="s">
        <v>30</v>
      </c>
      <c r="D788" t="s">
        <v>41</v>
      </c>
      <c r="E788" t="s">
        <v>31</v>
      </c>
      <c r="F788" t="s">
        <v>42</v>
      </c>
      <c r="G788">
        <v>785.89</v>
      </c>
      <c r="H788">
        <v>339.93</v>
      </c>
      <c r="I788">
        <v>4589.13</v>
      </c>
      <c r="J788" t="s">
        <v>37</v>
      </c>
      <c r="K788" t="s">
        <v>38</v>
      </c>
      <c r="L788">
        <v>0</v>
      </c>
      <c r="M788">
        <v>0</v>
      </c>
      <c r="N788">
        <v>0</v>
      </c>
      <c r="O788">
        <v>0</v>
      </c>
      <c r="P788">
        <v>0</v>
      </c>
      <c r="Q788">
        <v>463</v>
      </c>
      <c r="R788">
        <v>0.49</v>
      </c>
      <c r="S788" t="s">
        <v>30</v>
      </c>
      <c r="T788" s="1">
        <v>45036</v>
      </c>
      <c r="U788">
        <v>0</v>
      </c>
    </row>
    <row r="789" spans="1:21" x14ac:dyDescent="0.25">
      <c r="A789" t="s">
        <v>836</v>
      </c>
      <c r="B789">
        <v>64</v>
      </c>
      <c r="C789" t="s">
        <v>29</v>
      </c>
      <c r="D789" t="s">
        <v>41</v>
      </c>
      <c r="E789" t="s">
        <v>49</v>
      </c>
      <c r="F789" t="s">
        <v>44</v>
      </c>
      <c r="G789">
        <v>2691.01</v>
      </c>
      <c r="H789">
        <v>1133.53</v>
      </c>
      <c r="I789">
        <v>15296.08</v>
      </c>
      <c r="J789" t="s">
        <v>37</v>
      </c>
      <c r="K789" t="s">
        <v>38</v>
      </c>
      <c r="L789">
        <v>0</v>
      </c>
      <c r="M789">
        <v>0</v>
      </c>
      <c r="N789">
        <v>0</v>
      </c>
      <c r="O789">
        <v>0</v>
      </c>
      <c r="P789">
        <v>0</v>
      </c>
      <c r="Q789">
        <v>401</v>
      </c>
      <c r="R789">
        <v>0.47</v>
      </c>
      <c r="S789" t="s">
        <v>47</v>
      </c>
      <c r="T789" s="1">
        <v>44677</v>
      </c>
      <c r="U789">
        <v>0</v>
      </c>
    </row>
    <row r="790" spans="1:21" x14ac:dyDescent="0.25">
      <c r="A790" t="s">
        <v>837</v>
      </c>
      <c r="B790">
        <v>40</v>
      </c>
      <c r="C790" t="s">
        <v>21</v>
      </c>
      <c r="D790" t="s">
        <v>35</v>
      </c>
      <c r="E790" t="s">
        <v>31</v>
      </c>
      <c r="F790" t="s">
        <v>24</v>
      </c>
      <c r="G790">
        <v>3706.59</v>
      </c>
      <c r="H790">
        <v>2922.54</v>
      </c>
      <c r="I790">
        <v>34805.85</v>
      </c>
      <c r="J790" t="s">
        <v>37</v>
      </c>
      <c r="K790" t="s">
        <v>38</v>
      </c>
      <c r="L790">
        <v>0</v>
      </c>
      <c r="M790">
        <v>0</v>
      </c>
      <c r="N790">
        <v>0</v>
      </c>
      <c r="O790">
        <v>0</v>
      </c>
      <c r="P790">
        <v>0</v>
      </c>
      <c r="Q790">
        <v>359</v>
      </c>
      <c r="R790">
        <v>0.78</v>
      </c>
      <c r="S790" t="s">
        <v>72</v>
      </c>
      <c r="T790" s="1">
        <v>45048</v>
      </c>
      <c r="U790">
        <v>0</v>
      </c>
    </row>
    <row r="791" spans="1:21" x14ac:dyDescent="0.25">
      <c r="A791" t="s">
        <v>838</v>
      </c>
      <c r="B791">
        <v>25</v>
      </c>
      <c r="C791" t="s">
        <v>29</v>
      </c>
      <c r="D791" t="s">
        <v>30</v>
      </c>
      <c r="E791" t="s">
        <v>31</v>
      </c>
      <c r="F791" t="s">
        <v>36</v>
      </c>
      <c r="G791">
        <v>3990.6</v>
      </c>
      <c r="H791">
        <v>2759.03</v>
      </c>
      <c r="I791">
        <v>6713.54</v>
      </c>
      <c r="J791" t="s">
        <v>37</v>
      </c>
      <c r="K791" t="s">
        <v>38</v>
      </c>
      <c r="L791">
        <v>0</v>
      </c>
      <c r="M791">
        <v>0</v>
      </c>
      <c r="N791">
        <v>0</v>
      </c>
      <c r="O791">
        <v>0</v>
      </c>
      <c r="P791">
        <v>0</v>
      </c>
      <c r="Q791">
        <v>521</v>
      </c>
      <c r="R791">
        <v>0.14000000000000001</v>
      </c>
      <c r="S791" t="s">
        <v>47</v>
      </c>
      <c r="T791" s="1">
        <v>45057</v>
      </c>
      <c r="U791">
        <v>0</v>
      </c>
    </row>
    <row r="792" spans="1:21" x14ac:dyDescent="0.25">
      <c r="A792" t="s">
        <v>839</v>
      </c>
      <c r="B792">
        <v>46</v>
      </c>
      <c r="C792" t="s">
        <v>29</v>
      </c>
      <c r="D792" t="s">
        <v>35</v>
      </c>
      <c r="E792" t="s">
        <v>31</v>
      </c>
      <c r="F792" t="s">
        <v>49</v>
      </c>
      <c r="G792">
        <v>6479.55</v>
      </c>
      <c r="H792">
        <v>3301.16</v>
      </c>
      <c r="I792">
        <v>55187.18</v>
      </c>
      <c r="J792" t="s">
        <v>37</v>
      </c>
      <c r="K792" t="s">
        <v>38</v>
      </c>
      <c r="L792">
        <v>0</v>
      </c>
      <c r="M792">
        <v>0</v>
      </c>
      <c r="N792">
        <v>0</v>
      </c>
      <c r="O792">
        <v>0</v>
      </c>
      <c r="P792">
        <v>0</v>
      </c>
      <c r="Q792">
        <v>358</v>
      </c>
      <c r="R792">
        <v>0.71</v>
      </c>
      <c r="S792" t="s">
        <v>72</v>
      </c>
      <c r="T792" s="1">
        <v>45237</v>
      </c>
      <c r="U792">
        <v>0</v>
      </c>
    </row>
    <row r="793" spans="1:21" x14ac:dyDescent="0.25">
      <c r="A793" t="s">
        <v>840</v>
      </c>
      <c r="B793">
        <v>21</v>
      </c>
      <c r="C793" t="s">
        <v>29</v>
      </c>
      <c r="D793" t="s">
        <v>22</v>
      </c>
      <c r="E793" t="s">
        <v>31</v>
      </c>
      <c r="F793" t="s">
        <v>49</v>
      </c>
      <c r="G793">
        <v>5183.91</v>
      </c>
      <c r="H793">
        <v>3238.45</v>
      </c>
      <c r="I793">
        <v>52477.96</v>
      </c>
      <c r="J793" t="s">
        <v>37</v>
      </c>
      <c r="K793" t="s">
        <v>38</v>
      </c>
      <c r="L793">
        <v>0</v>
      </c>
      <c r="M793">
        <v>0</v>
      </c>
      <c r="N793">
        <v>0</v>
      </c>
      <c r="O793">
        <v>0</v>
      </c>
      <c r="P793">
        <v>0</v>
      </c>
      <c r="Q793">
        <v>417</v>
      </c>
      <c r="R793">
        <v>0.84</v>
      </c>
      <c r="S793" t="s">
        <v>27</v>
      </c>
      <c r="T793" s="1">
        <v>45242</v>
      </c>
      <c r="U793">
        <v>0</v>
      </c>
    </row>
    <row r="794" spans="1:21" x14ac:dyDescent="0.25">
      <c r="A794" t="s">
        <v>841</v>
      </c>
      <c r="B794">
        <v>52</v>
      </c>
      <c r="C794" t="s">
        <v>21</v>
      </c>
      <c r="D794" t="s">
        <v>41</v>
      </c>
      <c r="E794" t="s">
        <v>31</v>
      </c>
      <c r="F794" t="s">
        <v>63</v>
      </c>
      <c r="G794">
        <v>1466.13</v>
      </c>
      <c r="H794">
        <v>571.19000000000005</v>
      </c>
      <c r="I794">
        <v>6200.95</v>
      </c>
      <c r="J794" t="s">
        <v>37</v>
      </c>
      <c r="K794" t="s">
        <v>38</v>
      </c>
      <c r="L794">
        <v>0</v>
      </c>
      <c r="M794">
        <v>0</v>
      </c>
      <c r="N794">
        <v>0</v>
      </c>
      <c r="O794">
        <v>0</v>
      </c>
      <c r="P794">
        <v>0</v>
      </c>
      <c r="Q794">
        <v>844</v>
      </c>
      <c r="R794">
        <v>0.35</v>
      </c>
      <c r="S794" t="s">
        <v>39</v>
      </c>
      <c r="T794" s="1">
        <v>44919</v>
      </c>
      <c r="U794">
        <v>0</v>
      </c>
    </row>
    <row r="795" spans="1:21" x14ac:dyDescent="0.25">
      <c r="A795" t="s">
        <v>842</v>
      </c>
      <c r="B795">
        <v>46</v>
      </c>
      <c r="C795" t="s">
        <v>29</v>
      </c>
      <c r="D795" t="s">
        <v>35</v>
      </c>
      <c r="E795" t="s">
        <v>31</v>
      </c>
      <c r="F795" t="s">
        <v>63</v>
      </c>
      <c r="G795">
        <v>5259.37</v>
      </c>
      <c r="H795">
        <v>4345.05</v>
      </c>
      <c r="I795">
        <v>19184.599999999999</v>
      </c>
      <c r="J795" t="s">
        <v>25</v>
      </c>
      <c r="K795" t="s">
        <v>33</v>
      </c>
      <c r="L795">
        <v>308378.62</v>
      </c>
      <c r="M795">
        <v>60</v>
      </c>
      <c r="N795">
        <v>9954.3799999999992</v>
      </c>
      <c r="O795">
        <v>29.88</v>
      </c>
      <c r="P795">
        <v>1.89</v>
      </c>
      <c r="Q795">
        <v>579</v>
      </c>
      <c r="R795">
        <v>0.3</v>
      </c>
      <c r="S795" t="s">
        <v>27</v>
      </c>
      <c r="T795" s="1">
        <v>45255</v>
      </c>
      <c r="U795">
        <v>1</v>
      </c>
    </row>
    <row r="796" spans="1:21" x14ac:dyDescent="0.25">
      <c r="A796" t="s">
        <v>843</v>
      </c>
      <c r="B796">
        <v>29</v>
      </c>
      <c r="C796" t="s">
        <v>21</v>
      </c>
      <c r="D796" t="s">
        <v>35</v>
      </c>
      <c r="E796" t="s">
        <v>31</v>
      </c>
      <c r="F796" t="s">
        <v>32</v>
      </c>
      <c r="G796">
        <v>500</v>
      </c>
      <c r="H796">
        <v>309.68</v>
      </c>
      <c r="I796">
        <v>1143.93</v>
      </c>
      <c r="J796" t="s">
        <v>37</v>
      </c>
      <c r="K796" t="s">
        <v>38</v>
      </c>
      <c r="L796">
        <v>0</v>
      </c>
      <c r="M796">
        <v>0</v>
      </c>
      <c r="N796">
        <v>0</v>
      </c>
      <c r="O796">
        <v>0</v>
      </c>
      <c r="P796">
        <v>0</v>
      </c>
      <c r="Q796">
        <v>532</v>
      </c>
      <c r="R796">
        <v>0.19</v>
      </c>
      <c r="S796" t="s">
        <v>39</v>
      </c>
      <c r="T796" s="1">
        <v>44919</v>
      </c>
      <c r="U796">
        <v>0</v>
      </c>
    </row>
    <row r="797" spans="1:21" x14ac:dyDescent="0.25">
      <c r="A797" t="s">
        <v>844</v>
      </c>
      <c r="B797">
        <v>20</v>
      </c>
      <c r="C797" t="s">
        <v>21</v>
      </c>
      <c r="D797" t="s">
        <v>35</v>
      </c>
      <c r="E797" t="s">
        <v>51</v>
      </c>
      <c r="F797" t="s">
        <v>42</v>
      </c>
      <c r="G797">
        <v>1612.52</v>
      </c>
      <c r="H797">
        <v>827.89</v>
      </c>
      <c r="I797">
        <v>4387.21</v>
      </c>
      <c r="J797" t="s">
        <v>37</v>
      </c>
      <c r="K797" t="s">
        <v>38</v>
      </c>
      <c r="L797">
        <v>0</v>
      </c>
      <c r="M797">
        <v>0</v>
      </c>
      <c r="N797">
        <v>0</v>
      </c>
      <c r="O797">
        <v>0</v>
      </c>
      <c r="P797">
        <v>0</v>
      </c>
      <c r="Q797">
        <v>378</v>
      </c>
      <c r="R797">
        <v>0.23</v>
      </c>
      <c r="S797" t="s">
        <v>30</v>
      </c>
      <c r="T797" s="1">
        <v>44584</v>
      </c>
      <c r="U797">
        <v>0</v>
      </c>
    </row>
    <row r="798" spans="1:21" x14ac:dyDescent="0.25">
      <c r="A798" t="s">
        <v>845</v>
      </c>
      <c r="B798">
        <v>28</v>
      </c>
      <c r="C798" t="s">
        <v>29</v>
      </c>
      <c r="D798" t="s">
        <v>22</v>
      </c>
      <c r="E798" t="s">
        <v>31</v>
      </c>
      <c r="F798" t="s">
        <v>24</v>
      </c>
      <c r="G798">
        <v>6307.36</v>
      </c>
      <c r="H798">
        <v>2789.62</v>
      </c>
      <c r="I798">
        <v>70544.31</v>
      </c>
      <c r="J798" t="s">
        <v>37</v>
      </c>
      <c r="K798" t="s">
        <v>38</v>
      </c>
      <c r="L798">
        <v>0</v>
      </c>
      <c r="M798">
        <v>0</v>
      </c>
      <c r="N798">
        <v>0</v>
      </c>
      <c r="O798">
        <v>0</v>
      </c>
      <c r="P798">
        <v>0</v>
      </c>
      <c r="Q798">
        <v>721</v>
      </c>
      <c r="R798">
        <v>0.93</v>
      </c>
      <c r="S798" t="s">
        <v>72</v>
      </c>
      <c r="T798" s="1">
        <v>45687</v>
      </c>
      <c r="U798">
        <v>0</v>
      </c>
    </row>
    <row r="799" spans="1:21" x14ac:dyDescent="0.25">
      <c r="A799" t="s">
        <v>846</v>
      </c>
      <c r="B799">
        <v>31</v>
      </c>
      <c r="C799" t="s">
        <v>29</v>
      </c>
      <c r="D799" t="s">
        <v>41</v>
      </c>
      <c r="E799" t="s">
        <v>31</v>
      </c>
      <c r="F799" t="s">
        <v>44</v>
      </c>
      <c r="G799">
        <v>4235</v>
      </c>
      <c r="H799">
        <v>1480.41</v>
      </c>
      <c r="I799">
        <v>28361.61</v>
      </c>
      <c r="J799" t="s">
        <v>25</v>
      </c>
      <c r="K799" t="s">
        <v>54</v>
      </c>
      <c r="L799">
        <v>110262.66</v>
      </c>
      <c r="M799">
        <v>24</v>
      </c>
      <c r="N799">
        <v>5719.13</v>
      </c>
      <c r="O799">
        <v>21.98</v>
      </c>
      <c r="P799">
        <v>1.35</v>
      </c>
      <c r="Q799">
        <v>736</v>
      </c>
      <c r="R799">
        <v>0.56000000000000005</v>
      </c>
      <c r="S799" t="s">
        <v>47</v>
      </c>
      <c r="T799" s="1">
        <v>44630</v>
      </c>
      <c r="U799">
        <v>1</v>
      </c>
    </row>
    <row r="800" spans="1:21" x14ac:dyDescent="0.25">
      <c r="A800" t="s">
        <v>847</v>
      </c>
      <c r="B800">
        <v>24</v>
      </c>
      <c r="C800" t="s">
        <v>29</v>
      </c>
      <c r="D800" t="s">
        <v>35</v>
      </c>
      <c r="E800" t="s">
        <v>23</v>
      </c>
      <c r="F800" t="s">
        <v>63</v>
      </c>
      <c r="G800">
        <v>3086.66</v>
      </c>
      <c r="H800">
        <v>2254.06</v>
      </c>
      <c r="I800">
        <v>8271.56</v>
      </c>
      <c r="J800" t="s">
        <v>25</v>
      </c>
      <c r="K800" t="s">
        <v>26</v>
      </c>
      <c r="L800">
        <v>294815.59999999998</v>
      </c>
      <c r="M800">
        <v>300</v>
      </c>
      <c r="N800">
        <v>2745.78</v>
      </c>
      <c r="O800">
        <v>10.32</v>
      </c>
      <c r="P800">
        <v>0.89</v>
      </c>
      <c r="Q800">
        <v>622</v>
      </c>
      <c r="R800">
        <v>0.22</v>
      </c>
      <c r="S800" t="s">
        <v>47</v>
      </c>
      <c r="T800" s="1">
        <v>45145</v>
      </c>
      <c r="U800">
        <v>1</v>
      </c>
    </row>
    <row r="801" spans="1:21" x14ac:dyDescent="0.25">
      <c r="A801" t="s">
        <v>848</v>
      </c>
      <c r="B801">
        <v>61</v>
      </c>
      <c r="C801" t="s">
        <v>29</v>
      </c>
      <c r="D801" t="s">
        <v>41</v>
      </c>
      <c r="E801" t="s">
        <v>51</v>
      </c>
      <c r="F801" t="s">
        <v>24</v>
      </c>
      <c r="G801">
        <v>1402.57</v>
      </c>
      <c r="H801">
        <v>1123.2</v>
      </c>
      <c r="I801">
        <v>10366.82</v>
      </c>
      <c r="J801" t="s">
        <v>37</v>
      </c>
      <c r="K801" t="s">
        <v>38</v>
      </c>
      <c r="L801">
        <v>0</v>
      </c>
      <c r="M801">
        <v>0</v>
      </c>
      <c r="N801">
        <v>0</v>
      </c>
      <c r="O801">
        <v>0</v>
      </c>
      <c r="P801">
        <v>0</v>
      </c>
      <c r="Q801">
        <v>742</v>
      </c>
      <c r="R801">
        <v>0.62</v>
      </c>
      <c r="S801" t="s">
        <v>27</v>
      </c>
      <c r="T801" s="1">
        <v>44815</v>
      </c>
      <c r="U801">
        <v>0</v>
      </c>
    </row>
    <row r="802" spans="1:21" x14ac:dyDescent="0.25">
      <c r="A802" t="s">
        <v>849</v>
      </c>
      <c r="B802">
        <v>49</v>
      </c>
      <c r="C802" t="s">
        <v>21</v>
      </c>
      <c r="D802" t="s">
        <v>41</v>
      </c>
      <c r="E802" t="s">
        <v>31</v>
      </c>
      <c r="F802" t="s">
        <v>24</v>
      </c>
      <c r="G802">
        <v>2941.38</v>
      </c>
      <c r="H802">
        <v>953.87</v>
      </c>
      <c r="I802">
        <v>23680.49</v>
      </c>
      <c r="J802" t="s">
        <v>37</v>
      </c>
      <c r="K802" t="s">
        <v>38</v>
      </c>
      <c r="L802">
        <v>0</v>
      </c>
      <c r="M802">
        <v>0</v>
      </c>
      <c r="N802">
        <v>0</v>
      </c>
      <c r="O802">
        <v>0</v>
      </c>
      <c r="P802">
        <v>0</v>
      </c>
      <c r="Q802">
        <v>824</v>
      </c>
      <c r="R802">
        <v>0.67</v>
      </c>
      <c r="S802" t="s">
        <v>47</v>
      </c>
      <c r="T802" s="1">
        <v>45591</v>
      </c>
      <c r="U802">
        <v>0</v>
      </c>
    </row>
    <row r="803" spans="1:21" x14ac:dyDescent="0.25">
      <c r="A803" t="s">
        <v>850</v>
      </c>
      <c r="B803">
        <v>43</v>
      </c>
      <c r="C803" t="s">
        <v>29</v>
      </c>
      <c r="D803" t="s">
        <v>30</v>
      </c>
      <c r="E803" t="s">
        <v>31</v>
      </c>
      <c r="F803" t="s">
        <v>32</v>
      </c>
      <c r="G803">
        <v>3732.77</v>
      </c>
      <c r="H803">
        <v>2813.56</v>
      </c>
      <c r="I803">
        <v>10836.1</v>
      </c>
      <c r="J803" t="s">
        <v>25</v>
      </c>
      <c r="K803" t="s">
        <v>33</v>
      </c>
      <c r="L803">
        <v>338873.86</v>
      </c>
      <c r="M803">
        <v>60</v>
      </c>
      <c r="N803">
        <v>6787.12</v>
      </c>
      <c r="O803">
        <v>7.48</v>
      </c>
      <c r="P803">
        <v>1.82</v>
      </c>
      <c r="Q803">
        <v>557</v>
      </c>
      <c r="R803">
        <v>0.24</v>
      </c>
      <c r="S803" t="s">
        <v>30</v>
      </c>
      <c r="T803" s="1">
        <v>45690</v>
      </c>
      <c r="U803">
        <v>1</v>
      </c>
    </row>
    <row r="804" spans="1:21" x14ac:dyDescent="0.25">
      <c r="A804" t="s">
        <v>851</v>
      </c>
      <c r="B804">
        <v>53</v>
      </c>
      <c r="C804" t="s">
        <v>21</v>
      </c>
      <c r="D804" t="s">
        <v>41</v>
      </c>
      <c r="E804" t="s">
        <v>31</v>
      </c>
      <c r="F804" t="s">
        <v>44</v>
      </c>
      <c r="G804">
        <v>1998.65</v>
      </c>
      <c r="H804">
        <v>735.01</v>
      </c>
      <c r="I804">
        <v>12654.61</v>
      </c>
      <c r="J804" t="s">
        <v>37</v>
      </c>
      <c r="K804" t="s">
        <v>38</v>
      </c>
      <c r="L804">
        <v>0</v>
      </c>
      <c r="M804">
        <v>0</v>
      </c>
      <c r="N804">
        <v>0</v>
      </c>
      <c r="O804">
        <v>0</v>
      </c>
      <c r="P804">
        <v>0</v>
      </c>
      <c r="Q804">
        <v>696</v>
      </c>
      <c r="R804">
        <v>0.53</v>
      </c>
      <c r="S804" t="s">
        <v>30</v>
      </c>
      <c r="T804" s="1">
        <v>45284</v>
      </c>
      <c r="U804">
        <v>0</v>
      </c>
    </row>
    <row r="805" spans="1:21" x14ac:dyDescent="0.25">
      <c r="A805" t="s">
        <v>852</v>
      </c>
      <c r="B805">
        <v>18</v>
      </c>
      <c r="C805" t="s">
        <v>29</v>
      </c>
      <c r="D805" t="s">
        <v>35</v>
      </c>
      <c r="E805" t="s">
        <v>51</v>
      </c>
      <c r="F805" t="s">
        <v>23</v>
      </c>
      <c r="G805">
        <v>7057.54</v>
      </c>
      <c r="H805">
        <v>3577.33</v>
      </c>
      <c r="I805">
        <v>58140.93</v>
      </c>
      <c r="J805" t="s">
        <v>37</v>
      </c>
      <c r="K805" t="s">
        <v>38</v>
      </c>
      <c r="L805">
        <v>0</v>
      </c>
      <c r="M805">
        <v>0</v>
      </c>
      <c r="N805">
        <v>0</v>
      </c>
      <c r="O805">
        <v>0</v>
      </c>
      <c r="P805">
        <v>0</v>
      </c>
      <c r="Q805">
        <v>526</v>
      </c>
      <c r="R805">
        <v>0.69</v>
      </c>
      <c r="S805" t="s">
        <v>30</v>
      </c>
      <c r="T805" s="1">
        <v>44656</v>
      </c>
      <c r="U805">
        <v>0</v>
      </c>
    </row>
    <row r="806" spans="1:21" x14ac:dyDescent="0.25">
      <c r="A806" t="s">
        <v>853</v>
      </c>
      <c r="B806">
        <v>23</v>
      </c>
      <c r="C806" t="s">
        <v>21</v>
      </c>
      <c r="D806" t="s">
        <v>22</v>
      </c>
      <c r="E806" t="s">
        <v>49</v>
      </c>
      <c r="F806" t="s">
        <v>32</v>
      </c>
      <c r="G806">
        <v>9262.35</v>
      </c>
      <c r="H806">
        <v>4355.2700000000004</v>
      </c>
      <c r="I806">
        <v>108102.47</v>
      </c>
      <c r="J806" t="s">
        <v>25</v>
      </c>
      <c r="K806" t="s">
        <v>45</v>
      </c>
      <c r="L806">
        <v>209329.03</v>
      </c>
      <c r="M806">
        <v>120</v>
      </c>
      <c r="N806">
        <v>4812.3599999999997</v>
      </c>
      <c r="O806">
        <v>25.34</v>
      </c>
      <c r="P806">
        <v>0.52</v>
      </c>
      <c r="Q806">
        <v>746</v>
      </c>
      <c r="R806">
        <v>0.97</v>
      </c>
      <c r="S806" t="s">
        <v>27</v>
      </c>
      <c r="T806" s="1">
        <v>45214</v>
      </c>
      <c r="U806">
        <v>1</v>
      </c>
    </row>
    <row r="807" spans="1:21" x14ac:dyDescent="0.25">
      <c r="A807" t="s">
        <v>854</v>
      </c>
      <c r="B807">
        <v>60</v>
      </c>
      <c r="C807" t="s">
        <v>29</v>
      </c>
      <c r="D807" t="s">
        <v>22</v>
      </c>
      <c r="E807" t="s">
        <v>31</v>
      </c>
      <c r="F807" t="s">
        <v>32</v>
      </c>
      <c r="G807">
        <v>4075.82</v>
      </c>
      <c r="H807">
        <v>2878.91</v>
      </c>
      <c r="I807">
        <v>35075.82</v>
      </c>
      <c r="J807" t="s">
        <v>37</v>
      </c>
      <c r="K807" t="s">
        <v>38</v>
      </c>
      <c r="L807">
        <v>0</v>
      </c>
      <c r="M807">
        <v>0</v>
      </c>
      <c r="N807">
        <v>0</v>
      </c>
      <c r="O807">
        <v>0</v>
      </c>
      <c r="P807">
        <v>0</v>
      </c>
      <c r="Q807">
        <v>505</v>
      </c>
      <c r="R807">
        <v>0.72</v>
      </c>
      <c r="S807" t="s">
        <v>72</v>
      </c>
      <c r="T807" s="1">
        <v>45322</v>
      </c>
      <c r="U807">
        <v>0</v>
      </c>
    </row>
    <row r="808" spans="1:21" x14ac:dyDescent="0.25">
      <c r="A808" t="s">
        <v>855</v>
      </c>
      <c r="B808">
        <v>46</v>
      </c>
      <c r="C808" t="s">
        <v>21</v>
      </c>
      <c r="D808" t="s">
        <v>56</v>
      </c>
      <c r="E808" t="s">
        <v>51</v>
      </c>
      <c r="F808" t="s">
        <v>24</v>
      </c>
      <c r="G808">
        <v>5232.8900000000003</v>
      </c>
      <c r="H808">
        <v>2473.73</v>
      </c>
      <c r="I808">
        <v>37738.76</v>
      </c>
      <c r="J808" t="s">
        <v>25</v>
      </c>
      <c r="K808" t="s">
        <v>33</v>
      </c>
      <c r="L808">
        <v>172696.09</v>
      </c>
      <c r="M808">
        <v>360</v>
      </c>
      <c r="N808">
        <v>2087.3000000000002</v>
      </c>
      <c r="O808">
        <v>14.3</v>
      </c>
      <c r="P808">
        <v>0.4</v>
      </c>
      <c r="Q808">
        <v>789</v>
      </c>
      <c r="R808">
        <v>0.6</v>
      </c>
      <c r="S808" t="s">
        <v>47</v>
      </c>
      <c r="T808" s="1">
        <v>44604</v>
      </c>
      <c r="U808">
        <v>0</v>
      </c>
    </row>
    <row r="809" spans="1:21" x14ac:dyDescent="0.25">
      <c r="A809" t="s">
        <v>856</v>
      </c>
      <c r="B809">
        <v>69</v>
      </c>
      <c r="C809" t="s">
        <v>29</v>
      </c>
      <c r="D809" t="s">
        <v>35</v>
      </c>
      <c r="E809" t="s">
        <v>51</v>
      </c>
      <c r="F809" t="s">
        <v>36</v>
      </c>
      <c r="G809">
        <v>5002.58</v>
      </c>
      <c r="H809">
        <v>3470.62</v>
      </c>
      <c r="I809">
        <v>14292.22</v>
      </c>
      <c r="J809" t="s">
        <v>37</v>
      </c>
      <c r="K809" t="s">
        <v>38</v>
      </c>
      <c r="L809">
        <v>0</v>
      </c>
      <c r="M809">
        <v>0</v>
      </c>
      <c r="N809">
        <v>0</v>
      </c>
      <c r="O809">
        <v>0</v>
      </c>
      <c r="P809">
        <v>0</v>
      </c>
      <c r="Q809">
        <v>521</v>
      </c>
      <c r="R809">
        <v>0.24</v>
      </c>
      <c r="S809" t="s">
        <v>72</v>
      </c>
      <c r="T809" s="1">
        <v>44844</v>
      </c>
      <c r="U809">
        <v>0</v>
      </c>
    </row>
    <row r="810" spans="1:21" x14ac:dyDescent="0.25">
      <c r="A810" t="s">
        <v>857</v>
      </c>
      <c r="B810">
        <v>23</v>
      </c>
      <c r="C810" t="s">
        <v>21</v>
      </c>
      <c r="D810" t="s">
        <v>22</v>
      </c>
      <c r="E810" t="s">
        <v>31</v>
      </c>
      <c r="F810" t="s">
        <v>42</v>
      </c>
      <c r="G810">
        <v>6191.72</v>
      </c>
      <c r="H810">
        <v>4661.67</v>
      </c>
      <c r="I810">
        <v>16714.07</v>
      </c>
      <c r="J810" t="s">
        <v>37</v>
      </c>
      <c r="K810" t="s">
        <v>38</v>
      </c>
      <c r="L810">
        <v>0</v>
      </c>
      <c r="M810">
        <v>0</v>
      </c>
      <c r="N810">
        <v>0</v>
      </c>
      <c r="O810">
        <v>0</v>
      </c>
      <c r="P810">
        <v>0</v>
      </c>
      <c r="Q810">
        <v>455</v>
      </c>
      <c r="R810">
        <v>0.22</v>
      </c>
      <c r="S810" t="s">
        <v>30</v>
      </c>
      <c r="T810" s="1">
        <v>45130</v>
      </c>
      <c r="U810">
        <v>0</v>
      </c>
    </row>
    <row r="811" spans="1:21" x14ac:dyDescent="0.25">
      <c r="A811" t="s">
        <v>858</v>
      </c>
      <c r="B811">
        <v>34</v>
      </c>
      <c r="C811" t="s">
        <v>21</v>
      </c>
      <c r="D811" t="s">
        <v>41</v>
      </c>
      <c r="E811" t="s">
        <v>31</v>
      </c>
      <c r="F811" t="s">
        <v>42</v>
      </c>
      <c r="G811">
        <v>7070</v>
      </c>
      <c r="H811">
        <v>2951.72</v>
      </c>
      <c r="I811">
        <v>73800.5</v>
      </c>
      <c r="J811" t="s">
        <v>25</v>
      </c>
      <c r="K811" t="s">
        <v>45</v>
      </c>
      <c r="L811">
        <v>99139.199999999997</v>
      </c>
      <c r="M811">
        <v>300</v>
      </c>
      <c r="N811">
        <v>1983.94</v>
      </c>
      <c r="O811">
        <v>23.95</v>
      </c>
      <c r="P811">
        <v>0.28000000000000003</v>
      </c>
      <c r="Q811">
        <v>484</v>
      </c>
      <c r="R811">
        <v>0.87</v>
      </c>
      <c r="S811" t="s">
        <v>47</v>
      </c>
      <c r="T811" s="1">
        <v>44505</v>
      </c>
      <c r="U811">
        <v>0</v>
      </c>
    </row>
    <row r="812" spans="1:21" x14ac:dyDescent="0.25">
      <c r="A812" t="s">
        <v>859</v>
      </c>
      <c r="B812">
        <v>42</v>
      </c>
      <c r="C812" t="s">
        <v>21</v>
      </c>
      <c r="D812" t="s">
        <v>41</v>
      </c>
      <c r="E812" t="s">
        <v>49</v>
      </c>
      <c r="F812" t="s">
        <v>23</v>
      </c>
      <c r="G812">
        <v>3401.66</v>
      </c>
      <c r="H812">
        <v>2920.17</v>
      </c>
      <c r="I812">
        <v>27713.919999999998</v>
      </c>
      <c r="J812" t="s">
        <v>37</v>
      </c>
      <c r="K812" t="s">
        <v>38</v>
      </c>
      <c r="L812">
        <v>0</v>
      </c>
      <c r="M812">
        <v>0</v>
      </c>
      <c r="N812">
        <v>0</v>
      </c>
      <c r="O812">
        <v>0</v>
      </c>
      <c r="P812">
        <v>0</v>
      </c>
      <c r="Q812">
        <v>620</v>
      </c>
      <c r="R812">
        <v>0.68</v>
      </c>
      <c r="S812" t="s">
        <v>39</v>
      </c>
      <c r="T812" s="1">
        <v>44613</v>
      </c>
      <c r="U812">
        <v>0</v>
      </c>
    </row>
    <row r="813" spans="1:21" x14ac:dyDescent="0.25">
      <c r="A813" t="s">
        <v>860</v>
      </c>
      <c r="B813">
        <v>23</v>
      </c>
      <c r="C813" t="s">
        <v>21</v>
      </c>
      <c r="D813" t="s">
        <v>41</v>
      </c>
      <c r="E813" t="s">
        <v>31</v>
      </c>
      <c r="F813" t="s">
        <v>24</v>
      </c>
      <c r="G813">
        <v>2075.08</v>
      </c>
      <c r="H813">
        <v>944.86</v>
      </c>
      <c r="I813">
        <v>6935.23</v>
      </c>
      <c r="J813" t="s">
        <v>25</v>
      </c>
      <c r="K813" t="s">
        <v>26</v>
      </c>
      <c r="L813">
        <v>85463.47</v>
      </c>
      <c r="M813">
        <v>60</v>
      </c>
      <c r="N813">
        <v>2060.19</v>
      </c>
      <c r="O813">
        <v>15.6</v>
      </c>
      <c r="P813">
        <v>0.99</v>
      </c>
      <c r="Q813">
        <v>357</v>
      </c>
      <c r="R813">
        <v>0.28000000000000003</v>
      </c>
      <c r="S813" t="s">
        <v>39</v>
      </c>
      <c r="T813" s="1">
        <v>45807</v>
      </c>
      <c r="U813">
        <v>1</v>
      </c>
    </row>
    <row r="814" spans="1:21" x14ac:dyDescent="0.25">
      <c r="A814" t="s">
        <v>861</v>
      </c>
      <c r="B814">
        <v>68</v>
      </c>
      <c r="C814" t="s">
        <v>21</v>
      </c>
      <c r="D814" t="s">
        <v>22</v>
      </c>
      <c r="E814" t="s">
        <v>31</v>
      </c>
      <c r="F814" t="s">
        <v>36</v>
      </c>
      <c r="G814">
        <v>2992.25</v>
      </c>
      <c r="H814">
        <v>2567.5700000000002</v>
      </c>
      <c r="I814">
        <v>22466.03</v>
      </c>
      <c r="J814" t="s">
        <v>25</v>
      </c>
      <c r="K814" t="s">
        <v>54</v>
      </c>
      <c r="L814">
        <v>37053.800000000003</v>
      </c>
      <c r="M814">
        <v>36</v>
      </c>
      <c r="N814">
        <v>1475.61</v>
      </c>
      <c r="O814">
        <v>25.12</v>
      </c>
      <c r="P814">
        <v>0.49</v>
      </c>
      <c r="Q814">
        <v>532</v>
      </c>
      <c r="R814">
        <v>0.63</v>
      </c>
      <c r="S814" t="s">
        <v>47</v>
      </c>
      <c r="T814" s="1">
        <v>45413</v>
      </c>
      <c r="U814">
        <v>1</v>
      </c>
    </row>
    <row r="815" spans="1:21" x14ac:dyDescent="0.25">
      <c r="A815" t="s">
        <v>862</v>
      </c>
      <c r="B815">
        <v>39</v>
      </c>
      <c r="C815" t="s">
        <v>29</v>
      </c>
      <c r="D815" t="s">
        <v>41</v>
      </c>
      <c r="E815" t="s">
        <v>31</v>
      </c>
      <c r="F815" t="s">
        <v>24</v>
      </c>
      <c r="G815">
        <v>1033.0899999999999</v>
      </c>
      <c r="H815">
        <v>896.81</v>
      </c>
      <c r="I815">
        <v>7208.76</v>
      </c>
      <c r="J815" t="s">
        <v>37</v>
      </c>
      <c r="K815" t="s">
        <v>38</v>
      </c>
      <c r="L815">
        <v>0</v>
      </c>
      <c r="M815">
        <v>0</v>
      </c>
      <c r="N815">
        <v>0</v>
      </c>
      <c r="O815">
        <v>0</v>
      </c>
      <c r="P815">
        <v>0</v>
      </c>
      <c r="Q815">
        <v>354</v>
      </c>
      <c r="R815">
        <v>0.57999999999999996</v>
      </c>
      <c r="S815" t="s">
        <v>47</v>
      </c>
      <c r="T815" s="1">
        <v>45268</v>
      </c>
      <c r="U815">
        <v>0</v>
      </c>
    </row>
    <row r="816" spans="1:21" x14ac:dyDescent="0.25">
      <c r="A816" t="s">
        <v>863</v>
      </c>
      <c r="B816">
        <v>45</v>
      </c>
      <c r="C816" t="s">
        <v>21</v>
      </c>
      <c r="D816" t="s">
        <v>30</v>
      </c>
      <c r="E816" t="s">
        <v>49</v>
      </c>
      <c r="F816" t="s">
        <v>36</v>
      </c>
      <c r="G816">
        <v>4531.05</v>
      </c>
      <c r="H816">
        <v>3489.58</v>
      </c>
      <c r="I816">
        <v>15328.49</v>
      </c>
      <c r="J816" t="s">
        <v>37</v>
      </c>
      <c r="K816" t="s">
        <v>38</v>
      </c>
      <c r="L816">
        <v>0</v>
      </c>
      <c r="M816">
        <v>0</v>
      </c>
      <c r="N816">
        <v>0</v>
      </c>
      <c r="O816">
        <v>0</v>
      </c>
      <c r="P816">
        <v>0</v>
      </c>
      <c r="Q816">
        <v>597</v>
      </c>
      <c r="R816">
        <v>0.28000000000000003</v>
      </c>
      <c r="S816" t="s">
        <v>72</v>
      </c>
      <c r="T816" s="1">
        <v>45222</v>
      </c>
      <c r="U816">
        <v>0</v>
      </c>
    </row>
    <row r="817" spans="1:21" x14ac:dyDescent="0.25">
      <c r="A817" t="s">
        <v>864</v>
      </c>
      <c r="B817">
        <v>28</v>
      </c>
      <c r="C817" t="s">
        <v>21</v>
      </c>
      <c r="D817" t="s">
        <v>35</v>
      </c>
      <c r="E817" t="s">
        <v>31</v>
      </c>
      <c r="F817" t="s">
        <v>32</v>
      </c>
      <c r="G817">
        <v>4326.66</v>
      </c>
      <c r="H817">
        <v>2354.8200000000002</v>
      </c>
      <c r="I817">
        <v>13204.64</v>
      </c>
      <c r="J817" t="s">
        <v>37</v>
      </c>
      <c r="K817" t="s">
        <v>38</v>
      </c>
      <c r="L817">
        <v>0</v>
      </c>
      <c r="M817">
        <v>0</v>
      </c>
      <c r="N817">
        <v>0</v>
      </c>
      <c r="O817">
        <v>0</v>
      </c>
      <c r="P817">
        <v>0</v>
      </c>
      <c r="Q817">
        <v>313</v>
      </c>
      <c r="R817">
        <v>0.25</v>
      </c>
      <c r="S817" t="s">
        <v>39</v>
      </c>
      <c r="T817" s="1">
        <v>45280</v>
      </c>
      <c r="U817">
        <v>0</v>
      </c>
    </row>
    <row r="818" spans="1:21" x14ac:dyDescent="0.25">
      <c r="A818" t="s">
        <v>865</v>
      </c>
      <c r="B818">
        <v>62</v>
      </c>
      <c r="C818" t="s">
        <v>29</v>
      </c>
      <c r="D818" t="s">
        <v>35</v>
      </c>
      <c r="E818" t="s">
        <v>23</v>
      </c>
      <c r="F818" t="s">
        <v>36</v>
      </c>
      <c r="G818">
        <v>7821.96</v>
      </c>
      <c r="H818">
        <v>2933.2</v>
      </c>
      <c r="I818">
        <v>15918.23</v>
      </c>
      <c r="J818" t="s">
        <v>37</v>
      </c>
      <c r="K818" t="s">
        <v>38</v>
      </c>
      <c r="L818">
        <v>0</v>
      </c>
      <c r="M818">
        <v>0</v>
      </c>
      <c r="N818">
        <v>0</v>
      </c>
      <c r="O818">
        <v>0</v>
      </c>
      <c r="P818">
        <v>0</v>
      </c>
      <c r="Q818">
        <v>836</v>
      </c>
      <c r="R818">
        <v>0.17</v>
      </c>
      <c r="S818" t="s">
        <v>27</v>
      </c>
      <c r="T818" s="1">
        <v>45853</v>
      </c>
      <c r="U818">
        <v>0</v>
      </c>
    </row>
    <row r="819" spans="1:21" x14ac:dyDescent="0.25">
      <c r="A819" t="s">
        <v>866</v>
      </c>
      <c r="B819">
        <v>30</v>
      </c>
      <c r="C819" t="s">
        <v>29</v>
      </c>
      <c r="D819" t="s">
        <v>41</v>
      </c>
      <c r="E819" t="s">
        <v>49</v>
      </c>
      <c r="F819" t="s">
        <v>23</v>
      </c>
      <c r="G819">
        <v>521.79999999999995</v>
      </c>
      <c r="H819">
        <v>287.26</v>
      </c>
      <c r="I819">
        <v>4062.11</v>
      </c>
      <c r="J819" t="s">
        <v>37</v>
      </c>
      <c r="K819" t="s">
        <v>38</v>
      </c>
      <c r="L819">
        <v>0</v>
      </c>
      <c r="M819">
        <v>0</v>
      </c>
      <c r="N819">
        <v>0</v>
      </c>
      <c r="O819">
        <v>0</v>
      </c>
      <c r="P819">
        <v>0</v>
      </c>
      <c r="Q819">
        <v>437</v>
      </c>
      <c r="R819">
        <v>0.65</v>
      </c>
      <c r="S819" t="s">
        <v>72</v>
      </c>
      <c r="T819" s="1">
        <v>44843</v>
      </c>
      <c r="U819">
        <v>0</v>
      </c>
    </row>
    <row r="820" spans="1:21" x14ac:dyDescent="0.25">
      <c r="A820" t="s">
        <v>867</v>
      </c>
      <c r="B820">
        <v>58</v>
      </c>
      <c r="C820" t="s">
        <v>29</v>
      </c>
      <c r="D820" t="s">
        <v>22</v>
      </c>
      <c r="E820" t="s">
        <v>49</v>
      </c>
      <c r="F820" t="s">
        <v>44</v>
      </c>
      <c r="G820">
        <v>3762.06</v>
      </c>
      <c r="H820">
        <v>2237.9699999999998</v>
      </c>
      <c r="I820">
        <v>42788.12</v>
      </c>
      <c r="J820" t="s">
        <v>37</v>
      </c>
      <c r="K820" t="s">
        <v>38</v>
      </c>
      <c r="L820">
        <v>0</v>
      </c>
      <c r="M820">
        <v>0</v>
      </c>
      <c r="N820">
        <v>0</v>
      </c>
      <c r="O820">
        <v>0</v>
      </c>
      <c r="P820">
        <v>0</v>
      </c>
      <c r="Q820">
        <v>529</v>
      </c>
      <c r="R820">
        <v>0.95</v>
      </c>
      <c r="S820" t="s">
        <v>39</v>
      </c>
      <c r="T820" s="1">
        <v>45120</v>
      </c>
      <c r="U820">
        <v>0</v>
      </c>
    </row>
    <row r="821" spans="1:21" x14ac:dyDescent="0.25">
      <c r="A821" t="s">
        <v>868</v>
      </c>
      <c r="B821">
        <v>44</v>
      </c>
      <c r="C821" t="s">
        <v>29</v>
      </c>
      <c r="D821" t="s">
        <v>30</v>
      </c>
      <c r="E821" t="s">
        <v>31</v>
      </c>
      <c r="F821" t="s">
        <v>63</v>
      </c>
      <c r="G821">
        <v>3565.54</v>
      </c>
      <c r="H821">
        <v>2774.24</v>
      </c>
      <c r="I821">
        <v>7262.85</v>
      </c>
      <c r="J821" t="s">
        <v>37</v>
      </c>
      <c r="K821" t="s">
        <v>38</v>
      </c>
      <c r="L821">
        <v>0</v>
      </c>
      <c r="M821">
        <v>0</v>
      </c>
      <c r="N821">
        <v>0</v>
      </c>
      <c r="O821">
        <v>0</v>
      </c>
      <c r="P821">
        <v>0</v>
      </c>
      <c r="Q821">
        <v>796</v>
      </c>
      <c r="R821">
        <v>0.17</v>
      </c>
      <c r="S821" t="s">
        <v>30</v>
      </c>
      <c r="T821" s="1">
        <v>45036</v>
      </c>
      <c r="U821">
        <v>0</v>
      </c>
    </row>
    <row r="822" spans="1:21" x14ac:dyDescent="0.25">
      <c r="A822" t="s">
        <v>869</v>
      </c>
      <c r="B822">
        <v>60</v>
      </c>
      <c r="C822" t="s">
        <v>29</v>
      </c>
      <c r="D822" t="s">
        <v>41</v>
      </c>
      <c r="E822" t="s">
        <v>51</v>
      </c>
      <c r="F822" t="s">
        <v>23</v>
      </c>
      <c r="G822">
        <v>3917.43</v>
      </c>
      <c r="H822">
        <v>2812.15</v>
      </c>
      <c r="I822">
        <v>4890.8999999999996</v>
      </c>
      <c r="J822" t="s">
        <v>25</v>
      </c>
      <c r="K822" t="s">
        <v>45</v>
      </c>
      <c r="L822">
        <v>288972.84999999998</v>
      </c>
      <c r="M822">
        <v>180</v>
      </c>
      <c r="N822">
        <v>2618.42</v>
      </c>
      <c r="O822">
        <v>7.13</v>
      </c>
      <c r="P822">
        <v>0.67</v>
      </c>
      <c r="Q822">
        <v>684</v>
      </c>
      <c r="R822">
        <v>0.1</v>
      </c>
      <c r="S822" t="s">
        <v>30</v>
      </c>
      <c r="T822" s="1">
        <v>45859</v>
      </c>
      <c r="U822">
        <v>1</v>
      </c>
    </row>
    <row r="823" spans="1:21" x14ac:dyDescent="0.25">
      <c r="A823" t="s">
        <v>870</v>
      </c>
      <c r="B823">
        <v>64</v>
      </c>
      <c r="C823" t="s">
        <v>21</v>
      </c>
      <c r="D823" t="s">
        <v>41</v>
      </c>
      <c r="E823" t="s">
        <v>49</v>
      </c>
      <c r="F823" t="s">
        <v>52</v>
      </c>
      <c r="G823">
        <v>5882.65</v>
      </c>
      <c r="H823">
        <v>1925.97</v>
      </c>
      <c r="I823">
        <v>40319</v>
      </c>
      <c r="J823" t="s">
        <v>37</v>
      </c>
      <c r="K823" t="s">
        <v>38</v>
      </c>
      <c r="L823">
        <v>0</v>
      </c>
      <c r="M823">
        <v>0</v>
      </c>
      <c r="N823">
        <v>0</v>
      </c>
      <c r="O823">
        <v>0</v>
      </c>
      <c r="P823">
        <v>0</v>
      </c>
      <c r="Q823">
        <v>370</v>
      </c>
      <c r="R823">
        <v>0.56999999999999995</v>
      </c>
      <c r="S823" t="s">
        <v>47</v>
      </c>
      <c r="T823" s="1">
        <v>44554</v>
      </c>
      <c r="U823">
        <v>0</v>
      </c>
    </row>
    <row r="824" spans="1:21" x14ac:dyDescent="0.25">
      <c r="A824" t="s">
        <v>871</v>
      </c>
      <c r="B824">
        <v>32</v>
      </c>
      <c r="C824" t="s">
        <v>29</v>
      </c>
      <c r="D824" t="s">
        <v>41</v>
      </c>
      <c r="E824" t="s">
        <v>51</v>
      </c>
      <c r="F824" t="s">
        <v>52</v>
      </c>
      <c r="G824">
        <v>6689.36</v>
      </c>
      <c r="H824">
        <v>2347.59</v>
      </c>
      <c r="I824">
        <v>11872.75</v>
      </c>
      <c r="J824" t="s">
        <v>25</v>
      </c>
      <c r="K824" t="s">
        <v>33</v>
      </c>
      <c r="L824">
        <v>402932.82</v>
      </c>
      <c r="M824">
        <v>120</v>
      </c>
      <c r="N824">
        <v>6106.87</v>
      </c>
      <c r="O824">
        <v>13.38</v>
      </c>
      <c r="P824">
        <v>0.91</v>
      </c>
      <c r="Q824">
        <v>692</v>
      </c>
      <c r="R824">
        <v>0.15</v>
      </c>
      <c r="S824" t="s">
        <v>30</v>
      </c>
      <c r="T824" s="1">
        <v>44502</v>
      </c>
      <c r="U824">
        <v>1</v>
      </c>
    </row>
    <row r="825" spans="1:21" x14ac:dyDescent="0.25">
      <c r="A825" t="s">
        <v>872</v>
      </c>
      <c r="B825">
        <v>32</v>
      </c>
      <c r="C825" t="s">
        <v>21</v>
      </c>
      <c r="D825" t="s">
        <v>22</v>
      </c>
      <c r="E825" t="s">
        <v>31</v>
      </c>
      <c r="F825" t="s">
        <v>42</v>
      </c>
      <c r="G825">
        <v>2579.06</v>
      </c>
      <c r="H825">
        <v>1581.92</v>
      </c>
      <c r="I825">
        <v>24051.06</v>
      </c>
      <c r="J825" t="s">
        <v>37</v>
      </c>
      <c r="K825" t="s">
        <v>38</v>
      </c>
      <c r="L825">
        <v>0</v>
      </c>
      <c r="M825">
        <v>0</v>
      </c>
      <c r="N825">
        <v>0</v>
      </c>
      <c r="O825">
        <v>0</v>
      </c>
      <c r="P825">
        <v>0</v>
      </c>
      <c r="Q825">
        <v>382</v>
      </c>
      <c r="R825">
        <v>0.78</v>
      </c>
      <c r="S825" t="s">
        <v>30</v>
      </c>
      <c r="T825" s="1">
        <v>44641</v>
      </c>
      <c r="U825">
        <v>0</v>
      </c>
    </row>
    <row r="826" spans="1:21" x14ac:dyDescent="0.25">
      <c r="A826" t="s">
        <v>873</v>
      </c>
      <c r="B826">
        <v>63</v>
      </c>
      <c r="C826" t="s">
        <v>21</v>
      </c>
      <c r="D826" t="s">
        <v>35</v>
      </c>
      <c r="E826" t="s">
        <v>49</v>
      </c>
      <c r="F826" t="s">
        <v>32</v>
      </c>
      <c r="G826">
        <v>6283.7</v>
      </c>
      <c r="H826">
        <v>2025.62</v>
      </c>
      <c r="I826">
        <v>69117.83</v>
      </c>
      <c r="J826" t="s">
        <v>37</v>
      </c>
      <c r="K826" t="s">
        <v>38</v>
      </c>
      <c r="L826">
        <v>0</v>
      </c>
      <c r="M826">
        <v>0</v>
      </c>
      <c r="N826">
        <v>0</v>
      </c>
      <c r="O826">
        <v>0</v>
      </c>
      <c r="P826">
        <v>0</v>
      </c>
      <c r="Q826">
        <v>369</v>
      </c>
      <c r="R826">
        <v>0.92</v>
      </c>
      <c r="S826" t="s">
        <v>72</v>
      </c>
      <c r="T826" s="1">
        <v>44436</v>
      </c>
      <c r="U826">
        <v>0</v>
      </c>
    </row>
    <row r="827" spans="1:21" x14ac:dyDescent="0.25">
      <c r="A827" t="s">
        <v>874</v>
      </c>
      <c r="B827">
        <v>57</v>
      </c>
      <c r="C827" t="s">
        <v>21</v>
      </c>
      <c r="D827" t="s">
        <v>41</v>
      </c>
      <c r="E827" t="s">
        <v>51</v>
      </c>
      <c r="F827" t="s">
        <v>44</v>
      </c>
      <c r="G827">
        <v>2833.7</v>
      </c>
      <c r="H827">
        <v>1328</v>
      </c>
      <c r="I827">
        <v>24894.720000000001</v>
      </c>
      <c r="J827" t="s">
        <v>37</v>
      </c>
      <c r="K827" t="s">
        <v>38</v>
      </c>
      <c r="L827">
        <v>0</v>
      </c>
      <c r="M827">
        <v>0</v>
      </c>
      <c r="N827">
        <v>0</v>
      </c>
      <c r="O827">
        <v>0</v>
      </c>
      <c r="P827">
        <v>0</v>
      </c>
      <c r="Q827">
        <v>641</v>
      </c>
      <c r="R827">
        <v>0.73</v>
      </c>
      <c r="S827" t="s">
        <v>72</v>
      </c>
      <c r="T827" s="1">
        <v>45663</v>
      </c>
      <c r="U827">
        <v>0</v>
      </c>
    </row>
    <row r="828" spans="1:21" x14ac:dyDescent="0.25">
      <c r="A828" t="s">
        <v>875</v>
      </c>
      <c r="B828">
        <v>52</v>
      </c>
      <c r="C828" t="s">
        <v>21</v>
      </c>
      <c r="D828" t="s">
        <v>22</v>
      </c>
      <c r="E828" t="s">
        <v>23</v>
      </c>
      <c r="F828" t="s">
        <v>24</v>
      </c>
      <c r="G828">
        <v>4682.54</v>
      </c>
      <c r="H828">
        <v>3438.52</v>
      </c>
      <c r="I828">
        <v>17219.900000000001</v>
      </c>
      <c r="J828" t="s">
        <v>37</v>
      </c>
      <c r="K828" t="s">
        <v>38</v>
      </c>
      <c r="L828">
        <v>0</v>
      </c>
      <c r="M828">
        <v>0</v>
      </c>
      <c r="N828">
        <v>0</v>
      </c>
      <c r="O828">
        <v>0</v>
      </c>
      <c r="P828">
        <v>0</v>
      </c>
      <c r="Q828">
        <v>561</v>
      </c>
      <c r="R828">
        <v>0.31</v>
      </c>
      <c r="S828" t="s">
        <v>72</v>
      </c>
      <c r="T828" s="1">
        <v>45831</v>
      </c>
      <c r="U828">
        <v>0</v>
      </c>
    </row>
    <row r="829" spans="1:21" x14ac:dyDescent="0.25">
      <c r="A829" t="s">
        <v>876</v>
      </c>
      <c r="B829">
        <v>27</v>
      </c>
      <c r="C829" t="s">
        <v>29</v>
      </c>
      <c r="D829" t="s">
        <v>41</v>
      </c>
      <c r="E829" t="s">
        <v>31</v>
      </c>
      <c r="F829" t="s">
        <v>49</v>
      </c>
      <c r="G829">
        <v>4673.88</v>
      </c>
      <c r="H829">
        <v>3773.09</v>
      </c>
      <c r="I829">
        <v>37290.080000000002</v>
      </c>
      <c r="J829" t="s">
        <v>25</v>
      </c>
      <c r="K829" t="s">
        <v>45</v>
      </c>
      <c r="L829">
        <v>102620.83</v>
      </c>
      <c r="M829">
        <v>60</v>
      </c>
      <c r="N829">
        <v>2972.48</v>
      </c>
      <c r="O829">
        <v>24.34</v>
      </c>
      <c r="P829">
        <v>0.64</v>
      </c>
      <c r="Q829">
        <v>656</v>
      </c>
      <c r="R829">
        <v>0.66</v>
      </c>
      <c r="S829" t="s">
        <v>39</v>
      </c>
      <c r="T829" s="1">
        <v>45352</v>
      </c>
      <c r="U829">
        <v>1</v>
      </c>
    </row>
    <row r="830" spans="1:21" x14ac:dyDescent="0.25">
      <c r="A830" t="s">
        <v>877</v>
      </c>
      <c r="B830">
        <v>66</v>
      </c>
      <c r="C830" t="s">
        <v>29</v>
      </c>
      <c r="D830" t="s">
        <v>22</v>
      </c>
      <c r="E830" t="s">
        <v>31</v>
      </c>
      <c r="F830" t="s">
        <v>49</v>
      </c>
      <c r="G830">
        <v>3280.46</v>
      </c>
      <c r="H830">
        <v>992.38</v>
      </c>
      <c r="I830">
        <v>17735.12</v>
      </c>
      <c r="J830" t="s">
        <v>37</v>
      </c>
      <c r="K830" t="s">
        <v>38</v>
      </c>
      <c r="L830">
        <v>0</v>
      </c>
      <c r="M830">
        <v>0</v>
      </c>
      <c r="N830">
        <v>0</v>
      </c>
      <c r="O830">
        <v>0</v>
      </c>
      <c r="P830">
        <v>0</v>
      </c>
      <c r="Q830">
        <v>753</v>
      </c>
      <c r="R830">
        <v>0.45</v>
      </c>
      <c r="S830" t="s">
        <v>47</v>
      </c>
      <c r="T830" s="1">
        <v>45784</v>
      </c>
      <c r="U830">
        <v>0</v>
      </c>
    </row>
    <row r="831" spans="1:21" x14ac:dyDescent="0.25">
      <c r="A831" t="s">
        <v>878</v>
      </c>
      <c r="B831">
        <v>41</v>
      </c>
      <c r="C831" t="s">
        <v>21</v>
      </c>
      <c r="D831" t="s">
        <v>35</v>
      </c>
      <c r="E831" t="s">
        <v>49</v>
      </c>
      <c r="F831" t="s">
        <v>36</v>
      </c>
      <c r="G831">
        <v>2459.81</v>
      </c>
      <c r="H831">
        <v>751.53</v>
      </c>
      <c r="I831">
        <v>15129.4</v>
      </c>
      <c r="J831" t="s">
        <v>37</v>
      </c>
      <c r="K831" t="s">
        <v>38</v>
      </c>
      <c r="L831">
        <v>0</v>
      </c>
      <c r="M831">
        <v>0</v>
      </c>
      <c r="N831">
        <v>0</v>
      </c>
      <c r="O831">
        <v>0</v>
      </c>
      <c r="P831">
        <v>0</v>
      </c>
      <c r="Q831">
        <v>713</v>
      </c>
      <c r="R831">
        <v>0.51</v>
      </c>
      <c r="S831" t="s">
        <v>27</v>
      </c>
      <c r="T831" s="1">
        <v>45249</v>
      </c>
      <c r="U831">
        <v>0</v>
      </c>
    </row>
    <row r="832" spans="1:21" x14ac:dyDescent="0.25">
      <c r="A832" t="s">
        <v>879</v>
      </c>
      <c r="B832">
        <v>58</v>
      </c>
      <c r="C832" t="s">
        <v>29</v>
      </c>
      <c r="D832" t="s">
        <v>56</v>
      </c>
      <c r="E832" t="s">
        <v>31</v>
      </c>
      <c r="F832" t="s">
        <v>36</v>
      </c>
      <c r="G832">
        <v>4090.48</v>
      </c>
      <c r="H832">
        <v>2758.02</v>
      </c>
      <c r="I832">
        <v>17058.599999999999</v>
      </c>
      <c r="J832" t="s">
        <v>37</v>
      </c>
      <c r="K832" t="s">
        <v>38</v>
      </c>
      <c r="L832">
        <v>0</v>
      </c>
      <c r="M832">
        <v>0</v>
      </c>
      <c r="N832">
        <v>0</v>
      </c>
      <c r="O832">
        <v>0</v>
      </c>
      <c r="P832">
        <v>0</v>
      </c>
      <c r="Q832">
        <v>599</v>
      </c>
      <c r="R832">
        <v>0.35</v>
      </c>
      <c r="S832" t="s">
        <v>47</v>
      </c>
      <c r="T832" s="1">
        <v>45799</v>
      </c>
      <c r="U832">
        <v>0</v>
      </c>
    </row>
    <row r="833" spans="1:21" x14ac:dyDescent="0.25">
      <c r="A833" t="s">
        <v>880</v>
      </c>
      <c r="B833">
        <v>26</v>
      </c>
      <c r="C833" t="s">
        <v>21</v>
      </c>
      <c r="D833" t="s">
        <v>30</v>
      </c>
      <c r="E833" t="s">
        <v>51</v>
      </c>
      <c r="F833" t="s">
        <v>44</v>
      </c>
      <c r="G833">
        <v>6356.4</v>
      </c>
      <c r="H833">
        <v>4385.3900000000003</v>
      </c>
      <c r="I833">
        <v>24089.63</v>
      </c>
      <c r="J833" t="s">
        <v>37</v>
      </c>
      <c r="K833" t="s">
        <v>38</v>
      </c>
      <c r="L833">
        <v>0</v>
      </c>
      <c r="M833">
        <v>0</v>
      </c>
      <c r="N833">
        <v>0</v>
      </c>
      <c r="O833">
        <v>0</v>
      </c>
      <c r="P833">
        <v>0</v>
      </c>
      <c r="Q833">
        <v>642</v>
      </c>
      <c r="R833">
        <v>0.32</v>
      </c>
      <c r="S833" t="s">
        <v>72</v>
      </c>
      <c r="T833" s="1">
        <v>45136</v>
      </c>
      <c r="U833">
        <v>0</v>
      </c>
    </row>
    <row r="834" spans="1:21" x14ac:dyDescent="0.25">
      <c r="A834" t="s">
        <v>881</v>
      </c>
      <c r="B834">
        <v>61</v>
      </c>
      <c r="C834" t="s">
        <v>21</v>
      </c>
      <c r="D834" t="s">
        <v>35</v>
      </c>
      <c r="E834" t="s">
        <v>31</v>
      </c>
      <c r="F834" t="s">
        <v>32</v>
      </c>
      <c r="G834">
        <v>7061.71</v>
      </c>
      <c r="H834">
        <v>5672.76</v>
      </c>
      <c r="I834">
        <v>36393.18</v>
      </c>
      <c r="J834" t="s">
        <v>37</v>
      </c>
      <c r="K834" t="s">
        <v>38</v>
      </c>
      <c r="L834">
        <v>0</v>
      </c>
      <c r="M834">
        <v>0</v>
      </c>
      <c r="N834">
        <v>0</v>
      </c>
      <c r="O834">
        <v>0</v>
      </c>
      <c r="P834">
        <v>0</v>
      </c>
      <c r="Q834">
        <v>542</v>
      </c>
      <c r="R834">
        <v>0.43</v>
      </c>
      <c r="S834" t="s">
        <v>72</v>
      </c>
      <c r="T834" s="1">
        <v>45454</v>
      </c>
      <c r="U834">
        <v>0</v>
      </c>
    </row>
    <row r="835" spans="1:21" x14ac:dyDescent="0.25">
      <c r="A835" t="s">
        <v>882</v>
      </c>
      <c r="B835">
        <v>39</v>
      </c>
      <c r="C835" t="s">
        <v>29</v>
      </c>
      <c r="D835" t="s">
        <v>35</v>
      </c>
      <c r="E835" t="s">
        <v>31</v>
      </c>
      <c r="F835" t="s">
        <v>44</v>
      </c>
      <c r="G835">
        <v>5868.93</v>
      </c>
      <c r="H835">
        <v>3311.44</v>
      </c>
      <c r="I835">
        <v>47597.16</v>
      </c>
      <c r="J835" t="s">
        <v>25</v>
      </c>
      <c r="K835" t="s">
        <v>45</v>
      </c>
      <c r="L835">
        <v>353308.42</v>
      </c>
      <c r="M835">
        <v>60</v>
      </c>
      <c r="N835">
        <v>7498.07</v>
      </c>
      <c r="O835">
        <v>9.9499999999999993</v>
      </c>
      <c r="P835">
        <v>1.28</v>
      </c>
      <c r="Q835">
        <v>468</v>
      </c>
      <c r="R835">
        <v>0.68</v>
      </c>
      <c r="S835" t="s">
        <v>47</v>
      </c>
      <c r="T835" s="1">
        <v>45311</v>
      </c>
      <c r="U835">
        <v>1</v>
      </c>
    </row>
    <row r="836" spans="1:21" x14ac:dyDescent="0.25">
      <c r="A836" t="s">
        <v>883</v>
      </c>
      <c r="B836">
        <v>53</v>
      </c>
      <c r="C836" t="s">
        <v>29</v>
      </c>
      <c r="D836" t="s">
        <v>35</v>
      </c>
      <c r="E836" t="s">
        <v>49</v>
      </c>
      <c r="F836" t="s">
        <v>52</v>
      </c>
      <c r="G836">
        <v>5333.62</v>
      </c>
      <c r="H836">
        <v>2200.9299999999998</v>
      </c>
      <c r="I836">
        <v>61912.35</v>
      </c>
      <c r="J836" t="s">
        <v>25</v>
      </c>
      <c r="K836" t="s">
        <v>33</v>
      </c>
      <c r="L836">
        <v>11948.4</v>
      </c>
      <c r="M836">
        <v>60</v>
      </c>
      <c r="N836">
        <v>359.72</v>
      </c>
      <c r="O836">
        <v>26.28</v>
      </c>
      <c r="P836">
        <v>7.0000000000000007E-2</v>
      </c>
      <c r="Q836">
        <v>800</v>
      </c>
      <c r="R836">
        <v>0.97</v>
      </c>
      <c r="S836" t="s">
        <v>30</v>
      </c>
      <c r="T836" s="1">
        <v>45657</v>
      </c>
      <c r="U836">
        <v>0</v>
      </c>
    </row>
    <row r="837" spans="1:21" x14ac:dyDescent="0.25">
      <c r="A837" t="s">
        <v>884</v>
      </c>
      <c r="B837">
        <v>33</v>
      </c>
      <c r="C837" t="s">
        <v>29</v>
      </c>
      <c r="D837" t="s">
        <v>22</v>
      </c>
      <c r="E837" t="s">
        <v>31</v>
      </c>
      <c r="F837" t="s">
        <v>49</v>
      </c>
      <c r="G837">
        <v>5976.7</v>
      </c>
      <c r="H837">
        <v>3962.99</v>
      </c>
      <c r="I837">
        <v>44682.14</v>
      </c>
      <c r="J837" t="s">
        <v>37</v>
      </c>
      <c r="K837" t="s">
        <v>38</v>
      </c>
      <c r="L837">
        <v>0</v>
      </c>
      <c r="M837">
        <v>0</v>
      </c>
      <c r="N837">
        <v>0</v>
      </c>
      <c r="O837">
        <v>0</v>
      </c>
      <c r="P837">
        <v>0</v>
      </c>
      <c r="Q837">
        <v>797</v>
      </c>
      <c r="R837">
        <v>0.62</v>
      </c>
      <c r="S837" t="s">
        <v>39</v>
      </c>
      <c r="T837" s="1">
        <v>45230</v>
      </c>
      <c r="U837">
        <v>0</v>
      </c>
    </row>
    <row r="838" spans="1:21" x14ac:dyDescent="0.25">
      <c r="A838" t="s">
        <v>885</v>
      </c>
      <c r="B838">
        <v>49</v>
      </c>
      <c r="C838" t="s">
        <v>21</v>
      </c>
      <c r="D838" t="s">
        <v>22</v>
      </c>
      <c r="E838" t="s">
        <v>23</v>
      </c>
      <c r="F838" t="s">
        <v>36</v>
      </c>
      <c r="G838">
        <v>2964.26</v>
      </c>
      <c r="H838">
        <v>2197.9</v>
      </c>
      <c r="I838">
        <v>6768.5</v>
      </c>
      <c r="J838" t="s">
        <v>25</v>
      </c>
      <c r="K838" t="s">
        <v>33</v>
      </c>
      <c r="L838">
        <v>164785.97</v>
      </c>
      <c r="M838">
        <v>300</v>
      </c>
      <c r="N838">
        <v>2287.2199999999998</v>
      </c>
      <c r="O838">
        <v>16.37</v>
      </c>
      <c r="P838">
        <v>0.77</v>
      </c>
      <c r="Q838">
        <v>697</v>
      </c>
      <c r="R838">
        <v>0.19</v>
      </c>
      <c r="S838" t="s">
        <v>39</v>
      </c>
      <c r="T838" s="1">
        <v>44685</v>
      </c>
      <c r="U838">
        <v>1</v>
      </c>
    </row>
    <row r="839" spans="1:21" x14ac:dyDescent="0.25">
      <c r="A839" t="s">
        <v>886</v>
      </c>
      <c r="B839">
        <v>35</v>
      </c>
      <c r="C839" t="s">
        <v>21</v>
      </c>
      <c r="D839" t="s">
        <v>22</v>
      </c>
      <c r="E839" t="s">
        <v>31</v>
      </c>
      <c r="F839" t="s">
        <v>44</v>
      </c>
      <c r="G839">
        <v>5758.07</v>
      </c>
      <c r="H839">
        <v>1772.6</v>
      </c>
      <c r="I839">
        <v>65588.87</v>
      </c>
      <c r="J839" t="s">
        <v>37</v>
      </c>
      <c r="K839" t="s">
        <v>38</v>
      </c>
      <c r="L839">
        <v>0</v>
      </c>
      <c r="M839">
        <v>0</v>
      </c>
      <c r="N839">
        <v>0</v>
      </c>
      <c r="O839">
        <v>0</v>
      </c>
      <c r="P839">
        <v>0</v>
      </c>
      <c r="Q839">
        <v>391</v>
      </c>
      <c r="R839">
        <v>0.95</v>
      </c>
      <c r="S839" t="s">
        <v>39</v>
      </c>
      <c r="T839" s="1">
        <v>45618</v>
      </c>
      <c r="U839">
        <v>0</v>
      </c>
    </row>
    <row r="840" spans="1:21" x14ac:dyDescent="0.25">
      <c r="A840" t="s">
        <v>887</v>
      </c>
      <c r="B840">
        <v>64</v>
      </c>
      <c r="C840" t="s">
        <v>21</v>
      </c>
      <c r="D840" t="s">
        <v>35</v>
      </c>
      <c r="E840" t="s">
        <v>23</v>
      </c>
      <c r="F840" t="s">
        <v>63</v>
      </c>
      <c r="G840">
        <v>1974.09</v>
      </c>
      <c r="H840">
        <v>1606.35</v>
      </c>
      <c r="I840">
        <v>23189.599999999999</v>
      </c>
      <c r="J840" t="s">
        <v>37</v>
      </c>
      <c r="K840" t="s">
        <v>38</v>
      </c>
      <c r="L840">
        <v>0</v>
      </c>
      <c r="M840">
        <v>0</v>
      </c>
      <c r="N840">
        <v>0</v>
      </c>
      <c r="O840">
        <v>0</v>
      </c>
      <c r="P840">
        <v>0</v>
      </c>
      <c r="Q840">
        <v>327</v>
      </c>
      <c r="R840">
        <v>0.98</v>
      </c>
      <c r="S840" t="s">
        <v>30</v>
      </c>
      <c r="T840" s="1">
        <v>45475</v>
      </c>
      <c r="U840">
        <v>0</v>
      </c>
    </row>
    <row r="841" spans="1:21" x14ac:dyDescent="0.25">
      <c r="A841" t="s">
        <v>888</v>
      </c>
      <c r="B841">
        <v>33</v>
      </c>
      <c r="C841" t="s">
        <v>21</v>
      </c>
      <c r="D841" t="s">
        <v>41</v>
      </c>
      <c r="E841" t="s">
        <v>49</v>
      </c>
      <c r="F841" t="s">
        <v>23</v>
      </c>
      <c r="G841">
        <v>4193.3599999999997</v>
      </c>
      <c r="H841">
        <v>1427.52</v>
      </c>
      <c r="I841">
        <v>41164.22</v>
      </c>
      <c r="J841" t="s">
        <v>37</v>
      </c>
      <c r="K841" t="s">
        <v>38</v>
      </c>
      <c r="L841">
        <v>0</v>
      </c>
      <c r="M841">
        <v>0</v>
      </c>
      <c r="N841">
        <v>0</v>
      </c>
      <c r="O841">
        <v>0</v>
      </c>
      <c r="P841">
        <v>0</v>
      </c>
      <c r="Q841">
        <v>820</v>
      </c>
      <c r="R841">
        <v>0.82</v>
      </c>
      <c r="S841" t="s">
        <v>47</v>
      </c>
      <c r="T841" s="1">
        <v>44808</v>
      </c>
      <c r="U841">
        <v>0</v>
      </c>
    </row>
    <row r="842" spans="1:21" x14ac:dyDescent="0.25">
      <c r="A842" t="s">
        <v>889</v>
      </c>
      <c r="B842">
        <v>48</v>
      </c>
      <c r="C842" t="s">
        <v>21</v>
      </c>
      <c r="D842" t="s">
        <v>22</v>
      </c>
      <c r="E842" t="s">
        <v>31</v>
      </c>
      <c r="F842" t="s">
        <v>42</v>
      </c>
      <c r="G842">
        <v>631.51</v>
      </c>
      <c r="H842">
        <v>241.85</v>
      </c>
      <c r="I842">
        <v>4740.6000000000004</v>
      </c>
      <c r="J842" t="s">
        <v>37</v>
      </c>
      <c r="K842" t="s">
        <v>38</v>
      </c>
      <c r="L842">
        <v>0</v>
      </c>
      <c r="M842">
        <v>0</v>
      </c>
      <c r="N842">
        <v>0</v>
      </c>
      <c r="O842">
        <v>0</v>
      </c>
      <c r="P842">
        <v>0</v>
      </c>
      <c r="Q842">
        <v>798</v>
      </c>
      <c r="R842">
        <v>0.63</v>
      </c>
      <c r="S842" t="s">
        <v>27</v>
      </c>
      <c r="T842" s="1">
        <v>45495</v>
      </c>
      <c r="U842">
        <v>0</v>
      </c>
    </row>
    <row r="843" spans="1:21" x14ac:dyDescent="0.25">
      <c r="A843" t="s">
        <v>890</v>
      </c>
      <c r="B843">
        <v>45</v>
      </c>
      <c r="C843" t="s">
        <v>30</v>
      </c>
      <c r="D843" t="s">
        <v>35</v>
      </c>
      <c r="E843" t="s">
        <v>51</v>
      </c>
      <c r="F843" t="s">
        <v>24</v>
      </c>
      <c r="G843">
        <v>5881.65</v>
      </c>
      <c r="H843">
        <v>3955.17</v>
      </c>
      <c r="I843">
        <v>12368.64</v>
      </c>
      <c r="J843" t="s">
        <v>37</v>
      </c>
      <c r="K843" t="s">
        <v>38</v>
      </c>
      <c r="L843">
        <v>0</v>
      </c>
      <c r="M843">
        <v>0</v>
      </c>
      <c r="N843">
        <v>0</v>
      </c>
      <c r="O843">
        <v>0</v>
      </c>
      <c r="P843">
        <v>0</v>
      </c>
      <c r="Q843">
        <v>332</v>
      </c>
      <c r="R843">
        <v>0.18</v>
      </c>
      <c r="S843" t="s">
        <v>47</v>
      </c>
      <c r="T843" s="1">
        <v>45766</v>
      </c>
      <c r="U843">
        <v>0</v>
      </c>
    </row>
    <row r="844" spans="1:21" x14ac:dyDescent="0.25">
      <c r="A844" t="s">
        <v>891</v>
      </c>
      <c r="B844">
        <v>33</v>
      </c>
      <c r="C844" t="s">
        <v>21</v>
      </c>
      <c r="D844" t="s">
        <v>35</v>
      </c>
      <c r="E844" t="s">
        <v>31</v>
      </c>
      <c r="F844" t="s">
        <v>24</v>
      </c>
      <c r="G844">
        <v>2451.2600000000002</v>
      </c>
      <c r="H844">
        <v>1808.83</v>
      </c>
      <c r="I844">
        <v>12868.12</v>
      </c>
      <c r="J844" t="s">
        <v>37</v>
      </c>
      <c r="K844" t="s">
        <v>38</v>
      </c>
      <c r="L844">
        <v>0</v>
      </c>
      <c r="M844">
        <v>0</v>
      </c>
      <c r="N844">
        <v>0</v>
      </c>
      <c r="O844">
        <v>0</v>
      </c>
      <c r="P844">
        <v>0</v>
      </c>
      <c r="Q844">
        <v>339</v>
      </c>
      <c r="R844">
        <v>0.44</v>
      </c>
      <c r="S844" t="s">
        <v>39</v>
      </c>
      <c r="T844" s="1">
        <v>45647</v>
      </c>
      <c r="U844">
        <v>0</v>
      </c>
    </row>
    <row r="845" spans="1:21" x14ac:dyDescent="0.25">
      <c r="A845" t="s">
        <v>892</v>
      </c>
      <c r="B845">
        <v>52</v>
      </c>
      <c r="C845" t="s">
        <v>29</v>
      </c>
      <c r="D845" t="s">
        <v>41</v>
      </c>
      <c r="E845" t="s">
        <v>31</v>
      </c>
      <c r="F845" t="s">
        <v>32</v>
      </c>
      <c r="G845">
        <v>3963.68</v>
      </c>
      <c r="H845">
        <v>3300.08</v>
      </c>
      <c r="I845">
        <v>12789.04</v>
      </c>
      <c r="J845" t="s">
        <v>37</v>
      </c>
      <c r="K845" t="s">
        <v>38</v>
      </c>
      <c r="L845">
        <v>0</v>
      </c>
      <c r="M845">
        <v>0</v>
      </c>
      <c r="N845">
        <v>0</v>
      </c>
      <c r="O845">
        <v>0</v>
      </c>
      <c r="P845">
        <v>0</v>
      </c>
      <c r="Q845">
        <v>640</v>
      </c>
      <c r="R845">
        <v>0.27</v>
      </c>
      <c r="S845" t="s">
        <v>39</v>
      </c>
      <c r="T845" s="1">
        <v>44856</v>
      </c>
      <c r="U845">
        <v>0</v>
      </c>
    </row>
    <row r="846" spans="1:21" x14ac:dyDescent="0.25">
      <c r="A846" t="s">
        <v>893</v>
      </c>
      <c r="B846">
        <v>39</v>
      </c>
      <c r="C846" t="s">
        <v>29</v>
      </c>
      <c r="D846" t="s">
        <v>35</v>
      </c>
      <c r="E846" t="s">
        <v>31</v>
      </c>
      <c r="F846" t="s">
        <v>44</v>
      </c>
      <c r="G846">
        <v>635.61</v>
      </c>
      <c r="H846">
        <v>214.25</v>
      </c>
      <c r="I846">
        <v>4249.74</v>
      </c>
      <c r="J846" t="s">
        <v>37</v>
      </c>
      <c r="K846" t="s">
        <v>38</v>
      </c>
      <c r="L846">
        <v>0</v>
      </c>
      <c r="M846">
        <v>0</v>
      </c>
      <c r="N846">
        <v>0</v>
      </c>
      <c r="O846">
        <v>0</v>
      </c>
      <c r="P846">
        <v>0</v>
      </c>
      <c r="Q846">
        <v>735</v>
      </c>
      <c r="R846">
        <v>0.56000000000000005</v>
      </c>
      <c r="S846" t="s">
        <v>39</v>
      </c>
      <c r="T846" s="1">
        <v>45288</v>
      </c>
      <c r="U846">
        <v>0</v>
      </c>
    </row>
    <row r="847" spans="1:21" x14ac:dyDescent="0.25">
      <c r="A847" t="s">
        <v>894</v>
      </c>
      <c r="B847">
        <v>60</v>
      </c>
      <c r="C847" t="s">
        <v>29</v>
      </c>
      <c r="D847" t="s">
        <v>22</v>
      </c>
      <c r="E847" t="s">
        <v>31</v>
      </c>
      <c r="F847" t="s">
        <v>52</v>
      </c>
      <c r="G847">
        <v>2288.41</v>
      </c>
      <c r="H847">
        <v>777</v>
      </c>
      <c r="I847">
        <v>16426.060000000001</v>
      </c>
      <c r="J847" t="s">
        <v>37</v>
      </c>
      <c r="K847" t="s">
        <v>38</v>
      </c>
      <c r="L847">
        <v>0</v>
      </c>
      <c r="M847">
        <v>0</v>
      </c>
      <c r="N847">
        <v>0</v>
      </c>
      <c r="O847">
        <v>0</v>
      </c>
      <c r="P847">
        <v>0</v>
      </c>
      <c r="Q847">
        <v>316</v>
      </c>
      <c r="R847">
        <v>0.6</v>
      </c>
      <c r="S847" t="s">
        <v>39</v>
      </c>
      <c r="T847" s="1">
        <v>44402</v>
      </c>
      <c r="U847">
        <v>0</v>
      </c>
    </row>
    <row r="848" spans="1:21" x14ac:dyDescent="0.25">
      <c r="A848" t="s">
        <v>895</v>
      </c>
      <c r="B848">
        <v>48</v>
      </c>
      <c r="C848" t="s">
        <v>21</v>
      </c>
      <c r="D848" t="s">
        <v>41</v>
      </c>
      <c r="E848" t="s">
        <v>51</v>
      </c>
      <c r="F848" t="s">
        <v>23</v>
      </c>
      <c r="G848">
        <v>6028.07</v>
      </c>
      <c r="H848">
        <v>4567.78</v>
      </c>
      <c r="I848">
        <v>55512.35</v>
      </c>
      <c r="J848" t="s">
        <v>37</v>
      </c>
      <c r="K848" t="s">
        <v>38</v>
      </c>
      <c r="L848">
        <v>0</v>
      </c>
      <c r="M848">
        <v>0</v>
      </c>
      <c r="N848">
        <v>0</v>
      </c>
      <c r="O848">
        <v>0</v>
      </c>
      <c r="P848">
        <v>0</v>
      </c>
      <c r="Q848">
        <v>373</v>
      </c>
      <c r="R848">
        <v>0.77</v>
      </c>
      <c r="S848" t="s">
        <v>47</v>
      </c>
      <c r="T848" s="1">
        <v>45204</v>
      </c>
      <c r="U848">
        <v>0</v>
      </c>
    </row>
    <row r="849" spans="1:21" x14ac:dyDescent="0.25">
      <c r="A849" t="s">
        <v>896</v>
      </c>
      <c r="B849">
        <v>64</v>
      </c>
      <c r="C849" t="s">
        <v>21</v>
      </c>
      <c r="D849" t="s">
        <v>22</v>
      </c>
      <c r="E849" t="s">
        <v>51</v>
      </c>
      <c r="F849" t="s">
        <v>32</v>
      </c>
      <c r="G849">
        <v>500</v>
      </c>
      <c r="H849">
        <v>382.29</v>
      </c>
      <c r="I849">
        <v>2714.23</v>
      </c>
      <c r="J849" t="s">
        <v>37</v>
      </c>
      <c r="K849" t="s">
        <v>38</v>
      </c>
      <c r="L849">
        <v>0</v>
      </c>
      <c r="M849">
        <v>0</v>
      </c>
      <c r="N849">
        <v>0</v>
      </c>
      <c r="O849">
        <v>0</v>
      </c>
      <c r="P849">
        <v>0</v>
      </c>
      <c r="Q849">
        <v>832</v>
      </c>
      <c r="R849">
        <v>0.45</v>
      </c>
      <c r="S849" t="s">
        <v>39</v>
      </c>
      <c r="T849" s="1">
        <v>45149</v>
      </c>
      <c r="U849">
        <v>0</v>
      </c>
    </row>
    <row r="850" spans="1:21" x14ac:dyDescent="0.25">
      <c r="A850" t="s">
        <v>897</v>
      </c>
      <c r="B850">
        <v>54</v>
      </c>
      <c r="C850" t="s">
        <v>29</v>
      </c>
      <c r="D850" t="s">
        <v>41</v>
      </c>
      <c r="E850" t="s">
        <v>31</v>
      </c>
      <c r="F850" t="s">
        <v>49</v>
      </c>
      <c r="G850">
        <v>1987.9</v>
      </c>
      <c r="H850">
        <v>1592.6</v>
      </c>
      <c r="I850">
        <v>9473.2000000000007</v>
      </c>
      <c r="J850" t="s">
        <v>25</v>
      </c>
      <c r="K850" t="s">
        <v>33</v>
      </c>
      <c r="L850">
        <v>59544.36</v>
      </c>
      <c r="M850">
        <v>60</v>
      </c>
      <c r="N850">
        <v>1750.15</v>
      </c>
      <c r="O850">
        <v>25.07</v>
      </c>
      <c r="P850">
        <v>0.88</v>
      </c>
      <c r="Q850">
        <v>586</v>
      </c>
      <c r="R850">
        <v>0.4</v>
      </c>
      <c r="S850" t="s">
        <v>72</v>
      </c>
      <c r="T850" s="1">
        <v>44777</v>
      </c>
      <c r="U850">
        <v>1</v>
      </c>
    </row>
    <row r="851" spans="1:21" x14ac:dyDescent="0.25">
      <c r="A851" t="s">
        <v>898</v>
      </c>
      <c r="B851">
        <v>55</v>
      </c>
      <c r="C851" t="s">
        <v>29</v>
      </c>
      <c r="D851" t="s">
        <v>41</v>
      </c>
      <c r="E851" t="s">
        <v>31</v>
      </c>
      <c r="F851" t="s">
        <v>24</v>
      </c>
      <c r="G851">
        <v>3119.75</v>
      </c>
      <c r="H851">
        <v>1482.11</v>
      </c>
      <c r="I851">
        <v>34926.75</v>
      </c>
      <c r="J851" t="s">
        <v>37</v>
      </c>
      <c r="K851" t="s">
        <v>38</v>
      </c>
      <c r="L851">
        <v>0</v>
      </c>
      <c r="M851">
        <v>0</v>
      </c>
      <c r="N851">
        <v>0</v>
      </c>
      <c r="O851">
        <v>0</v>
      </c>
      <c r="P851">
        <v>0</v>
      </c>
      <c r="Q851">
        <v>348</v>
      </c>
      <c r="R851">
        <v>0.93</v>
      </c>
      <c r="S851" t="s">
        <v>72</v>
      </c>
      <c r="T851" s="1">
        <v>45817</v>
      </c>
      <c r="U851">
        <v>0</v>
      </c>
    </row>
    <row r="852" spans="1:21" x14ac:dyDescent="0.25">
      <c r="A852" t="s">
        <v>899</v>
      </c>
      <c r="B852">
        <v>55</v>
      </c>
      <c r="C852" t="s">
        <v>29</v>
      </c>
      <c r="D852" t="s">
        <v>41</v>
      </c>
      <c r="E852" t="s">
        <v>31</v>
      </c>
      <c r="F852" t="s">
        <v>42</v>
      </c>
      <c r="G852">
        <v>4502.1400000000003</v>
      </c>
      <c r="H852">
        <v>2680.01</v>
      </c>
      <c r="I852">
        <v>37022.82</v>
      </c>
      <c r="J852" t="s">
        <v>37</v>
      </c>
      <c r="K852" t="s">
        <v>38</v>
      </c>
      <c r="L852">
        <v>0</v>
      </c>
      <c r="M852">
        <v>0</v>
      </c>
      <c r="N852">
        <v>0</v>
      </c>
      <c r="O852">
        <v>0</v>
      </c>
      <c r="P852">
        <v>0</v>
      </c>
      <c r="Q852">
        <v>421</v>
      </c>
      <c r="R852">
        <v>0.69</v>
      </c>
      <c r="S852" t="s">
        <v>72</v>
      </c>
      <c r="T852" s="1">
        <v>45210</v>
      </c>
      <c r="U852">
        <v>0</v>
      </c>
    </row>
    <row r="853" spans="1:21" x14ac:dyDescent="0.25">
      <c r="A853" t="s">
        <v>900</v>
      </c>
      <c r="B853">
        <v>23</v>
      </c>
      <c r="C853" t="s">
        <v>29</v>
      </c>
      <c r="D853" t="s">
        <v>35</v>
      </c>
      <c r="E853" t="s">
        <v>51</v>
      </c>
      <c r="F853" t="s">
        <v>49</v>
      </c>
      <c r="G853">
        <v>3365.09</v>
      </c>
      <c r="H853">
        <v>2987.95</v>
      </c>
      <c r="I853">
        <v>37715.949999999997</v>
      </c>
      <c r="J853" t="s">
        <v>37</v>
      </c>
      <c r="K853" t="s">
        <v>38</v>
      </c>
      <c r="L853">
        <v>0</v>
      </c>
      <c r="M853">
        <v>0</v>
      </c>
      <c r="N853">
        <v>0</v>
      </c>
      <c r="O853">
        <v>0</v>
      </c>
      <c r="P853">
        <v>0</v>
      </c>
      <c r="Q853">
        <v>711</v>
      </c>
      <c r="R853">
        <v>0.93</v>
      </c>
      <c r="S853" t="s">
        <v>27</v>
      </c>
      <c r="T853" s="1">
        <v>45590</v>
      </c>
      <c r="U853">
        <v>0</v>
      </c>
    </row>
    <row r="854" spans="1:21" x14ac:dyDescent="0.25">
      <c r="A854" t="s">
        <v>901</v>
      </c>
      <c r="B854">
        <v>37</v>
      </c>
      <c r="C854" t="s">
        <v>29</v>
      </c>
      <c r="D854" t="s">
        <v>41</v>
      </c>
      <c r="E854" t="s">
        <v>31</v>
      </c>
      <c r="F854" t="s">
        <v>36</v>
      </c>
      <c r="G854">
        <v>4295.17</v>
      </c>
      <c r="H854">
        <v>1739.3</v>
      </c>
      <c r="I854">
        <v>24472.5</v>
      </c>
      <c r="J854" t="s">
        <v>37</v>
      </c>
      <c r="K854" t="s">
        <v>38</v>
      </c>
      <c r="L854">
        <v>0</v>
      </c>
      <c r="M854">
        <v>0</v>
      </c>
      <c r="N854">
        <v>0</v>
      </c>
      <c r="O854">
        <v>0</v>
      </c>
      <c r="P854">
        <v>0</v>
      </c>
      <c r="Q854">
        <v>708</v>
      </c>
      <c r="R854">
        <v>0.47</v>
      </c>
      <c r="S854" t="s">
        <v>27</v>
      </c>
      <c r="T854" s="1">
        <v>44668</v>
      </c>
      <c r="U854">
        <v>0</v>
      </c>
    </row>
    <row r="855" spans="1:21" x14ac:dyDescent="0.25">
      <c r="A855" t="s">
        <v>902</v>
      </c>
      <c r="B855">
        <v>68</v>
      </c>
      <c r="C855" t="s">
        <v>21</v>
      </c>
      <c r="D855" t="s">
        <v>41</v>
      </c>
      <c r="E855" t="s">
        <v>31</v>
      </c>
      <c r="F855" t="s">
        <v>32</v>
      </c>
      <c r="G855">
        <v>4114.3</v>
      </c>
      <c r="H855">
        <v>2991.61</v>
      </c>
      <c r="I855">
        <v>34611.14</v>
      </c>
      <c r="J855" t="s">
        <v>25</v>
      </c>
      <c r="K855" t="s">
        <v>26</v>
      </c>
      <c r="L855">
        <v>239321.73</v>
      </c>
      <c r="M855">
        <v>36</v>
      </c>
      <c r="N855">
        <v>8069.46</v>
      </c>
      <c r="O855">
        <v>13.05</v>
      </c>
      <c r="P855">
        <v>1.96</v>
      </c>
      <c r="Q855">
        <v>412</v>
      </c>
      <c r="R855">
        <v>0.7</v>
      </c>
      <c r="S855" t="s">
        <v>30</v>
      </c>
      <c r="T855" s="1">
        <v>44891</v>
      </c>
      <c r="U855">
        <v>1</v>
      </c>
    </row>
    <row r="856" spans="1:21" x14ac:dyDescent="0.25">
      <c r="A856" t="s">
        <v>903</v>
      </c>
      <c r="B856">
        <v>21</v>
      </c>
      <c r="C856" t="s">
        <v>29</v>
      </c>
      <c r="D856" t="s">
        <v>35</v>
      </c>
      <c r="E856" t="s">
        <v>31</v>
      </c>
      <c r="F856" t="s">
        <v>52</v>
      </c>
      <c r="G856">
        <v>4600.7299999999996</v>
      </c>
      <c r="H856">
        <v>2120.5500000000002</v>
      </c>
      <c r="I856">
        <v>8468.16</v>
      </c>
      <c r="J856" t="s">
        <v>37</v>
      </c>
      <c r="K856" t="s">
        <v>38</v>
      </c>
      <c r="L856">
        <v>0</v>
      </c>
      <c r="M856">
        <v>0</v>
      </c>
      <c r="N856">
        <v>0</v>
      </c>
      <c r="O856">
        <v>0</v>
      </c>
      <c r="P856">
        <v>0</v>
      </c>
      <c r="Q856">
        <v>376</v>
      </c>
      <c r="R856">
        <v>0.15</v>
      </c>
      <c r="S856" t="s">
        <v>39</v>
      </c>
      <c r="T856" s="1">
        <v>45754</v>
      </c>
      <c r="U856">
        <v>0</v>
      </c>
    </row>
    <row r="857" spans="1:21" x14ac:dyDescent="0.25">
      <c r="A857" t="s">
        <v>904</v>
      </c>
      <c r="B857">
        <v>67</v>
      </c>
      <c r="C857" t="s">
        <v>21</v>
      </c>
      <c r="D857" t="s">
        <v>41</v>
      </c>
      <c r="E857" t="s">
        <v>31</v>
      </c>
      <c r="F857" t="s">
        <v>24</v>
      </c>
      <c r="G857">
        <v>3291.76</v>
      </c>
      <c r="H857">
        <v>2595.2199999999998</v>
      </c>
      <c r="I857">
        <v>15931.54</v>
      </c>
      <c r="J857" t="s">
        <v>37</v>
      </c>
      <c r="K857" t="s">
        <v>38</v>
      </c>
      <c r="L857">
        <v>0</v>
      </c>
      <c r="M857">
        <v>0</v>
      </c>
      <c r="N857">
        <v>0</v>
      </c>
      <c r="O857">
        <v>0</v>
      </c>
      <c r="P857">
        <v>0</v>
      </c>
      <c r="Q857">
        <v>599</v>
      </c>
      <c r="R857">
        <v>0.4</v>
      </c>
      <c r="S857" t="s">
        <v>39</v>
      </c>
      <c r="T857" s="1">
        <v>44401</v>
      </c>
      <c r="U857">
        <v>0</v>
      </c>
    </row>
    <row r="858" spans="1:21" x14ac:dyDescent="0.25">
      <c r="A858" t="s">
        <v>905</v>
      </c>
      <c r="B858">
        <v>47</v>
      </c>
      <c r="C858" t="s">
        <v>29</v>
      </c>
      <c r="D858" t="s">
        <v>22</v>
      </c>
      <c r="E858" t="s">
        <v>31</v>
      </c>
      <c r="F858" t="s">
        <v>32</v>
      </c>
      <c r="G858">
        <v>4901.08</v>
      </c>
      <c r="H858">
        <v>3828.2</v>
      </c>
      <c r="I858">
        <v>53416.93</v>
      </c>
      <c r="J858" t="s">
        <v>37</v>
      </c>
      <c r="K858" t="s">
        <v>38</v>
      </c>
      <c r="L858">
        <v>0</v>
      </c>
      <c r="M858">
        <v>0</v>
      </c>
      <c r="N858">
        <v>0</v>
      </c>
      <c r="O858">
        <v>0</v>
      </c>
      <c r="P858">
        <v>0</v>
      </c>
      <c r="Q858">
        <v>332</v>
      </c>
      <c r="R858">
        <v>0.91</v>
      </c>
      <c r="S858" t="s">
        <v>72</v>
      </c>
      <c r="T858" s="1">
        <v>45760</v>
      </c>
      <c r="U858">
        <v>0</v>
      </c>
    </row>
    <row r="859" spans="1:21" x14ac:dyDescent="0.25">
      <c r="A859" t="s">
        <v>906</v>
      </c>
      <c r="B859">
        <v>46</v>
      </c>
      <c r="C859" t="s">
        <v>21</v>
      </c>
      <c r="D859" t="s">
        <v>35</v>
      </c>
      <c r="E859" t="s">
        <v>31</v>
      </c>
      <c r="F859" t="s">
        <v>23</v>
      </c>
      <c r="G859">
        <v>4035.31</v>
      </c>
      <c r="H859">
        <v>1947.41</v>
      </c>
      <c r="I859">
        <v>45494.720000000001</v>
      </c>
      <c r="J859" t="s">
        <v>25</v>
      </c>
      <c r="K859" t="s">
        <v>45</v>
      </c>
      <c r="L859">
        <v>100829.07</v>
      </c>
      <c r="M859">
        <v>240</v>
      </c>
      <c r="N859">
        <v>972.35</v>
      </c>
      <c r="O859">
        <v>9.99</v>
      </c>
      <c r="P859">
        <v>0.24</v>
      </c>
      <c r="Q859">
        <v>508</v>
      </c>
      <c r="R859">
        <v>0.94</v>
      </c>
      <c r="S859" t="s">
        <v>72</v>
      </c>
      <c r="T859" s="1">
        <v>44979</v>
      </c>
      <c r="U859">
        <v>0</v>
      </c>
    </row>
    <row r="860" spans="1:21" x14ac:dyDescent="0.25">
      <c r="A860" t="s">
        <v>907</v>
      </c>
      <c r="B860">
        <v>54</v>
      </c>
      <c r="C860" t="s">
        <v>29</v>
      </c>
      <c r="D860" t="s">
        <v>41</v>
      </c>
      <c r="E860" t="s">
        <v>31</v>
      </c>
      <c r="F860" t="s">
        <v>52</v>
      </c>
      <c r="G860">
        <v>1999.24</v>
      </c>
      <c r="H860">
        <v>788.25</v>
      </c>
      <c r="I860">
        <v>18656.3</v>
      </c>
      <c r="J860" t="s">
        <v>37</v>
      </c>
      <c r="K860" t="s">
        <v>38</v>
      </c>
      <c r="L860">
        <v>0</v>
      </c>
      <c r="M860">
        <v>0</v>
      </c>
      <c r="N860">
        <v>0</v>
      </c>
      <c r="O860">
        <v>0</v>
      </c>
      <c r="P860">
        <v>0</v>
      </c>
      <c r="Q860">
        <v>475</v>
      </c>
      <c r="R860">
        <v>0.78</v>
      </c>
      <c r="S860" t="s">
        <v>72</v>
      </c>
      <c r="T860" s="1">
        <v>44670</v>
      </c>
      <c r="U860">
        <v>0</v>
      </c>
    </row>
    <row r="861" spans="1:21" x14ac:dyDescent="0.25">
      <c r="A861" t="s">
        <v>908</v>
      </c>
      <c r="B861">
        <v>56</v>
      </c>
      <c r="C861" t="s">
        <v>29</v>
      </c>
      <c r="D861" t="s">
        <v>35</v>
      </c>
      <c r="E861" t="s">
        <v>49</v>
      </c>
      <c r="F861" t="s">
        <v>42</v>
      </c>
      <c r="G861">
        <v>2224.54</v>
      </c>
      <c r="H861">
        <v>1614.04</v>
      </c>
      <c r="I861">
        <v>16136.09</v>
      </c>
      <c r="J861" t="s">
        <v>37</v>
      </c>
      <c r="K861" t="s">
        <v>38</v>
      </c>
      <c r="L861">
        <v>0</v>
      </c>
      <c r="M861">
        <v>0</v>
      </c>
      <c r="N861">
        <v>0</v>
      </c>
      <c r="O861">
        <v>0</v>
      </c>
      <c r="P861">
        <v>0</v>
      </c>
      <c r="Q861">
        <v>340</v>
      </c>
      <c r="R861">
        <v>0.6</v>
      </c>
      <c r="S861" t="s">
        <v>27</v>
      </c>
      <c r="T861" s="1">
        <v>44931</v>
      </c>
      <c r="U861">
        <v>0</v>
      </c>
    </row>
    <row r="862" spans="1:21" x14ac:dyDescent="0.25">
      <c r="A862" t="s">
        <v>909</v>
      </c>
      <c r="B862">
        <v>43</v>
      </c>
      <c r="C862" t="s">
        <v>21</v>
      </c>
      <c r="D862" t="s">
        <v>41</v>
      </c>
      <c r="E862" t="s">
        <v>31</v>
      </c>
      <c r="F862" t="s">
        <v>32</v>
      </c>
      <c r="G862">
        <v>3029.12</v>
      </c>
      <c r="H862">
        <v>1318.07</v>
      </c>
      <c r="I862">
        <v>32988.910000000003</v>
      </c>
      <c r="J862" t="s">
        <v>37</v>
      </c>
      <c r="K862" t="s">
        <v>38</v>
      </c>
      <c r="L862">
        <v>0</v>
      </c>
      <c r="M862">
        <v>0</v>
      </c>
      <c r="N862">
        <v>0</v>
      </c>
      <c r="O862">
        <v>0</v>
      </c>
      <c r="P862">
        <v>0</v>
      </c>
      <c r="Q862">
        <v>662</v>
      </c>
      <c r="R862">
        <v>0.91</v>
      </c>
      <c r="S862" t="s">
        <v>30</v>
      </c>
      <c r="T862" s="1">
        <v>44909</v>
      </c>
      <c r="U862">
        <v>0</v>
      </c>
    </row>
    <row r="863" spans="1:21" x14ac:dyDescent="0.25">
      <c r="A863" t="s">
        <v>910</v>
      </c>
      <c r="B863">
        <v>65</v>
      </c>
      <c r="C863" t="s">
        <v>29</v>
      </c>
      <c r="D863" t="s">
        <v>41</v>
      </c>
      <c r="E863" t="s">
        <v>31</v>
      </c>
      <c r="F863" t="s">
        <v>36</v>
      </c>
      <c r="G863">
        <v>6154.8</v>
      </c>
      <c r="H863">
        <v>3961.87</v>
      </c>
      <c r="I863">
        <v>54075.75</v>
      </c>
      <c r="J863" t="s">
        <v>25</v>
      </c>
      <c r="K863" t="s">
        <v>26</v>
      </c>
      <c r="L863">
        <v>490934.06</v>
      </c>
      <c r="M863">
        <v>120</v>
      </c>
      <c r="N863">
        <v>10889.28</v>
      </c>
      <c r="O863">
        <v>24.19</v>
      </c>
      <c r="P863">
        <v>1.77</v>
      </c>
      <c r="Q863">
        <v>541</v>
      </c>
      <c r="R863">
        <v>0.73</v>
      </c>
      <c r="S863" t="s">
        <v>47</v>
      </c>
      <c r="T863" s="1">
        <v>44628</v>
      </c>
      <c r="U863">
        <v>1</v>
      </c>
    </row>
    <row r="864" spans="1:21" x14ac:dyDescent="0.25">
      <c r="A864" t="s">
        <v>911</v>
      </c>
      <c r="B864">
        <v>66</v>
      </c>
      <c r="C864" t="s">
        <v>29</v>
      </c>
      <c r="D864" t="s">
        <v>41</v>
      </c>
      <c r="E864" t="s">
        <v>31</v>
      </c>
      <c r="F864" t="s">
        <v>49</v>
      </c>
      <c r="G864">
        <v>7240.47</v>
      </c>
      <c r="H864">
        <v>4642.8500000000004</v>
      </c>
      <c r="I864">
        <v>46629.38</v>
      </c>
      <c r="J864" t="s">
        <v>37</v>
      </c>
      <c r="K864" t="s">
        <v>38</v>
      </c>
      <c r="L864">
        <v>0</v>
      </c>
      <c r="M864">
        <v>0</v>
      </c>
      <c r="N864">
        <v>0</v>
      </c>
      <c r="O864">
        <v>0</v>
      </c>
      <c r="P864">
        <v>0</v>
      </c>
      <c r="Q864">
        <v>706</v>
      </c>
      <c r="R864">
        <v>0.54</v>
      </c>
      <c r="S864" t="s">
        <v>39</v>
      </c>
      <c r="T864" s="1">
        <v>45474</v>
      </c>
      <c r="U864">
        <v>0</v>
      </c>
    </row>
    <row r="865" spans="1:21" x14ac:dyDescent="0.25">
      <c r="A865" t="s">
        <v>912</v>
      </c>
      <c r="B865">
        <v>40</v>
      </c>
      <c r="C865" t="s">
        <v>21</v>
      </c>
      <c r="D865" t="s">
        <v>41</v>
      </c>
      <c r="E865" t="s">
        <v>31</v>
      </c>
      <c r="F865" t="s">
        <v>49</v>
      </c>
      <c r="G865">
        <v>3142.6</v>
      </c>
      <c r="H865">
        <v>1500.05</v>
      </c>
      <c r="I865">
        <v>33220.86</v>
      </c>
      <c r="J865" t="s">
        <v>25</v>
      </c>
      <c r="K865" t="s">
        <v>54</v>
      </c>
      <c r="L865">
        <v>151883.16</v>
      </c>
      <c r="M865">
        <v>120</v>
      </c>
      <c r="N865">
        <v>2251.6799999999998</v>
      </c>
      <c r="O865">
        <v>12.82</v>
      </c>
      <c r="P865">
        <v>0.72</v>
      </c>
      <c r="Q865">
        <v>723</v>
      </c>
      <c r="R865">
        <v>0.88</v>
      </c>
      <c r="S865" t="s">
        <v>27</v>
      </c>
      <c r="T865" s="1">
        <v>44968</v>
      </c>
      <c r="U865">
        <v>1</v>
      </c>
    </row>
    <row r="866" spans="1:21" x14ac:dyDescent="0.25">
      <c r="A866" t="s">
        <v>913</v>
      </c>
      <c r="B866">
        <v>18</v>
      </c>
      <c r="C866" t="s">
        <v>21</v>
      </c>
      <c r="D866" t="s">
        <v>35</v>
      </c>
      <c r="E866" t="s">
        <v>51</v>
      </c>
      <c r="F866" t="s">
        <v>44</v>
      </c>
      <c r="G866">
        <v>4480.67</v>
      </c>
      <c r="H866">
        <v>3803.13</v>
      </c>
      <c r="I866">
        <v>38514.080000000002</v>
      </c>
      <c r="J866" t="s">
        <v>25</v>
      </c>
      <c r="K866" t="s">
        <v>33</v>
      </c>
      <c r="L866">
        <v>185783.16</v>
      </c>
      <c r="M866">
        <v>120</v>
      </c>
      <c r="N866">
        <v>2284.61</v>
      </c>
      <c r="O866">
        <v>8.31</v>
      </c>
      <c r="P866">
        <v>0.51</v>
      </c>
      <c r="Q866">
        <v>699</v>
      </c>
      <c r="R866">
        <v>0.72</v>
      </c>
      <c r="S866" t="s">
        <v>39</v>
      </c>
      <c r="T866" s="1">
        <v>45682</v>
      </c>
      <c r="U866">
        <v>1</v>
      </c>
    </row>
    <row r="867" spans="1:21" x14ac:dyDescent="0.25">
      <c r="A867" t="s">
        <v>914</v>
      </c>
      <c r="B867">
        <v>57</v>
      </c>
      <c r="C867" t="s">
        <v>29</v>
      </c>
      <c r="D867" t="s">
        <v>22</v>
      </c>
      <c r="E867" t="s">
        <v>31</v>
      </c>
      <c r="F867" t="s">
        <v>42</v>
      </c>
      <c r="G867">
        <v>7126.41</v>
      </c>
      <c r="H867">
        <v>5217.84</v>
      </c>
      <c r="I867">
        <v>34399.42</v>
      </c>
      <c r="J867" t="s">
        <v>37</v>
      </c>
      <c r="K867" t="s">
        <v>38</v>
      </c>
      <c r="L867">
        <v>0</v>
      </c>
      <c r="M867">
        <v>0</v>
      </c>
      <c r="N867">
        <v>0</v>
      </c>
      <c r="O867">
        <v>0</v>
      </c>
      <c r="P867">
        <v>0</v>
      </c>
      <c r="Q867">
        <v>787</v>
      </c>
      <c r="R867">
        <v>0.4</v>
      </c>
      <c r="S867" t="s">
        <v>27</v>
      </c>
      <c r="T867" s="1">
        <v>45078</v>
      </c>
      <c r="U867">
        <v>0</v>
      </c>
    </row>
    <row r="868" spans="1:21" x14ac:dyDescent="0.25">
      <c r="A868" t="s">
        <v>915</v>
      </c>
      <c r="B868">
        <v>59</v>
      </c>
      <c r="C868" t="s">
        <v>29</v>
      </c>
      <c r="D868" t="s">
        <v>22</v>
      </c>
      <c r="E868" t="s">
        <v>49</v>
      </c>
      <c r="F868" t="s">
        <v>44</v>
      </c>
      <c r="G868">
        <v>7134.4</v>
      </c>
      <c r="H868">
        <v>2640.15</v>
      </c>
      <c r="I868">
        <v>57153.89</v>
      </c>
      <c r="J868" t="s">
        <v>37</v>
      </c>
      <c r="K868" t="s">
        <v>38</v>
      </c>
      <c r="L868">
        <v>0</v>
      </c>
      <c r="M868">
        <v>0</v>
      </c>
      <c r="N868">
        <v>0</v>
      </c>
      <c r="O868">
        <v>0</v>
      </c>
      <c r="P868">
        <v>0</v>
      </c>
      <c r="Q868">
        <v>836</v>
      </c>
      <c r="R868">
        <v>0.67</v>
      </c>
      <c r="S868" t="s">
        <v>30</v>
      </c>
      <c r="T868" s="1">
        <v>44728</v>
      </c>
      <c r="U868">
        <v>0</v>
      </c>
    </row>
    <row r="869" spans="1:21" x14ac:dyDescent="0.25">
      <c r="A869" t="s">
        <v>916</v>
      </c>
      <c r="B869">
        <v>20</v>
      </c>
      <c r="C869" t="s">
        <v>21</v>
      </c>
      <c r="D869" t="s">
        <v>35</v>
      </c>
      <c r="E869" t="s">
        <v>31</v>
      </c>
      <c r="F869" t="s">
        <v>23</v>
      </c>
      <c r="G869">
        <v>4792.72</v>
      </c>
      <c r="H869">
        <v>2147.11</v>
      </c>
      <c r="I869">
        <v>5752.56</v>
      </c>
      <c r="J869" t="s">
        <v>37</v>
      </c>
      <c r="K869" t="s">
        <v>38</v>
      </c>
      <c r="L869">
        <v>0</v>
      </c>
      <c r="M869">
        <v>0</v>
      </c>
      <c r="N869">
        <v>0</v>
      </c>
      <c r="O869">
        <v>0</v>
      </c>
      <c r="P869">
        <v>0</v>
      </c>
      <c r="Q869">
        <v>556</v>
      </c>
      <c r="R869">
        <v>0.1</v>
      </c>
      <c r="S869" t="s">
        <v>30</v>
      </c>
      <c r="T869" s="1">
        <v>45655</v>
      </c>
      <c r="U869">
        <v>0</v>
      </c>
    </row>
    <row r="870" spans="1:21" x14ac:dyDescent="0.25">
      <c r="A870" t="s">
        <v>917</v>
      </c>
      <c r="B870">
        <v>49</v>
      </c>
      <c r="C870" t="s">
        <v>29</v>
      </c>
      <c r="D870" t="s">
        <v>41</v>
      </c>
      <c r="E870" t="s">
        <v>51</v>
      </c>
      <c r="F870" t="s">
        <v>32</v>
      </c>
      <c r="G870">
        <v>4827.79</v>
      </c>
      <c r="H870">
        <v>3019.99</v>
      </c>
      <c r="I870">
        <v>9920.5300000000007</v>
      </c>
      <c r="J870" t="s">
        <v>37</v>
      </c>
      <c r="K870" t="s">
        <v>38</v>
      </c>
      <c r="L870">
        <v>0</v>
      </c>
      <c r="M870">
        <v>0</v>
      </c>
      <c r="N870">
        <v>0</v>
      </c>
      <c r="O870">
        <v>0</v>
      </c>
      <c r="P870">
        <v>0</v>
      </c>
      <c r="Q870">
        <v>688</v>
      </c>
      <c r="R870">
        <v>0.17</v>
      </c>
      <c r="S870" t="s">
        <v>30</v>
      </c>
      <c r="T870" s="1">
        <v>45757</v>
      </c>
      <c r="U870">
        <v>0</v>
      </c>
    </row>
    <row r="871" spans="1:21" x14ac:dyDescent="0.25">
      <c r="A871" t="s">
        <v>918</v>
      </c>
      <c r="B871">
        <v>25</v>
      </c>
      <c r="C871" t="s">
        <v>29</v>
      </c>
      <c r="D871" t="s">
        <v>22</v>
      </c>
      <c r="E871" t="s">
        <v>31</v>
      </c>
      <c r="F871" t="s">
        <v>36</v>
      </c>
      <c r="G871">
        <v>4711.63</v>
      </c>
      <c r="H871">
        <v>1653.03</v>
      </c>
      <c r="I871">
        <v>30894.7</v>
      </c>
      <c r="J871" t="s">
        <v>25</v>
      </c>
      <c r="K871" t="s">
        <v>26</v>
      </c>
      <c r="L871">
        <v>177924.78</v>
      </c>
      <c r="M871">
        <v>180</v>
      </c>
      <c r="N871">
        <v>2724.41</v>
      </c>
      <c r="O871">
        <v>16.89</v>
      </c>
      <c r="P871">
        <v>0.57999999999999996</v>
      </c>
      <c r="Q871">
        <v>639</v>
      </c>
      <c r="R871">
        <v>0.55000000000000004</v>
      </c>
      <c r="S871" t="s">
        <v>47</v>
      </c>
      <c r="T871" s="1">
        <v>44866</v>
      </c>
      <c r="U871">
        <v>1</v>
      </c>
    </row>
    <row r="872" spans="1:21" x14ac:dyDescent="0.25">
      <c r="A872" t="s">
        <v>919</v>
      </c>
      <c r="B872">
        <v>47</v>
      </c>
      <c r="C872" t="s">
        <v>21</v>
      </c>
      <c r="D872" t="s">
        <v>41</v>
      </c>
      <c r="E872" t="s">
        <v>31</v>
      </c>
      <c r="F872" t="s">
        <v>23</v>
      </c>
      <c r="G872">
        <v>8317.74</v>
      </c>
      <c r="H872">
        <v>3000.43</v>
      </c>
      <c r="I872">
        <v>16837.150000000001</v>
      </c>
      <c r="J872" t="s">
        <v>37</v>
      </c>
      <c r="K872" t="s">
        <v>38</v>
      </c>
      <c r="L872">
        <v>0</v>
      </c>
      <c r="M872">
        <v>0</v>
      </c>
      <c r="N872">
        <v>0</v>
      </c>
      <c r="O872">
        <v>0</v>
      </c>
      <c r="P872">
        <v>0</v>
      </c>
      <c r="Q872">
        <v>637</v>
      </c>
      <c r="R872">
        <v>0.17</v>
      </c>
      <c r="S872" t="s">
        <v>47</v>
      </c>
      <c r="T872" s="1">
        <v>45781</v>
      </c>
      <c r="U872">
        <v>0</v>
      </c>
    </row>
    <row r="873" spans="1:21" x14ac:dyDescent="0.25">
      <c r="A873" t="s">
        <v>920</v>
      </c>
      <c r="B873">
        <v>53</v>
      </c>
      <c r="C873" t="s">
        <v>21</v>
      </c>
      <c r="D873" t="s">
        <v>22</v>
      </c>
      <c r="E873" t="s">
        <v>23</v>
      </c>
      <c r="F873" t="s">
        <v>44</v>
      </c>
      <c r="G873">
        <v>2005.69</v>
      </c>
      <c r="H873">
        <v>764.91</v>
      </c>
      <c r="I873">
        <v>23020.71</v>
      </c>
      <c r="J873" t="s">
        <v>25</v>
      </c>
      <c r="K873" t="s">
        <v>45</v>
      </c>
      <c r="L873">
        <v>170278.53</v>
      </c>
      <c r="M873">
        <v>120</v>
      </c>
      <c r="N873">
        <v>1813.57</v>
      </c>
      <c r="O873">
        <v>5.09</v>
      </c>
      <c r="P873">
        <v>0.9</v>
      </c>
      <c r="Q873">
        <v>670</v>
      </c>
      <c r="R873">
        <v>0.96</v>
      </c>
      <c r="S873" t="s">
        <v>30</v>
      </c>
      <c r="T873" s="1">
        <v>44934</v>
      </c>
      <c r="U873">
        <v>1</v>
      </c>
    </row>
    <row r="874" spans="1:21" x14ac:dyDescent="0.25">
      <c r="A874" t="s">
        <v>921</v>
      </c>
      <c r="B874">
        <v>67</v>
      </c>
      <c r="C874" t="s">
        <v>29</v>
      </c>
      <c r="D874" t="s">
        <v>35</v>
      </c>
      <c r="E874" t="s">
        <v>31</v>
      </c>
      <c r="F874" t="s">
        <v>42</v>
      </c>
      <c r="G874">
        <v>3931.13</v>
      </c>
      <c r="H874">
        <v>3517.89</v>
      </c>
      <c r="I874">
        <v>27478.23</v>
      </c>
      <c r="J874" t="s">
        <v>25</v>
      </c>
      <c r="K874" t="s">
        <v>45</v>
      </c>
      <c r="L874">
        <v>121532.65</v>
      </c>
      <c r="M874">
        <v>120</v>
      </c>
      <c r="N874">
        <v>3018.72</v>
      </c>
      <c r="O874">
        <v>27.92</v>
      </c>
      <c r="P874">
        <v>0.77</v>
      </c>
      <c r="Q874">
        <v>315</v>
      </c>
      <c r="R874">
        <v>0.57999999999999996</v>
      </c>
      <c r="S874" t="s">
        <v>47</v>
      </c>
      <c r="T874" s="1">
        <v>45297</v>
      </c>
      <c r="U874">
        <v>1</v>
      </c>
    </row>
    <row r="875" spans="1:21" x14ac:dyDescent="0.25">
      <c r="A875" t="s">
        <v>922</v>
      </c>
      <c r="B875">
        <v>26</v>
      </c>
      <c r="C875" t="s">
        <v>29</v>
      </c>
      <c r="D875" t="s">
        <v>35</v>
      </c>
      <c r="E875" t="s">
        <v>31</v>
      </c>
      <c r="F875" t="s">
        <v>36</v>
      </c>
      <c r="G875">
        <v>8078.99</v>
      </c>
      <c r="H875">
        <v>6020.53</v>
      </c>
      <c r="I875">
        <v>62859.75</v>
      </c>
      <c r="J875" t="s">
        <v>25</v>
      </c>
      <c r="K875" t="s">
        <v>54</v>
      </c>
      <c r="L875">
        <v>130756.12</v>
      </c>
      <c r="M875">
        <v>120</v>
      </c>
      <c r="N875">
        <v>1743.19</v>
      </c>
      <c r="O875">
        <v>10.210000000000001</v>
      </c>
      <c r="P875">
        <v>0.22</v>
      </c>
      <c r="Q875">
        <v>799</v>
      </c>
      <c r="R875">
        <v>0.65</v>
      </c>
      <c r="S875" t="s">
        <v>27</v>
      </c>
      <c r="T875" s="1">
        <v>45211</v>
      </c>
      <c r="U875">
        <v>0</v>
      </c>
    </row>
    <row r="876" spans="1:21" x14ac:dyDescent="0.25">
      <c r="A876" t="s">
        <v>923</v>
      </c>
      <c r="B876">
        <v>48</v>
      </c>
      <c r="C876" t="s">
        <v>29</v>
      </c>
      <c r="D876" t="s">
        <v>41</v>
      </c>
      <c r="E876" t="s">
        <v>31</v>
      </c>
      <c r="F876" t="s">
        <v>49</v>
      </c>
      <c r="G876">
        <v>2572.92</v>
      </c>
      <c r="H876">
        <v>1834.36</v>
      </c>
      <c r="I876">
        <v>10221.32</v>
      </c>
      <c r="J876" t="s">
        <v>25</v>
      </c>
      <c r="K876" t="s">
        <v>45</v>
      </c>
      <c r="L876">
        <v>143515.12</v>
      </c>
      <c r="M876">
        <v>60</v>
      </c>
      <c r="N876">
        <v>3204.76</v>
      </c>
      <c r="O876">
        <v>12.17</v>
      </c>
      <c r="P876">
        <v>1.25</v>
      </c>
      <c r="Q876">
        <v>520</v>
      </c>
      <c r="R876">
        <v>0.33</v>
      </c>
      <c r="S876" t="s">
        <v>39</v>
      </c>
      <c r="T876" s="1">
        <v>44958</v>
      </c>
      <c r="U876">
        <v>1</v>
      </c>
    </row>
    <row r="877" spans="1:21" x14ac:dyDescent="0.25">
      <c r="A877" t="s">
        <v>924</v>
      </c>
      <c r="B877">
        <v>23</v>
      </c>
      <c r="C877" t="s">
        <v>21</v>
      </c>
      <c r="D877" t="s">
        <v>41</v>
      </c>
      <c r="E877" t="s">
        <v>31</v>
      </c>
      <c r="F877" t="s">
        <v>36</v>
      </c>
      <c r="G877">
        <v>1960.36</v>
      </c>
      <c r="H877">
        <v>1738.95</v>
      </c>
      <c r="I877">
        <v>8826.69</v>
      </c>
      <c r="J877" t="s">
        <v>25</v>
      </c>
      <c r="K877" t="s">
        <v>54</v>
      </c>
      <c r="L877">
        <v>118570.73</v>
      </c>
      <c r="M877">
        <v>60</v>
      </c>
      <c r="N877">
        <v>2971.71</v>
      </c>
      <c r="O877">
        <v>17.39</v>
      </c>
      <c r="P877">
        <v>1.52</v>
      </c>
      <c r="Q877">
        <v>649</v>
      </c>
      <c r="R877">
        <v>0.38</v>
      </c>
      <c r="S877" t="s">
        <v>47</v>
      </c>
      <c r="T877" s="1">
        <v>45584</v>
      </c>
      <c r="U877">
        <v>1</v>
      </c>
    </row>
    <row r="878" spans="1:21" x14ac:dyDescent="0.25">
      <c r="A878" t="s">
        <v>925</v>
      </c>
      <c r="B878">
        <v>23</v>
      </c>
      <c r="C878" t="s">
        <v>21</v>
      </c>
      <c r="D878" t="s">
        <v>35</v>
      </c>
      <c r="E878" t="s">
        <v>31</v>
      </c>
      <c r="F878" t="s">
        <v>63</v>
      </c>
      <c r="G878">
        <v>5021.46</v>
      </c>
      <c r="H878">
        <v>4479.13</v>
      </c>
      <c r="I878">
        <v>15599.7</v>
      </c>
      <c r="J878" t="s">
        <v>37</v>
      </c>
      <c r="K878" t="s">
        <v>38</v>
      </c>
      <c r="L878">
        <v>0</v>
      </c>
      <c r="M878">
        <v>0</v>
      </c>
      <c r="N878">
        <v>0</v>
      </c>
      <c r="O878">
        <v>0</v>
      </c>
      <c r="P878">
        <v>0</v>
      </c>
      <c r="Q878">
        <v>454</v>
      </c>
      <c r="R878">
        <v>0.26</v>
      </c>
      <c r="S878" t="s">
        <v>39</v>
      </c>
      <c r="T878" s="1">
        <v>44480</v>
      </c>
      <c r="U878">
        <v>0</v>
      </c>
    </row>
    <row r="879" spans="1:21" x14ac:dyDescent="0.25">
      <c r="A879" t="s">
        <v>926</v>
      </c>
      <c r="B879">
        <v>24</v>
      </c>
      <c r="C879" t="s">
        <v>30</v>
      </c>
      <c r="D879" t="s">
        <v>41</v>
      </c>
      <c r="E879" t="s">
        <v>31</v>
      </c>
      <c r="F879" t="s">
        <v>42</v>
      </c>
      <c r="G879">
        <v>5887.36</v>
      </c>
      <c r="H879">
        <v>1887.33</v>
      </c>
      <c r="I879">
        <v>11289.05</v>
      </c>
      <c r="J879" t="s">
        <v>25</v>
      </c>
      <c r="K879" t="s">
        <v>45</v>
      </c>
      <c r="L879">
        <v>316633.87</v>
      </c>
      <c r="M879">
        <v>120</v>
      </c>
      <c r="N879">
        <v>5197.97</v>
      </c>
      <c r="O879">
        <v>15.46</v>
      </c>
      <c r="P879">
        <v>0.88</v>
      </c>
      <c r="Q879">
        <v>321</v>
      </c>
      <c r="R879">
        <v>0.16</v>
      </c>
      <c r="S879" t="s">
        <v>72</v>
      </c>
      <c r="T879" s="1">
        <v>45054</v>
      </c>
      <c r="U879">
        <v>1</v>
      </c>
    </row>
    <row r="880" spans="1:21" x14ac:dyDescent="0.25">
      <c r="A880" t="s">
        <v>927</v>
      </c>
      <c r="B880">
        <v>33</v>
      </c>
      <c r="C880" t="s">
        <v>29</v>
      </c>
      <c r="D880" t="s">
        <v>56</v>
      </c>
      <c r="E880" t="s">
        <v>31</v>
      </c>
      <c r="F880" t="s">
        <v>52</v>
      </c>
      <c r="G880">
        <v>5280.99</v>
      </c>
      <c r="H880">
        <v>2813.89</v>
      </c>
      <c r="I880">
        <v>22983.05</v>
      </c>
      <c r="J880" t="s">
        <v>37</v>
      </c>
      <c r="K880" t="s">
        <v>38</v>
      </c>
      <c r="L880">
        <v>0</v>
      </c>
      <c r="M880">
        <v>0</v>
      </c>
      <c r="N880">
        <v>0</v>
      </c>
      <c r="O880">
        <v>0</v>
      </c>
      <c r="P880">
        <v>0</v>
      </c>
      <c r="Q880">
        <v>364</v>
      </c>
      <c r="R880">
        <v>0.36</v>
      </c>
      <c r="S880" t="s">
        <v>47</v>
      </c>
      <c r="T880" s="1">
        <v>45341</v>
      </c>
      <c r="U880">
        <v>0</v>
      </c>
    </row>
    <row r="881" spans="1:21" x14ac:dyDescent="0.25">
      <c r="A881" t="s">
        <v>928</v>
      </c>
      <c r="B881">
        <v>22</v>
      </c>
      <c r="C881" t="s">
        <v>29</v>
      </c>
      <c r="D881" t="s">
        <v>41</v>
      </c>
      <c r="E881" t="s">
        <v>31</v>
      </c>
      <c r="F881" t="s">
        <v>23</v>
      </c>
      <c r="G881">
        <v>7315.55</v>
      </c>
      <c r="H881">
        <v>3062.89</v>
      </c>
      <c r="I881">
        <v>11847.17</v>
      </c>
      <c r="J881" t="s">
        <v>25</v>
      </c>
      <c r="K881" t="s">
        <v>45</v>
      </c>
      <c r="L881">
        <v>216592.68</v>
      </c>
      <c r="M881">
        <v>240</v>
      </c>
      <c r="N881">
        <v>5109.3</v>
      </c>
      <c r="O881">
        <v>28.2</v>
      </c>
      <c r="P881">
        <v>0.7</v>
      </c>
      <c r="Q881">
        <v>708</v>
      </c>
      <c r="R881">
        <v>0.13</v>
      </c>
      <c r="S881" t="s">
        <v>72</v>
      </c>
      <c r="T881" s="1">
        <v>45403</v>
      </c>
      <c r="U881">
        <v>1</v>
      </c>
    </row>
    <row r="882" spans="1:21" x14ac:dyDescent="0.25">
      <c r="A882" t="s">
        <v>929</v>
      </c>
      <c r="B882">
        <v>38</v>
      </c>
      <c r="C882" t="s">
        <v>21</v>
      </c>
      <c r="D882" t="s">
        <v>35</v>
      </c>
      <c r="E882" t="s">
        <v>51</v>
      </c>
      <c r="F882" t="s">
        <v>52</v>
      </c>
      <c r="G882">
        <v>6386.98</v>
      </c>
      <c r="H882">
        <v>4119.28</v>
      </c>
      <c r="I882">
        <v>65392.160000000003</v>
      </c>
      <c r="J882" t="s">
        <v>25</v>
      </c>
      <c r="K882" t="s">
        <v>54</v>
      </c>
      <c r="L882">
        <v>250238.71</v>
      </c>
      <c r="M882">
        <v>240</v>
      </c>
      <c r="N882">
        <v>2240.21</v>
      </c>
      <c r="O882">
        <v>8.93</v>
      </c>
      <c r="P882">
        <v>0.35</v>
      </c>
      <c r="Q882">
        <v>512</v>
      </c>
      <c r="R882">
        <v>0.85</v>
      </c>
      <c r="S882" t="s">
        <v>72</v>
      </c>
      <c r="T882" s="1">
        <v>45092</v>
      </c>
      <c r="U882">
        <v>0</v>
      </c>
    </row>
    <row r="883" spans="1:21" x14ac:dyDescent="0.25">
      <c r="A883" t="s">
        <v>930</v>
      </c>
      <c r="B883">
        <v>35</v>
      </c>
      <c r="C883" t="s">
        <v>21</v>
      </c>
      <c r="D883" t="s">
        <v>41</v>
      </c>
      <c r="E883" t="s">
        <v>31</v>
      </c>
      <c r="F883" t="s">
        <v>44</v>
      </c>
      <c r="G883">
        <v>3434.87</v>
      </c>
      <c r="H883">
        <v>2713.17</v>
      </c>
      <c r="I883">
        <v>38236.980000000003</v>
      </c>
      <c r="J883" t="s">
        <v>37</v>
      </c>
      <c r="K883" t="s">
        <v>38</v>
      </c>
      <c r="L883">
        <v>0</v>
      </c>
      <c r="M883">
        <v>0</v>
      </c>
      <c r="N883">
        <v>0</v>
      </c>
      <c r="O883">
        <v>0</v>
      </c>
      <c r="P883">
        <v>0</v>
      </c>
      <c r="Q883">
        <v>533</v>
      </c>
      <c r="R883">
        <v>0.93</v>
      </c>
      <c r="S883" t="s">
        <v>27</v>
      </c>
      <c r="T883" s="1">
        <v>44913</v>
      </c>
      <c r="U883">
        <v>0</v>
      </c>
    </row>
    <row r="884" spans="1:21" x14ac:dyDescent="0.25">
      <c r="A884" t="s">
        <v>931</v>
      </c>
      <c r="B884">
        <v>64</v>
      </c>
      <c r="C884" t="s">
        <v>21</v>
      </c>
      <c r="D884" t="s">
        <v>41</v>
      </c>
      <c r="E884" t="s">
        <v>31</v>
      </c>
      <c r="F884" t="s">
        <v>24</v>
      </c>
      <c r="G884">
        <v>6324.34</v>
      </c>
      <c r="H884">
        <v>3675.3</v>
      </c>
      <c r="I884">
        <v>44301.2</v>
      </c>
      <c r="J884" t="s">
        <v>25</v>
      </c>
      <c r="K884" t="s">
        <v>33</v>
      </c>
      <c r="L884">
        <v>465060.14</v>
      </c>
      <c r="M884">
        <v>360</v>
      </c>
      <c r="N884">
        <v>10227.65</v>
      </c>
      <c r="O884">
        <v>26.38</v>
      </c>
      <c r="P884">
        <v>1.62</v>
      </c>
      <c r="Q884">
        <v>552</v>
      </c>
      <c r="R884">
        <v>0.57999999999999996</v>
      </c>
      <c r="S884" t="s">
        <v>27</v>
      </c>
      <c r="T884" s="1">
        <v>44404</v>
      </c>
      <c r="U884">
        <v>1</v>
      </c>
    </row>
    <row r="885" spans="1:21" x14ac:dyDescent="0.25">
      <c r="A885" t="s">
        <v>932</v>
      </c>
      <c r="B885">
        <v>42</v>
      </c>
      <c r="C885" t="s">
        <v>21</v>
      </c>
      <c r="D885" t="s">
        <v>41</v>
      </c>
      <c r="E885" t="s">
        <v>49</v>
      </c>
      <c r="F885" t="s">
        <v>24</v>
      </c>
      <c r="G885">
        <v>3623.04</v>
      </c>
      <c r="H885">
        <v>2829.04</v>
      </c>
      <c r="I885">
        <v>5871.44</v>
      </c>
      <c r="J885" t="s">
        <v>25</v>
      </c>
      <c r="K885" t="s">
        <v>54</v>
      </c>
      <c r="L885">
        <v>97843.6</v>
      </c>
      <c r="M885">
        <v>120</v>
      </c>
      <c r="N885">
        <v>1921.47</v>
      </c>
      <c r="O885">
        <v>20.47</v>
      </c>
      <c r="P885">
        <v>0.53</v>
      </c>
      <c r="Q885">
        <v>318</v>
      </c>
      <c r="R885">
        <v>0.14000000000000001</v>
      </c>
      <c r="S885" t="s">
        <v>47</v>
      </c>
      <c r="T885" s="1">
        <v>44828</v>
      </c>
      <c r="U885">
        <v>1</v>
      </c>
    </row>
    <row r="886" spans="1:21" x14ac:dyDescent="0.25">
      <c r="A886" t="s">
        <v>933</v>
      </c>
      <c r="B886">
        <v>27</v>
      </c>
      <c r="C886" t="s">
        <v>30</v>
      </c>
      <c r="D886" t="s">
        <v>22</v>
      </c>
      <c r="E886" t="s">
        <v>31</v>
      </c>
      <c r="F886" t="s">
        <v>49</v>
      </c>
      <c r="G886">
        <v>2799.88</v>
      </c>
      <c r="H886">
        <v>1190.49</v>
      </c>
      <c r="I886">
        <v>32559.84</v>
      </c>
      <c r="J886" t="s">
        <v>37</v>
      </c>
      <c r="K886" t="s">
        <v>38</v>
      </c>
      <c r="L886">
        <v>0</v>
      </c>
      <c r="M886">
        <v>0</v>
      </c>
      <c r="N886">
        <v>0</v>
      </c>
      <c r="O886">
        <v>0</v>
      </c>
      <c r="P886">
        <v>0</v>
      </c>
      <c r="Q886">
        <v>849</v>
      </c>
      <c r="R886">
        <v>0.97</v>
      </c>
      <c r="S886" t="s">
        <v>27</v>
      </c>
      <c r="T886" s="1">
        <v>44763</v>
      </c>
      <c r="U886">
        <v>0</v>
      </c>
    </row>
    <row r="887" spans="1:21" x14ac:dyDescent="0.25">
      <c r="A887" t="s">
        <v>934</v>
      </c>
      <c r="B887">
        <v>35</v>
      </c>
      <c r="C887" t="s">
        <v>21</v>
      </c>
      <c r="D887" t="s">
        <v>41</v>
      </c>
      <c r="E887" t="s">
        <v>51</v>
      </c>
      <c r="F887" t="s">
        <v>32</v>
      </c>
      <c r="G887">
        <v>4985.8500000000004</v>
      </c>
      <c r="H887">
        <v>3519.78</v>
      </c>
      <c r="I887">
        <v>9187.98</v>
      </c>
      <c r="J887" t="s">
        <v>37</v>
      </c>
      <c r="K887" t="s">
        <v>38</v>
      </c>
      <c r="L887">
        <v>0</v>
      </c>
      <c r="M887">
        <v>0</v>
      </c>
      <c r="N887">
        <v>0</v>
      </c>
      <c r="O887">
        <v>0</v>
      </c>
      <c r="P887">
        <v>0</v>
      </c>
      <c r="Q887">
        <v>750</v>
      </c>
      <c r="R887">
        <v>0.15</v>
      </c>
      <c r="S887" t="s">
        <v>72</v>
      </c>
      <c r="T887" s="1">
        <v>44887</v>
      </c>
      <c r="U887">
        <v>0</v>
      </c>
    </row>
    <row r="888" spans="1:21" x14ac:dyDescent="0.25">
      <c r="A888" t="s">
        <v>935</v>
      </c>
      <c r="B888">
        <v>63</v>
      </c>
      <c r="C888" t="s">
        <v>21</v>
      </c>
      <c r="D888" t="s">
        <v>41</v>
      </c>
      <c r="E888" t="s">
        <v>31</v>
      </c>
      <c r="F888" t="s">
        <v>42</v>
      </c>
      <c r="G888">
        <v>4210.78</v>
      </c>
      <c r="H888">
        <v>1426.35</v>
      </c>
      <c r="I888">
        <v>41358.959999999999</v>
      </c>
      <c r="J888" t="s">
        <v>25</v>
      </c>
      <c r="K888" t="s">
        <v>26</v>
      </c>
      <c r="L888">
        <v>96143.88</v>
      </c>
      <c r="M888">
        <v>60</v>
      </c>
      <c r="N888">
        <v>2930.62</v>
      </c>
      <c r="O888">
        <v>26.91</v>
      </c>
      <c r="P888">
        <v>0.7</v>
      </c>
      <c r="Q888">
        <v>393</v>
      </c>
      <c r="R888">
        <v>0.82</v>
      </c>
      <c r="S888" t="s">
        <v>47</v>
      </c>
      <c r="T888" s="1">
        <v>45730</v>
      </c>
      <c r="U888">
        <v>1</v>
      </c>
    </row>
    <row r="889" spans="1:21" x14ac:dyDescent="0.25">
      <c r="A889" t="s">
        <v>936</v>
      </c>
      <c r="B889">
        <v>68</v>
      </c>
      <c r="C889" t="s">
        <v>21</v>
      </c>
      <c r="D889" t="s">
        <v>41</v>
      </c>
      <c r="E889" t="s">
        <v>31</v>
      </c>
      <c r="F889" t="s">
        <v>44</v>
      </c>
      <c r="G889">
        <v>2680.26</v>
      </c>
      <c r="H889">
        <v>2113.23</v>
      </c>
      <c r="I889">
        <v>23331.59</v>
      </c>
      <c r="J889" t="s">
        <v>37</v>
      </c>
      <c r="K889" t="s">
        <v>38</v>
      </c>
      <c r="L889">
        <v>0</v>
      </c>
      <c r="M889">
        <v>0</v>
      </c>
      <c r="N889">
        <v>0</v>
      </c>
      <c r="O889">
        <v>0</v>
      </c>
      <c r="P889">
        <v>0</v>
      </c>
      <c r="Q889">
        <v>562</v>
      </c>
      <c r="R889">
        <v>0.73</v>
      </c>
      <c r="S889" t="s">
        <v>27</v>
      </c>
      <c r="T889" s="1">
        <v>45317</v>
      </c>
      <c r="U889">
        <v>0</v>
      </c>
    </row>
    <row r="890" spans="1:21" x14ac:dyDescent="0.25">
      <c r="A890" t="s">
        <v>937</v>
      </c>
      <c r="B890">
        <v>29</v>
      </c>
      <c r="C890" t="s">
        <v>30</v>
      </c>
      <c r="D890" t="s">
        <v>22</v>
      </c>
      <c r="E890" t="s">
        <v>31</v>
      </c>
      <c r="F890" t="s">
        <v>44</v>
      </c>
      <c r="G890">
        <v>4493.8100000000004</v>
      </c>
      <c r="H890">
        <v>2366.81</v>
      </c>
      <c r="I890">
        <v>9434.26</v>
      </c>
      <c r="J890" t="s">
        <v>37</v>
      </c>
      <c r="K890" t="s">
        <v>38</v>
      </c>
      <c r="L890">
        <v>0</v>
      </c>
      <c r="M890">
        <v>0</v>
      </c>
      <c r="N890">
        <v>0</v>
      </c>
      <c r="O890">
        <v>0</v>
      </c>
      <c r="P890">
        <v>0</v>
      </c>
      <c r="Q890">
        <v>653</v>
      </c>
      <c r="R890">
        <v>0.17</v>
      </c>
      <c r="S890" t="s">
        <v>47</v>
      </c>
      <c r="T890" s="1">
        <v>45804</v>
      </c>
      <c r="U890">
        <v>0</v>
      </c>
    </row>
    <row r="891" spans="1:21" x14ac:dyDescent="0.25">
      <c r="A891" t="s">
        <v>938</v>
      </c>
      <c r="B891">
        <v>28</v>
      </c>
      <c r="C891" t="s">
        <v>29</v>
      </c>
      <c r="D891" t="s">
        <v>22</v>
      </c>
      <c r="E891" t="s">
        <v>49</v>
      </c>
      <c r="F891" t="s">
        <v>49</v>
      </c>
      <c r="G891">
        <v>4995.8100000000004</v>
      </c>
      <c r="H891">
        <v>1529.82</v>
      </c>
      <c r="I891">
        <v>37093.72</v>
      </c>
      <c r="J891" t="s">
        <v>37</v>
      </c>
      <c r="K891" t="s">
        <v>38</v>
      </c>
      <c r="L891">
        <v>0</v>
      </c>
      <c r="M891">
        <v>0</v>
      </c>
      <c r="N891">
        <v>0</v>
      </c>
      <c r="O891">
        <v>0</v>
      </c>
      <c r="P891">
        <v>0</v>
      </c>
      <c r="Q891">
        <v>744</v>
      </c>
      <c r="R891">
        <v>0.62</v>
      </c>
      <c r="S891" t="s">
        <v>30</v>
      </c>
      <c r="T891" s="1">
        <v>45469</v>
      </c>
      <c r="U891">
        <v>0</v>
      </c>
    </row>
    <row r="892" spans="1:21" x14ac:dyDescent="0.25">
      <c r="A892" t="s">
        <v>939</v>
      </c>
      <c r="B892">
        <v>63</v>
      </c>
      <c r="C892" t="s">
        <v>29</v>
      </c>
      <c r="D892" t="s">
        <v>41</v>
      </c>
      <c r="E892" t="s">
        <v>31</v>
      </c>
      <c r="F892" t="s">
        <v>42</v>
      </c>
      <c r="G892">
        <v>6686.19</v>
      </c>
      <c r="H892">
        <v>5759.94</v>
      </c>
      <c r="I892">
        <v>34723.53</v>
      </c>
      <c r="J892" t="s">
        <v>37</v>
      </c>
      <c r="K892" t="s">
        <v>38</v>
      </c>
      <c r="L892">
        <v>0</v>
      </c>
      <c r="M892">
        <v>0</v>
      </c>
      <c r="N892">
        <v>0</v>
      </c>
      <c r="O892">
        <v>0</v>
      </c>
      <c r="P892">
        <v>0</v>
      </c>
      <c r="Q892">
        <v>426</v>
      </c>
      <c r="R892">
        <v>0.43</v>
      </c>
      <c r="S892" t="s">
        <v>39</v>
      </c>
      <c r="T892" s="1">
        <v>44945</v>
      </c>
      <c r="U892">
        <v>0</v>
      </c>
    </row>
    <row r="893" spans="1:21" x14ac:dyDescent="0.25">
      <c r="A893" t="s">
        <v>940</v>
      </c>
      <c r="B893">
        <v>25</v>
      </c>
      <c r="C893" t="s">
        <v>30</v>
      </c>
      <c r="D893" t="s">
        <v>41</v>
      </c>
      <c r="E893" t="s">
        <v>31</v>
      </c>
      <c r="F893" t="s">
        <v>63</v>
      </c>
      <c r="G893">
        <v>5481.91</v>
      </c>
      <c r="H893">
        <v>4849.3</v>
      </c>
      <c r="I893">
        <v>52768.68</v>
      </c>
      <c r="J893" t="s">
        <v>37</v>
      </c>
      <c r="K893" t="s">
        <v>38</v>
      </c>
      <c r="L893">
        <v>0</v>
      </c>
      <c r="M893">
        <v>0</v>
      </c>
      <c r="N893">
        <v>0</v>
      </c>
      <c r="O893">
        <v>0</v>
      </c>
      <c r="P893">
        <v>0</v>
      </c>
      <c r="Q893">
        <v>416</v>
      </c>
      <c r="R893">
        <v>0.8</v>
      </c>
      <c r="S893" t="s">
        <v>39</v>
      </c>
      <c r="T893" s="1">
        <v>45680</v>
      </c>
      <c r="U893">
        <v>0</v>
      </c>
    </row>
    <row r="894" spans="1:21" x14ac:dyDescent="0.25">
      <c r="A894" t="s">
        <v>941</v>
      </c>
      <c r="B894">
        <v>35</v>
      </c>
      <c r="C894" t="s">
        <v>21</v>
      </c>
      <c r="D894" t="s">
        <v>22</v>
      </c>
      <c r="E894" t="s">
        <v>51</v>
      </c>
      <c r="F894" t="s">
        <v>52</v>
      </c>
      <c r="G894">
        <v>500</v>
      </c>
      <c r="H894">
        <v>282.05</v>
      </c>
      <c r="I894">
        <v>1071.8399999999999</v>
      </c>
      <c r="J894" t="s">
        <v>37</v>
      </c>
      <c r="K894" t="s">
        <v>38</v>
      </c>
      <c r="L894">
        <v>0</v>
      </c>
      <c r="M894">
        <v>0</v>
      </c>
      <c r="N894">
        <v>0</v>
      </c>
      <c r="O894">
        <v>0</v>
      </c>
      <c r="P894">
        <v>0</v>
      </c>
      <c r="Q894">
        <v>597</v>
      </c>
      <c r="R894">
        <v>0.18</v>
      </c>
      <c r="S894" t="s">
        <v>27</v>
      </c>
      <c r="T894" s="1">
        <v>45148</v>
      </c>
      <c r="U894">
        <v>0</v>
      </c>
    </row>
    <row r="895" spans="1:21" x14ac:dyDescent="0.25">
      <c r="A895" t="s">
        <v>942</v>
      </c>
      <c r="B895">
        <v>64</v>
      </c>
      <c r="C895" t="s">
        <v>21</v>
      </c>
      <c r="D895" t="s">
        <v>22</v>
      </c>
      <c r="E895" t="s">
        <v>31</v>
      </c>
      <c r="F895" t="s">
        <v>32</v>
      </c>
      <c r="G895">
        <v>3464.29</v>
      </c>
      <c r="H895">
        <v>1622.65</v>
      </c>
      <c r="I895">
        <v>20633.38</v>
      </c>
      <c r="J895" t="s">
        <v>25</v>
      </c>
      <c r="K895" t="s">
        <v>33</v>
      </c>
      <c r="L895">
        <v>4647.25</v>
      </c>
      <c r="M895">
        <v>120</v>
      </c>
      <c r="N895">
        <v>51.48</v>
      </c>
      <c r="O895">
        <v>5.95</v>
      </c>
      <c r="P895">
        <v>0.01</v>
      </c>
      <c r="Q895">
        <v>611</v>
      </c>
      <c r="R895">
        <v>0.5</v>
      </c>
      <c r="S895" t="s">
        <v>72</v>
      </c>
      <c r="T895" s="1">
        <v>44754</v>
      </c>
      <c r="U895">
        <v>0</v>
      </c>
    </row>
    <row r="896" spans="1:21" x14ac:dyDescent="0.25">
      <c r="A896" t="s">
        <v>943</v>
      </c>
      <c r="B896">
        <v>45</v>
      </c>
      <c r="C896" t="s">
        <v>29</v>
      </c>
      <c r="D896" t="s">
        <v>41</v>
      </c>
      <c r="E896" t="s">
        <v>31</v>
      </c>
      <c r="F896" t="s">
        <v>63</v>
      </c>
      <c r="G896">
        <v>3729.34</v>
      </c>
      <c r="H896">
        <v>2505.59</v>
      </c>
      <c r="I896">
        <v>40774.86</v>
      </c>
      <c r="J896" t="s">
        <v>25</v>
      </c>
      <c r="K896" t="s">
        <v>26</v>
      </c>
      <c r="L896">
        <v>311728.76</v>
      </c>
      <c r="M896">
        <v>240</v>
      </c>
      <c r="N896">
        <v>3734.61</v>
      </c>
      <c r="O896">
        <v>13.37</v>
      </c>
      <c r="P896">
        <v>1</v>
      </c>
      <c r="Q896">
        <v>719</v>
      </c>
      <c r="R896">
        <v>0.91</v>
      </c>
      <c r="S896" t="s">
        <v>47</v>
      </c>
      <c r="T896" s="1">
        <v>45855</v>
      </c>
      <c r="U896">
        <v>1</v>
      </c>
    </row>
    <row r="897" spans="1:21" x14ac:dyDescent="0.25">
      <c r="A897" t="s">
        <v>944</v>
      </c>
      <c r="B897">
        <v>67</v>
      </c>
      <c r="C897" t="s">
        <v>21</v>
      </c>
      <c r="D897" t="s">
        <v>22</v>
      </c>
      <c r="E897" t="s">
        <v>23</v>
      </c>
      <c r="F897" t="s">
        <v>24</v>
      </c>
      <c r="G897">
        <v>500</v>
      </c>
      <c r="H897">
        <v>264.67</v>
      </c>
      <c r="I897">
        <v>851.94</v>
      </c>
      <c r="J897" t="s">
        <v>37</v>
      </c>
      <c r="K897" t="s">
        <v>38</v>
      </c>
      <c r="L897">
        <v>0</v>
      </c>
      <c r="M897">
        <v>0</v>
      </c>
      <c r="N897">
        <v>0</v>
      </c>
      <c r="O897">
        <v>0</v>
      </c>
      <c r="P897">
        <v>0</v>
      </c>
      <c r="Q897">
        <v>635</v>
      </c>
      <c r="R897">
        <v>0.14000000000000001</v>
      </c>
      <c r="S897" t="s">
        <v>27</v>
      </c>
      <c r="T897" s="1">
        <v>45019</v>
      </c>
      <c r="U897">
        <v>0</v>
      </c>
    </row>
    <row r="898" spans="1:21" x14ac:dyDescent="0.25">
      <c r="A898" t="s">
        <v>945</v>
      </c>
      <c r="B898">
        <v>40</v>
      </c>
      <c r="C898" t="s">
        <v>21</v>
      </c>
      <c r="D898" t="s">
        <v>22</v>
      </c>
      <c r="E898" t="s">
        <v>31</v>
      </c>
      <c r="F898" t="s">
        <v>23</v>
      </c>
      <c r="G898">
        <v>7380.25</v>
      </c>
      <c r="H898">
        <v>6270.11</v>
      </c>
      <c r="I898">
        <v>25430.59</v>
      </c>
      <c r="J898" t="s">
        <v>37</v>
      </c>
      <c r="K898" t="s">
        <v>38</v>
      </c>
      <c r="L898">
        <v>0</v>
      </c>
      <c r="M898">
        <v>0</v>
      </c>
      <c r="N898">
        <v>0</v>
      </c>
      <c r="O898">
        <v>0</v>
      </c>
      <c r="P898">
        <v>0</v>
      </c>
      <c r="Q898">
        <v>351</v>
      </c>
      <c r="R898">
        <v>0.28999999999999998</v>
      </c>
      <c r="S898" t="s">
        <v>27</v>
      </c>
      <c r="T898" s="1">
        <v>44650</v>
      </c>
      <c r="U898">
        <v>0</v>
      </c>
    </row>
    <row r="899" spans="1:21" x14ac:dyDescent="0.25">
      <c r="A899" t="s">
        <v>946</v>
      </c>
      <c r="B899">
        <v>37</v>
      </c>
      <c r="C899" t="s">
        <v>21</v>
      </c>
      <c r="D899" t="s">
        <v>30</v>
      </c>
      <c r="E899" t="s">
        <v>31</v>
      </c>
      <c r="F899" t="s">
        <v>36</v>
      </c>
      <c r="G899">
        <v>5280.46</v>
      </c>
      <c r="H899">
        <v>2309.88</v>
      </c>
      <c r="I899">
        <v>46808.9</v>
      </c>
      <c r="J899" t="s">
        <v>25</v>
      </c>
      <c r="K899" t="s">
        <v>45</v>
      </c>
      <c r="L899">
        <v>73603.899999999994</v>
      </c>
      <c r="M899">
        <v>12</v>
      </c>
      <c r="N899">
        <v>6554.43</v>
      </c>
      <c r="O899">
        <v>12.43</v>
      </c>
      <c r="P899">
        <v>1.24</v>
      </c>
      <c r="Q899">
        <v>532</v>
      </c>
      <c r="R899">
        <v>0.74</v>
      </c>
      <c r="S899" t="s">
        <v>72</v>
      </c>
      <c r="T899" s="1">
        <v>44803</v>
      </c>
      <c r="U899">
        <v>1</v>
      </c>
    </row>
    <row r="900" spans="1:21" x14ac:dyDescent="0.25">
      <c r="A900" t="s">
        <v>947</v>
      </c>
      <c r="B900">
        <v>24</v>
      </c>
      <c r="C900" t="s">
        <v>29</v>
      </c>
      <c r="D900" t="s">
        <v>41</v>
      </c>
      <c r="E900" t="s">
        <v>51</v>
      </c>
      <c r="F900" t="s">
        <v>49</v>
      </c>
      <c r="G900">
        <v>6380.75</v>
      </c>
      <c r="H900">
        <v>5309.41</v>
      </c>
      <c r="I900">
        <v>15643.15</v>
      </c>
      <c r="J900" t="s">
        <v>37</v>
      </c>
      <c r="K900" t="s">
        <v>38</v>
      </c>
      <c r="L900">
        <v>0</v>
      </c>
      <c r="M900">
        <v>0</v>
      </c>
      <c r="N900">
        <v>0</v>
      </c>
      <c r="O900">
        <v>0</v>
      </c>
      <c r="P900">
        <v>0</v>
      </c>
      <c r="Q900">
        <v>306</v>
      </c>
      <c r="R900">
        <v>0.2</v>
      </c>
      <c r="S900" t="s">
        <v>72</v>
      </c>
      <c r="T900" s="1">
        <v>45291</v>
      </c>
      <c r="U900">
        <v>0</v>
      </c>
    </row>
    <row r="901" spans="1:21" x14ac:dyDescent="0.25">
      <c r="A901" t="s">
        <v>948</v>
      </c>
      <c r="B901">
        <v>62</v>
      </c>
      <c r="C901" t="s">
        <v>29</v>
      </c>
      <c r="D901" t="s">
        <v>30</v>
      </c>
      <c r="E901" t="s">
        <v>31</v>
      </c>
      <c r="F901" t="s">
        <v>32</v>
      </c>
      <c r="G901">
        <v>4465.8</v>
      </c>
      <c r="H901">
        <v>3407.44</v>
      </c>
      <c r="I901">
        <v>8663.31</v>
      </c>
      <c r="J901" t="s">
        <v>37</v>
      </c>
      <c r="K901" t="s">
        <v>38</v>
      </c>
      <c r="L901">
        <v>0</v>
      </c>
      <c r="M901">
        <v>0</v>
      </c>
      <c r="N901">
        <v>0</v>
      </c>
      <c r="O901">
        <v>0</v>
      </c>
      <c r="P901">
        <v>0</v>
      </c>
      <c r="Q901">
        <v>563</v>
      </c>
      <c r="R901">
        <v>0.16</v>
      </c>
      <c r="S901" t="s">
        <v>30</v>
      </c>
      <c r="T901" s="1">
        <v>45157</v>
      </c>
      <c r="U901">
        <v>0</v>
      </c>
    </row>
    <row r="902" spans="1:21" x14ac:dyDescent="0.25">
      <c r="A902" t="s">
        <v>949</v>
      </c>
      <c r="B902">
        <v>22</v>
      </c>
      <c r="C902" t="s">
        <v>29</v>
      </c>
      <c r="D902" t="s">
        <v>35</v>
      </c>
      <c r="E902" t="s">
        <v>31</v>
      </c>
      <c r="F902" t="s">
        <v>44</v>
      </c>
      <c r="G902">
        <v>5070.6499999999996</v>
      </c>
      <c r="H902">
        <v>2568.1799999999998</v>
      </c>
      <c r="I902">
        <v>25628.19</v>
      </c>
      <c r="J902" t="s">
        <v>25</v>
      </c>
      <c r="K902" t="s">
        <v>45</v>
      </c>
      <c r="L902">
        <v>157623.6</v>
      </c>
      <c r="M902">
        <v>60</v>
      </c>
      <c r="N902">
        <v>2967.34</v>
      </c>
      <c r="O902">
        <v>4.9000000000000004</v>
      </c>
      <c r="P902">
        <v>0.59</v>
      </c>
      <c r="Q902">
        <v>302</v>
      </c>
      <c r="R902">
        <v>0.42</v>
      </c>
      <c r="S902" t="s">
        <v>27</v>
      </c>
      <c r="T902" s="1">
        <v>45383</v>
      </c>
      <c r="U902">
        <v>1</v>
      </c>
    </row>
    <row r="903" spans="1:21" x14ac:dyDescent="0.25">
      <c r="A903" t="s">
        <v>950</v>
      </c>
      <c r="B903">
        <v>41</v>
      </c>
      <c r="C903" t="s">
        <v>21</v>
      </c>
      <c r="D903" t="s">
        <v>22</v>
      </c>
      <c r="E903" t="s">
        <v>49</v>
      </c>
      <c r="F903" t="s">
        <v>63</v>
      </c>
      <c r="G903">
        <v>500</v>
      </c>
      <c r="H903">
        <v>314.22000000000003</v>
      </c>
      <c r="I903">
        <v>2774.43</v>
      </c>
      <c r="J903" t="s">
        <v>37</v>
      </c>
      <c r="K903" t="s">
        <v>38</v>
      </c>
      <c r="L903">
        <v>0</v>
      </c>
      <c r="M903">
        <v>0</v>
      </c>
      <c r="N903">
        <v>0</v>
      </c>
      <c r="O903">
        <v>0</v>
      </c>
      <c r="P903">
        <v>0</v>
      </c>
      <c r="Q903">
        <v>673</v>
      </c>
      <c r="R903">
        <v>0.46</v>
      </c>
      <c r="S903" t="s">
        <v>27</v>
      </c>
      <c r="T903" s="1">
        <v>44731</v>
      </c>
      <c r="U903">
        <v>0</v>
      </c>
    </row>
    <row r="904" spans="1:21" x14ac:dyDescent="0.25">
      <c r="A904" t="s">
        <v>951</v>
      </c>
      <c r="B904">
        <v>32</v>
      </c>
      <c r="C904" t="s">
        <v>21</v>
      </c>
      <c r="D904" t="s">
        <v>41</v>
      </c>
      <c r="E904" t="s">
        <v>51</v>
      </c>
      <c r="F904" t="s">
        <v>42</v>
      </c>
      <c r="G904">
        <v>3462.23</v>
      </c>
      <c r="H904">
        <v>1499.69</v>
      </c>
      <c r="I904">
        <v>32162.9</v>
      </c>
      <c r="J904" t="s">
        <v>25</v>
      </c>
      <c r="K904" t="s">
        <v>45</v>
      </c>
      <c r="L904">
        <v>177031.11</v>
      </c>
      <c r="M904">
        <v>60</v>
      </c>
      <c r="N904">
        <v>4447.41</v>
      </c>
      <c r="O904">
        <v>17.5</v>
      </c>
      <c r="P904">
        <v>1.28</v>
      </c>
      <c r="Q904">
        <v>347</v>
      </c>
      <c r="R904">
        <v>0.77</v>
      </c>
      <c r="S904" t="s">
        <v>39</v>
      </c>
      <c r="T904" s="1">
        <v>45808</v>
      </c>
      <c r="U904">
        <v>1</v>
      </c>
    </row>
    <row r="905" spans="1:21" x14ac:dyDescent="0.25">
      <c r="A905" t="s">
        <v>952</v>
      </c>
      <c r="B905">
        <v>33</v>
      </c>
      <c r="C905" t="s">
        <v>29</v>
      </c>
      <c r="D905" t="s">
        <v>35</v>
      </c>
      <c r="E905" t="s">
        <v>31</v>
      </c>
      <c r="F905" t="s">
        <v>52</v>
      </c>
      <c r="G905">
        <v>5572.1</v>
      </c>
      <c r="H905">
        <v>2329.48</v>
      </c>
      <c r="I905">
        <v>17159.580000000002</v>
      </c>
      <c r="J905" t="s">
        <v>37</v>
      </c>
      <c r="K905" t="s">
        <v>38</v>
      </c>
      <c r="L905">
        <v>0</v>
      </c>
      <c r="M905">
        <v>0</v>
      </c>
      <c r="N905">
        <v>0</v>
      </c>
      <c r="O905">
        <v>0</v>
      </c>
      <c r="P905">
        <v>0</v>
      </c>
      <c r="Q905">
        <v>707</v>
      </c>
      <c r="R905">
        <v>0.26</v>
      </c>
      <c r="S905" t="s">
        <v>39</v>
      </c>
      <c r="T905" s="1">
        <v>45458</v>
      </c>
      <c r="U905">
        <v>0</v>
      </c>
    </row>
    <row r="906" spans="1:21" x14ac:dyDescent="0.25">
      <c r="A906" t="s">
        <v>953</v>
      </c>
      <c r="B906">
        <v>48</v>
      </c>
      <c r="C906" t="s">
        <v>21</v>
      </c>
      <c r="D906" t="s">
        <v>30</v>
      </c>
      <c r="E906" t="s">
        <v>51</v>
      </c>
      <c r="F906" t="s">
        <v>63</v>
      </c>
      <c r="G906">
        <v>3846.07</v>
      </c>
      <c r="H906">
        <v>1755.6</v>
      </c>
      <c r="I906">
        <v>9913.94</v>
      </c>
      <c r="J906" t="s">
        <v>37</v>
      </c>
      <c r="K906" t="s">
        <v>38</v>
      </c>
      <c r="L906">
        <v>0</v>
      </c>
      <c r="M906">
        <v>0</v>
      </c>
      <c r="N906">
        <v>0</v>
      </c>
      <c r="O906">
        <v>0</v>
      </c>
      <c r="P906">
        <v>0</v>
      </c>
      <c r="Q906">
        <v>342</v>
      </c>
      <c r="R906">
        <v>0.21</v>
      </c>
      <c r="S906" t="s">
        <v>72</v>
      </c>
      <c r="T906" s="1">
        <v>44854</v>
      </c>
      <c r="U906">
        <v>0</v>
      </c>
    </row>
    <row r="907" spans="1:21" x14ac:dyDescent="0.25">
      <c r="A907" t="s">
        <v>954</v>
      </c>
      <c r="B907">
        <v>45</v>
      </c>
      <c r="C907" t="s">
        <v>29</v>
      </c>
      <c r="D907" t="s">
        <v>30</v>
      </c>
      <c r="E907" t="s">
        <v>31</v>
      </c>
      <c r="F907" t="s">
        <v>36</v>
      </c>
      <c r="G907">
        <v>5915.4</v>
      </c>
      <c r="H907">
        <v>2112.15</v>
      </c>
      <c r="I907">
        <v>61446.89</v>
      </c>
      <c r="J907" t="s">
        <v>37</v>
      </c>
      <c r="K907" t="s">
        <v>38</v>
      </c>
      <c r="L907">
        <v>0</v>
      </c>
      <c r="M907">
        <v>0</v>
      </c>
      <c r="N907">
        <v>0</v>
      </c>
      <c r="O907">
        <v>0</v>
      </c>
      <c r="P907">
        <v>0</v>
      </c>
      <c r="Q907">
        <v>312</v>
      </c>
      <c r="R907">
        <v>0.87</v>
      </c>
      <c r="S907" t="s">
        <v>72</v>
      </c>
      <c r="T907" s="1">
        <v>45177</v>
      </c>
      <c r="U907">
        <v>0</v>
      </c>
    </row>
    <row r="908" spans="1:21" x14ac:dyDescent="0.25">
      <c r="A908" t="s">
        <v>955</v>
      </c>
      <c r="B908">
        <v>21</v>
      </c>
      <c r="C908" t="s">
        <v>29</v>
      </c>
      <c r="D908" t="s">
        <v>35</v>
      </c>
      <c r="E908" t="s">
        <v>31</v>
      </c>
      <c r="F908" t="s">
        <v>24</v>
      </c>
      <c r="G908">
        <v>4817.34</v>
      </c>
      <c r="H908">
        <v>3087.83</v>
      </c>
      <c r="I908">
        <v>22293.18</v>
      </c>
      <c r="J908" t="s">
        <v>25</v>
      </c>
      <c r="K908" t="s">
        <v>26</v>
      </c>
      <c r="L908">
        <v>442510.19</v>
      </c>
      <c r="M908">
        <v>180</v>
      </c>
      <c r="N908">
        <v>5242.7299999999996</v>
      </c>
      <c r="O908">
        <v>11.76</v>
      </c>
      <c r="P908">
        <v>1.0900000000000001</v>
      </c>
      <c r="Q908">
        <v>562</v>
      </c>
      <c r="R908">
        <v>0.39</v>
      </c>
      <c r="S908" t="s">
        <v>47</v>
      </c>
      <c r="T908" s="1">
        <v>45310</v>
      </c>
      <c r="U908">
        <v>1</v>
      </c>
    </row>
    <row r="909" spans="1:21" x14ac:dyDescent="0.25">
      <c r="A909" t="s">
        <v>956</v>
      </c>
      <c r="B909">
        <v>63</v>
      </c>
      <c r="C909" t="s">
        <v>21</v>
      </c>
      <c r="D909" t="s">
        <v>41</v>
      </c>
      <c r="E909" t="s">
        <v>23</v>
      </c>
      <c r="F909" t="s">
        <v>36</v>
      </c>
      <c r="G909">
        <v>7463.15</v>
      </c>
      <c r="H909">
        <v>5843.56</v>
      </c>
      <c r="I909">
        <v>24516.7</v>
      </c>
      <c r="J909" t="s">
        <v>25</v>
      </c>
      <c r="K909" t="s">
        <v>33</v>
      </c>
      <c r="L909">
        <v>294279.56</v>
      </c>
      <c r="M909">
        <v>24</v>
      </c>
      <c r="N909">
        <v>13427.89</v>
      </c>
      <c r="O909">
        <v>8.8800000000000008</v>
      </c>
      <c r="P909">
        <v>1.8</v>
      </c>
      <c r="Q909">
        <v>611</v>
      </c>
      <c r="R909">
        <v>0.27</v>
      </c>
      <c r="S909" t="s">
        <v>30</v>
      </c>
      <c r="T909" s="1">
        <v>45269</v>
      </c>
      <c r="U909">
        <v>1</v>
      </c>
    </row>
    <row r="910" spans="1:21" x14ac:dyDescent="0.25">
      <c r="A910" t="s">
        <v>957</v>
      </c>
      <c r="B910">
        <v>57</v>
      </c>
      <c r="C910" t="s">
        <v>29</v>
      </c>
      <c r="D910" t="s">
        <v>35</v>
      </c>
      <c r="E910" t="s">
        <v>31</v>
      </c>
      <c r="F910" t="s">
        <v>32</v>
      </c>
      <c r="G910">
        <v>4333.3</v>
      </c>
      <c r="H910">
        <v>1319.89</v>
      </c>
      <c r="I910">
        <v>29125.66</v>
      </c>
      <c r="J910" t="s">
        <v>25</v>
      </c>
      <c r="K910" t="s">
        <v>45</v>
      </c>
      <c r="L910">
        <v>113214.61</v>
      </c>
      <c r="M910">
        <v>240</v>
      </c>
      <c r="N910">
        <v>1130.31</v>
      </c>
      <c r="O910">
        <v>10.5</v>
      </c>
      <c r="P910">
        <v>0.26</v>
      </c>
      <c r="Q910">
        <v>801</v>
      </c>
      <c r="R910">
        <v>0.56000000000000005</v>
      </c>
      <c r="S910" t="s">
        <v>47</v>
      </c>
      <c r="T910" s="1">
        <v>45023</v>
      </c>
      <c r="U910">
        <v>0</v>
      </c>
    </row>
    <row r="911" spans="1:21" x14ac:dyDescent="0.25">
      <c r="A911" t="s">
        <v>958</v>
      </c>
      <c r="B911">
        <v>54</v>
      </c>
      <c r="C911" t="s">
        <v>29</v>
      </c>
      <c r="D911" t="s">
        <v>56</v>
      </c>
      <c r="E911" t="s">
        <v>31</v>
      </c>
      <c r="F911" t="s">
        <v>32</v>
      </c>
      <c r="G911">
        <v>3644.23</v>
      </c>
      <c r="H911">
        <v>2991.52</v>
      </c>
      <c r="I911">
        <v>21086.75</v>
      </c>
      <c r="J911" t="s">
        <v>37</v>
      </c>
      <c r="K911" t="s">
        <v>38</v>
      </c>
      <c r="L911">
        <v>0</v>
      </c>
      <c r="M911">
        <v>0</v>
      </c>
      <c r="N911">
        <v>0</v>
      </c>
      <c r="O911">
        <v>0</v>
      </c>
      <c r="P911">
        <v>0</v>
      </c>
      <c r="Q911">
        <v>766</v>
      </c>
      <c r="R911">
        <v>0.48</v>
      </c>
      <c r="S911" t="s">
        <v>27</v>
      </c>
      <c r="T911" s="1">
        <v>45277</v>
      </c>
      <c r="U911">
        <v>0</v>
      </c>
    </row>
    <row r="912" spans="1:21" x14ac:dyDescent="0.25">
      <c r="A912" t="s">
        <v>959</v>
      </c>
      <c r="B912">
        <v>68</v>
      </c>
      <c r="C912" t="s">
        <v>21</v>
      </c>
      <c r="D912" t="s">
        <v>41</v>
      </c>
      <c r="E912" t="s">
        <v>31</v>
      </c>
      <c r="F912" t="s">
        <v>44</v>
      </c>
      <c r="G912">
        <v>5284.63</v>
      </c>
      <c r="H912">
        <v>4388.1499999999996</v>
      </c>
      <c r="I912">
        <v>45313.03</v>
      </c>
      <c r="J912" t="s">
        <v>37</v>
      </c>
      <c r="K912" t="s">
        <v>38</v>
      </c>
      <c r="L912">
        <v>0</v>
      </c>
      <c r="M912">
        <v>0</v>
      </c>
      <c r="N912">
        <v>0</v>
      </c>
      <c r="O912">
        <v>0</v>
      </c>
      <c r="P912">
        <v>0</v>
      </c>
      <c r="Q912">
        <v>770</v>
      </c>
      <c r="R912">
        <v>0.71</v>
      </c>
      <c r="S912" t="s">
        <v>39</v>
      </c>
      <c r="T912" s="1">
        <v>44824</v>
      </c>
      <c r="U912">
        <v>0</v>
      </c>
    </row>
    <row r="913" spans="1:21" x14ac:dyDescent="0.25">
      <c r="A913" t="s">
        <v>960</v>
      </c>
      <c r="B913">
        <v>34</v>
      </c>
      <c r="C913" t="s">
        <v>30</v>
      </c>
      <c r="D913" t="s">
        <v>41</v>
      </c>
      <c r="E913" t="s">
        <v>31</v>
      </c>
      <c r="F913" t="s">
        <v>49</v>
      </c>
      <c r="G913">
        <v>500</v>
      </c>
      <c r="H913">
        <v>274</v>
      </c>
      <c r="I913">
        <v>5879.5</v>
      </c>
      <c r="J913" t="s">
        <v>37</v>
      </c>
      <c r="K913" t="s">
        <v>38</v>
      </c>
      <c r="L913">
        <v>0</v>
      </c>
      <c r="M913">
        <v>0</v>
      </c>
      <c r="N913">
        <v>0</v>
      </c>
      <c r="O913">
        <v>0</v>
      </c>
      <c r="P913">
        <v>0</v>
      </c>
      <c r="Q913">
        <v>520</v>
      </c>
      <c r="R913">
        <v>0.98</v>
      </c>
      <c r="S913" t="s">
        <v>47</v>
      </c>
      <c r="T913" s="1">
        <v>44764</v>
      </c>
      <c r="U913">
        <v>0</v>
      </c>
    </row>
    <row r="914" spans="1:21" x14ac:dyDescent="0.25">
      <c r="A914" t="s">
        <v>961</v>
      </c>
      <c r="B914">
        <v>19</v>
      </c>
      <c r="C914" t="s">
        <v>29</v>
      </c>
      <c r="D914" t="s">
        <v>41</v>
      </c>
      <c r="E914" t="s">
        <v>51</v>
      </c>
      <c r="F914" t="s">
        <v>49</v>
      </c>
      <c r="G914">
        <v>7365.17</v>
      </c>
      <c r="H914">
        <v>4984.21</v>
      </c>
      <c r="I914">
        <v>32756.14</v>
      </c>
      <c r="J914" t="s">
        <v>37</v>
      </c>
      <c r="K914" t="s">
        <v>38</v>
      </c>
      <c r="L914">
        <v>0</v>
      </c>
      <c r="M914">
        <v>0</v>
      </c>
      <c r="N914">
        <v>0</v>
      </c>
      <c r="O914">
        <v>0</v>
      </c>
      <c r="P914">
        <v>0</v>
      </c>
      <c r="Q914">
        <v>622</v>
      </c>
      <c r="R914">
        <v>0.37</v>
      </c>
      <c r="S914" t="s">
        <v>47</v>
      </c>
      <c r="T914" s="1">
        <v>45658</v>
      </c>
      <c r="U914">
        <v>0</v>
      </c>
    </row>
    <row r="915" spans="1:21" x14ac:dyDescent="0.25">
      <c r="A915" t="s">
        <v>962</v>
      </c>
      <c r="B915">
        <v>29</v>
      </c>
      <c r="C915" t="s">
        <v>21</v>
      </c>
      <c r="D915" t="s">
        <v>35</v>
      </c>
      <c r="E915" t="s">
        <v>31</v>
      </c>
      <c r="F915" t="s">
        <v>63</v>
      </c>
      <c r="G915">
        <v>6777.26</v>
      </c>
      <c r="H915">
        <v>5890.1</v>
      </c>
      <c r="I915">
        <v>48475.19</v>
      </c>
      <c r="J915" t="s">
        <v>37</v>
      </c>
      <c r="K915" t="s">
        <v>38</v>
      </c>
      <c r="L915">
        <v>0</v>
      </c>
      <c r="M915">
        <v>0</v>
      </c>
      <c r="N915">
        <v>0</v>
      </c>
      <c r="O915">
        <v>0</v>
      </c>
      <c r="P915">
        <v>0</v>
      </c>
      <c r="Q915">
        <v>513</v>
      </c>
      <c r="R915">
        <v>0.6</v>
      </c>
      <c r="S915" t="s">
        <v>72</v>
      </c>
      <c r="T915" s="1">
        <v>45348</v>
      </c>
      <c r="U915">
        <v>0</v>
      </c>
    </row>
    <row r="916" spans="1:21" x14ac:dyDescent="0.25">
      <c r="A916" t="s">
        <v>963</v>
      </c>
      <c r="B916">
        <v>57</v>
      </c>
      <c r="C916" t="s">
        <v>29</v>
      </c>
      <c r="D916" t="s">
        <v>41</v>
      </c>
      <c r="E916" t="s">
        <v>31</v>
      </c>
      <c r="F916" t="s">
        <v>63</v>
      </c>
      <c r="G916">
        <v>4124.17</v>
      </c>
      <c r="H916">
        <v>2751.62</v>
      </c>
      <c r="I916">
        <v>15996.83</v>
      </c>
      <c r="J916" t="s">
        <v>37</v>
      </c>
      <c r="K916" t="s">
        <v>38</v>
      </c>
      <c r="L916">
        <v>0</v>
      </c>
      <c r="M916">
        <v>0</v>
      </c>
      <c r="N916">
        <v>0</v>
      </c>
      <c r="O916">
        <v>0</v>
      </c>
      <c r="P916">
        <v>0</v>
      </c>
      <c r="Q916">
        <v>445</v>
      </c>
      <c r="R916">
        <v>0.32</v>
      </c>
      <c r="S916" t="s">
        <v>30</v>
      </c>
      <c r="T916" s="1">
        <v>44994</v>
      </c>
      <c r="U916">
        <v>0</v>
      </c>
    </row>
    <row r="917" spans="1:21" x14ac:dyDescent="0.25">
      <c r="A917" t="s">
        <v>964</v>
      </c>
      <c r="B917">
        <v>34</v>
      </c>
      <c r="C917" t="s">
        <v>29</v>
      </c>
      <c r="D917" t="s">
        <v>22</v>
      </c>
      <c r="E917" t="s">
        <v>31</v>
      </c>
      <c r="F917" t="s">
        <v>42</v>
      </c>
      <c r="G917">
        <v>3103.48</v>
      </c>
      <c r="H917">
        <v>1604.17</v>
      </c>
      <c r="I917">
        <v>12373.47</v>
      </c>
      <c r="J917" t="s">
        <v>25</v>
      </c>
      <c r="K917" t="s">
        <v>26</v>
      </c>
      <c r="L917">
        <v>42540.58</v>
      </c>
      <c r="M917">
        <v>24</v>
      </c>
      <c r="N917">
        <v>2205.25</v>
      </c>
      <c r="O917">
        <v>21.92</v>
      </c>
      <c r="P917">
        <v>0.71</v>
      </c>
      <c r="Q917">
        <v>588</v>
      </c>
      <c r="R917">
        <v>0.33</v>
      </c>
      <c r="S917" t="s">
        <v>47</v>
      </c>
      <c r="T917" s="1">
        <v>45595</v>
      </c>
      <c r="U917">
        <v>1</v>
      </c>
    </row>
    <row r="918" spans="1:21" x14ac:dyDescent="0.25">
      <c r="A918" t="s">
        <v>965</v>
      </c>
      <c r="B918">
        <v>56</v>
      </c>
      <c r="C918" t="s">
        <v>21</v>
      </c>
      <c r="D918" t="s">
        <v>30</v>
      </c>
      <c r="E918" t="s">
        <v>31</v>
      </c>
      <c r="F918" t="s">
        <v>49</v>
      </c>
      <c r="G918">
        <v>6428.89</v>
      </c>
      <c r="H918">
        <v>3891.34</v>
      </c>
      <c r="I918">
        <v>52574.19</v>
      </c>
      <c r="J918" t="s">
        <v>37</v>
      </c>
      <c r="K918" t="s">
        <v>38</v>
      </c>
      <c r="L918">
        <v>0</v>
      </c>
      <c r="M918">
        <v>0</v>
      </c>
      <c r="N918">
        <v>0</v>
      </c>
      <c r="O918">
        <v>0</v>
      </c>
      <c r="P918">
        <v>0</v>
      </c>
      <c r="Q918">
        <v>486</v>
      </c>
      <c r="R918">
        <v>0.68</v>
      </c>
      <c r="S918" t="s">
        <v>72</v>
      </c>
      <c r="T918" s="1">
        <v>45355</v>
      </c>
      <c r="U918">
        <v>0</v>
      </c>
    </row>
    <row r="919" spans="1:21" x14ac:dyDescent="0.25">
      <c r="A919" t="s">
        <v>966</v>
      </c>
      <c r="B919">
        <v>31</v>
      </c>
      <c r="C919" t="s">
        <v>21</v>
      </c>
      <c r="D919" t="s">
        <v>35</v>
      </c>
      <c r="E919" t="s">
        <v>31</v>
      </c>
      <c r="F919" t="s">
        <v>52</v>
      </c>
      <c r="G919">
        <v>4528.54</v>
      </c>
      <c r="H919">
        <v>2839.85</v>
      </c>
      <c r="I919">
        <v>21063.97</v>
      </c>
      <c r="J919" t="s">
        <v>25</v>
      </c>
      <c r="K919" t="s">
        <v>45</v>
      </c>
      <c r="L919">
        <v>408967.53</v>
      </c>
      <c r="M919">
        <v>300</v>
      </c>
      <c r="N919">
        <v>3246.4</v>
      </c>
      <c r="O919">
        <v>8.33</v>
      </c>
      <c r="P919">
        <v>0.72</v>
      </c>
      <c r="Q919">
        <v>318</v>
      </c>
      <c r="R919">
        <v>0.39</v>
      </c>
      <c r="S919" t="s">
        <v>72</v>
      </c>
      <c r="T919" s="1">
        <v>45166</v>
      </c>
      <c r="U919">
        <v>1</v>
      </c>
    </row>
    <row r="920" spans="1:21" x14ac:dyDescent="0.25">
      <c r="A920" t="s">
        <v>967</v>
      </c>
      <c r="B920">
        <v>62</v>
      </c>
      <c r="C920" t="s">
        <v>29</v>
      </c>
      <c r="D920" t="s">
        <v>35</v>
      </c>
      <c r="E920" t="s">
        <v>23</v>
      </c>
      <c r="F920" t="s">
        <v>32</v>
      </c>
      <c r="G920">
        <v>5399.2</v>
      </c>
      <c r="H920">
        <v>1841.54</v>
      </c>
      <c r="I920">
        <v>14778.56</v>
      </c>
      <c r="J920" t="s">
        <v>37</v>
      </c>
      <c r="K920" t="s">
        <v>38</v>
      </c>
      <c r="L920">
        <v>0</v>
      </c>
      <c r="M920">
        <v>0</v>
      </c>
      <c r="N920">
        <v>0</v>
      </c>
      <c r="O920">
        <v>0</v>
      </c>
      <c r="P920">
        <v>0</v>
      </c>
      <c r="Q920">
        <v>774</v>
      </c>
      <c r="R920">
        <v>0.23</v>
      </c>
      <c r="S920" t="s">
        <v>72</v>
      </c>
      <c r="T920" s="1">
        <v>44908</v>
      </c>
      <c r="U920">
        <v>0</v>
      </c>
    </row>
    <row r="921" spans="1:21" x14ac:dyDescent="0.25">
      <c r="A921" t="s">
        <v>968</v>
      </c>
      <c r="B921">
        <v>19</v>
      </c>
      <c r="C921" t="s">
        <v>21</v>
      </c>
      <c r="D921" t="s">
        <v>22</v>
      </c>
      <c r="E921" t="s">
        <v>31</v>
      </c>
      <c r="F921" t="s">
        <v>32</v>
      </c>
      <c r="G921">
        <v>3096.33</v>
      </c>
      <c r="H921">
        <v>1697.95</v>
      </c>
      <c r="I921">
        <v>7181.01</v>
      </c>
      <c r="J921" t="s">
        <v>37</v>
      </c>
      <c r="K921" t="s">
        <v>38</v>
      </c>
      <c r="L921">
        <v>0</v>
      </c>
      <c r="M921">
        <v>0</v>
      </c>
      <c r="N921">
        <v>0</v>
      </c>
      <c r="O921">
        <v>0</v>
      </c>
      <c r="P921">
        <v>0</v>
      </c>
      <c r="Q921">
        <v>737</v>
      </c>
      <c r="R921">
        <v>0.19</v>
      </c>
      <c r="S921" t="s">
        <v>27</v>
      </c>
      <c r="T921" s="1">
        <v>45580</v>
      </c>
      <c r="U921">
        <v>0</v>
      </c>
    </row>
    <row r="922" spans="1:21" x14ac:dyDescent="0.25">
      <c r="A922" t="s">
        <v>969</v>
      </c>
      <c r="B922">
        <v>50</v>
      </c>
      <c r="C922" t="s">
        <v>29</v>
      </c>
      <c r="D922" t="s">
        <v>41</v>
      </c>
      <c r="E922" t="s">
        <v>31</v>
      </c>
      <c r="F922" t="s">
        <v>36</v>
      </c>
      <c r="G922">
        <v>5461.83</v>
      </c>
      <c r="H922">
        <v>4821.63</v>
      </c>
      <c r="I922">
        <v>22049.34</v>
      </c>
      <c r="J922" t="s">
        <v>25</v>
      </c>
      <c r="K922" t="s">
        <v>54</v>
      </c>
      <c r="L922">
        <v>70222.16</v>
      </c>
      <c r="M922">
        <v>120</v>
      </c>
      <c r="N922">
        <v>1758.51</v>
      </c>
      <c r="O922">
        <v>28.2</v>
      </c>
      <c r="P922">
        <v>0.32</v>
      </c>
      <c r="Q922">
        <v>388</v>
      </c>
      <c r="R922">
        <v>0.34</v>
      </c>
      <c r="S922" t="s">
        <v>72</v>
      </c>
      <c r="T922" s="1">
        <v>45357</v>
      </c>
      <c r="U922">
        <v>0</v>
      </c>
    </row>
    <row r="923" spans="1:21" x14ac:dyDescent="0.25">
      <c r="A923" t="s">
        <v>970</v>
      </c>
      <c r="B923">
        <v>67</v>
      </c>
      <c r="C923" t="s">
        <v>21</v>
      </c>
      <c r="D923" t="s">
        <v>35</v>
      </c>
      <c r="E923" t="s">
        <v>49</v>
      </c>
      <c r="F923" t="s">
        <v>44</v>
      </c>
      <c r="G923">
        <v>6682.52</v>
      </c>
      <c r="H923">
        <v>3423.43</v>
      </c>
      <c r="I923">
        <v>72996.81</v>
      </c>
      <c r="J923" t="s">
        <v>37</v>
      </c>
      <c r="K923" t="s">
        <v>38</v>
      </c>
      <c r="L923">
        <v>0</v>
      </c>
      <c r="M923">
        <v>0</v>
      </c>
      <c r="N923">
        <v>0</v>
      </c>
      <c r="O923">
        <v>0</v>
      </c>
      <c r="P923">
        <v>0</v>
      </c>
      <c r="Q923">
        <v>587</v>
      </c>
      <c r="R923">
        <v>0.91</v>
      </c>
      <c r="S923" t="s">
        <v>47</v>
      </c>
      <c r="T923" s="1">
        <v>44654</v>
      </c>
      <c r="U923">
        <v>0</v>
      </c>
    </row>
    <row r="924" spans="1:21" x14ac:dyDescent="0.25">
      <c r="A924" t="s">
        <v>971</v>
      </c>
      <c r="B924">
        <v>47</v>
      </c>
      <c r="C924" t="s">
        <v>29</v>
      </c>
      <c r="D924" t="s">
        <v>41</v>
      </c>
      <c r="E924" t="s">
        <v>31</v>
      </c>
      <c r="F924" t="s">
        <v>52</v>
      </c>
      <c r="G924">
        <v>5577.02</v>
      </c>
      <c r="H924">
        <v>3757.58</v>
      </c>
      <c r="I924">
        <v>42232.36</v>
      </c>
      <c r="J924" t="s">
        <v>25</v>
      </c>
      <c r="K924" t="s">
        <v>45</v>
      </c>
      <c r="L924">
        <v>6676.72</v>
      </c>
      <c r="M924">
        <v>12</v>
      </c>
      <c r="N924">
        <v>584.41999999999996</v>
      </c>
      <c r="O924">
        <v>9.17</v>
      </c>
      <c r="P924">
        <v>0.1</v>
      </c>
      <c r="Q924">
        <v>500</v>
      </c>
      <c r="R924">
        <v>0.63</v>
      </c>
      <c r="S924" t="s">
        <v>72</v>
      </c>
      <c r="T924" s="1">
        <v>44866</v>
      </c>
      <c r="U924">
        <v>0</v>
      </c>
    </row>
    <row r="925" spans="1:21" x14ac:dyDescent="0.25">
      <c r="A925" t="s">
        <v>972</v>
      </c>
      <c r="B925">
        <v>48</v>
      </c>
      <c r="C925" t="s">
        <v>29</v>
      </c>
      <c r="D925" t="s">
        <v>35</v>
      </c>
      <c r="E925" t="s">
        <v>51</v>
      </c>
      <c r="F925" t="s">
        <v>24</v>
      </c>
      <c r="G925">
        <v>5560.48</v>
      </c>
      <c r="H925">
        <v>3111.8</v>
      </c>
      <c r="I925">
        <v>38871.14</v>
      </c>
      <c r="J925" t="s">
        <v>37</v>
      </c>
      <c r="K925" t="s">
        <v>38</v>
      </c>
      <c r="L925">
        <v>0</v>
      </c>
      <c r="M925">
        <v>0</v>
      </c>
      <c r="N925">
        <v>0</v>
      </c>
      <c r="O925">
        <v>0</v>
      </c>
      <c r="P925">
        <v>0</v>
      </c>
      <c r="Q925">
        <v>743</v>
      </c>
      <c r="R925">
        <v>0.57999999999999996</v>
      </c>
      <c r="S925" t="s">
        <v>47</v>
      </c>
      <c r="T925" s="1">
        <v>44712</v>
      </c>
      <c r="U925">
        <v>0</v>
      </c>
    </row>
    <row r="926" spans="1:21" x14ac:dyDescent="0.25">
      <c r="A926" t="s">
        <v>973</v>
      </c>
      <c r="B926">
        <v>20</v>
      </c>
      <c r="C926" t="s">
        <v>29</v>
      </c>
      <c r="D926" t="s">
        <v>30</v>
      </c>
      <c r="E926" t="s">
        <v>51</v>
      </c>
      <c r="F926" t="s">
        <v>23</v>
      </c>
      <c r="G926">
        <v>500</v>
      </c>
      <c r="H926">
        <v>310.01</v>
      </c>
      <c r="I926">
        <v>4230.79</v>
      </c>
      <c r="J926" t="s">
        <v>37</v>
      </c>
      <c r="K926" t="s">
        <v>38</v>
      </c>
      <c r="L926">
        <v>0</v>
      </c>
      <c r="M926">
        <v>0</v>
      </c>
      <c r="N926">
        <v>0</v>
      </c>
      <c r="O926">
        <v>0</v>
      </c>
      <c r="P926">
        <v>0</v>
      </c>
      <c r="Q926">
        <v>692</v>
      </c>
      <c r="R926">
        <v>0.71</v>
      </c>
      <c r="S926" t="s">
        <v>72</v>
      </c>
      <c r="T926" s="1">
        <v>45673</v>
      </c>
      <c r="U926">
        <v>0</v>
      </c>
    </row>
    <row r="927" spans="1:21" x14ac:dyDescent="0.25">
      <c r="A927" t="s">
        <v>974</v>
      </c>
      <c r="B927">
        <v>49</v>
      </c>
      <c r="C927" t="s">
        <v>21</v>
      </c>
      <c r="D927" t="s">
        <v>35</v>
      </c>
      <c r="E927" t="s">
        <v>31</v>
      </c>
      <c r="F927" t="s">
        <v>23</v>
      </c>
      <c r="G927">
        <v>8169.5</v>
      </c>
      <c r="H927">
        <v>4055.41</v>
      </c>
      <c r="I927">
        <v>27403.49</v>
      </c>
      <c r="J927" t="s">
        <v>37</v>
      </c>
      <c r="K927" t="s">
        <v>38</v>
      </c>
      <c r="L927">
        <v>0</v>
      </c>
      <c r="M927">
        <v>0</v>
      </c>
      <c r="N927">
        <v>0</v>
      </c>
      <c r="O927">
        <v>0</v>
      </c>
      <c r="P927">
        <v>0</v>
      </c>
      <c r="Q927">
        <v>405</v>
      </c>
      <c r="R927">
        <v>0.28000000000000003</v>
      </c>
      <c r="S927" t="s">
        <v>72</v>
      </c>
      <c r="T927" s="1">
        <v>45559</v>
      </c>
      <c r="U927">
        <v>0</v>
      </c>
    </row>
    <row r="928" spans="1:21" x14ac:dyDescent="0.25">
      <c r="A928" t="s">
        <v>975</v>
      </c>
      <c r="B928">
        <v>54</v>
      </c>
      <c r="C928" t="s">
        <v>29</v>
      </c>
      <c r="D928" t="s">
        <v>41</v>
      </c>
      <c r="E928" t="s">
        <v>31</v>
      </c>
      <c r="F928" t="s">
        <v>44</v>
      </c>
      <c r="G928">
        <v>2420.83</v>
      </c>
      <c r="H928">
        <v>1278.9100000000001</v>
      </c>
      <c r="I928">
        <v>20571.3</v>
      </c>
      <c r="J928" t="s">
        <v>37</v>
      </c>
      <c r="K928" t="s">
        <v>38</v>
      </c>
      <c r="L928">
        <v>0</v>
      </c>
      <c r="M928">
        <v>0</v>
      </c>
      <c r="N928">
        <v>0</v>
      </c>
      <c r="O928">
        <v>0</v>
      </c>
      <c r="P928">
        <v>0</v>
      </c>
      <c r="Q928">
        <v>733</v>
      </c>
      <c r="R928">
        <v>0.71</v>
      </c>
      <c r="S928" t="s">
        <v>72</v>
      </c>
      <c r="T928" s="1">
        <v>45009</v>
      </c>
      <c r="U928">
        <v>0</v>
      </c>
    </row>
    <row r="929" spans="1:21" x14ac:dyDescent="0.25">
      <c r="A929" t="s">
        <v>976</v>
      </c>
      <c r="B929">
        <v>27</v>
      </c>
      <c r="C929" t="s">
        <v>29</v>
      </c>
      <c r="D929" t="s">
        <v>35</v>
      </c>
      <c r="E929" t="s">
        <v>31</v>
      </c>
      <c r="F929" t="s">
        <v>32</v>
      </c>
      <c r="G929">
        <v>3420.4</v>
      </c>
      <c r="H929">
        <v>1995.84</v>
      </c>
      <c r="I929">
        <v>31876.03</v>
      </c>
      <c r="J929" t="s">
        <v>37</v>
      </c>
      <c r="K929" t="s">
        <v>38</v>
      </c>
      <c r="L929">
        <v>0</v>
      </c>
      <c r="M929">
        <v>0</v>
      </c>
      <c r="N929">
        <v>0</v>
      </c>
      <c r="O929">
        <v>0</v>
      </c>
      <c r="P929">
        <v>0</v>
      </c>
      <c r="Q929">
        <v>336</v>
      </c>
      <c r="R929">
        <v>0.78</v>
      </c>
      <c r="S929" t="s">
        <v>39</v>
      </c>
      <c r="T929" s="1">
        <v>45751</v>
      </c>
      <c r="U929">
        <v>0</v>
      </c>
    </row>
    <row r="930" spans="1:21" x14ac:dyDescent="0.25">
      <c r="A930" t="s">
        <v>977</v>
      </c>
      <c r="B930">
        <v>62</v>
      </c>
      <c r="C930" t="s">
        <v>29</v>
      </c>
      <c r="D930" t="s">
        <v>41</v>
      </c>
      <c r="E930" t="s">
        <v>31</v>
      </c>
      <c r="F930" t="s">
        <v>23</v>
      </c>
      <c r="G930">
        <v>3388.21</v>
      </c>
      <c r="H930">
        <v>1027.6600000000001</v>
      </c>
      <c r="I930">
        <v>21657.03</v>
      </c>
      <c r="J930" t="s">
        <v>37</v>
      </c>
      <c r="K930" t="s">
        <v>38</v>
      </c>
      <c r="L930">
        <v>0</v>
      </c>
      <c r="M930">
        <v>0</v>
      </c>
      <c r="N930">
        <v>0</v>
      </c>
      <c r="O930">
        <v>0</v>
      </c>
      <c r="P930">
        <v>0</v>
      </c>
      <c r="Q930">
        <v>729</v>
      </c>
      <c r="R930">
        <v>0.53</v>
      </c>
      <c r="S930" t="s">
        <v>30</v>
      </c>
      <c r="T930" s="1">
        <v>44995</v>
      </c>
      <c r="U930">
        <v>0</v>
      </c>
    </row>
    <row r="931" spans="1:21" x14ac:dyDescent="0.25">
      <c r="A931" t="s">
        <v>978</v>
      </c>
      <c r="B931">
        <v>34</v>
      </c>
      <c r="C931" t="s">
        <v>29</v>
      </c>
      <c r="D931" t="s">
        <v>41</v>
      </c>
      <c r="E931" t="s">
        <v>49</v>
      </c>
      <c r="F931" t="s">
        <v>36</v>
      </c>
      <c r="G931">
        <v>6882.51</v>
      </c>
      <c r="H931">
        <v>4943</v>
      </c>
      <c r="I931">
        <v>68012.479999999996</v>
      </c>
      <c r="J931" t="s">
        <v>37</v>
      </c>
      <c r="K931" t="s">
        <v>38</v>
      </c>
      <c r="L931">
        <v>0</v>
      </c>
      <c r="M931">
        <v>0</v>
      </c>
      <c r="N931">
        <v>0</v>
      </c>
      <c r="O931">
        <v>0</v>
      </c>
      <c r="P931">
        <v>0</v>
      </c>
      <c r="Q931">
        <v>397</v>
      </c>
      <c r="R931">
        <v>0.82</v>
      </c>
      <c r="S931" t="s">
        <v>27</v>
      </c>
      <c r="T931" s="1">
        <v>44987</v>
      </c>
      <c r="U931">
        <v>0</v>
      </c>
    </row>
    <row r="932" spans="1:21" x14ac:dyDescent="0.25">
      <c r="A932" t="s">
        <v>979</v>
      </c>
      <c r="B932">
        <v>21</v>
      </c>
      <c r="C932" t="s">
        <v>21</v>
      </c>
      <c r="D932" t="s">
        <v>22</v>
      </c>
      <c r="E932" t="s">
        <v>31</v>
      </c>
      <c r="F932" t="s">
        <v>32</v>
      </c>
      <c r="G932">
        <v>5832.75</v>
      </c>
      <c r="H932">
        <v>3378.24</v>
      </c>
      <c r="I932">
        <v>42638.17</v>
      </c>
      <c r="J932" t="s">
        <v>25</v>
      </c>
      <c r="K932" t="s">
        <v>33</v>
      </c>
      <c r="L932">
        <v>47142.559999999998</v>
      </c>
      <c r="M932">
        <v>36</v>
      </c>
      <c r="N932">
        <v>1792.6</v>
      </c>
      <c r="O932">
        <v>21.68</v>
      </c>
      <c r="P932">
        <v>0.31</v>
      </c>
      <c r="Q932">
        <v>758</v>
      </c>
      <c r="R932">
        <v>0.61</v>
      </c>
      <c r="S932" t="s">
        <v>72</v>
      </c>
      <c r="T932" s="1">
        <v>45127</v>
      </c>
      <c r="U932">
        <v>0</v>
      </c>
    </row>
    <row r="933" spans="1:21" x14ac:dyDescent="0.25">
      <c r="A933" t="s">
        <v>980</v>
      </c>
      <c r="B933">
        <v>18</v>
      </c>
      <c r="C933" t="s">
        <v>29</v>
      </c>
      <c r="D933" t="s">
        <v>30</v>
      </c>
      <c r="E933" t="s">
        <v>31</v>
      </c>
      <c r="F933" t="s">
        <v>32</v>
      </c>
      <c r="G933">
        <v>5897.34</v>
      </c>
      <c r="H933">
        <v>3982.54</v>
      </c>
      <c r="I933">
        <v>41733.11</v>
      </c>
      <c r="J933" t="s">
        <v>37</v>
      </c>
      <c r="K933" t="s">
        <v>38</v>
      </c>
      <c r="L933">
        <v>0</v>
      </c>
      <c r="M933">
        <v>0</v>
      </c>
      <c r="N933">
        <v>0</v>
      </c>
      <c r="O933">
        <v>0</v>
      </c>
      <c r="P933">
        <v>0</v>
      </c>
      <c r="Q933">
        <v>493</v>
      </c>
      <c r="R933">
        <v>0.59</v>
      </c>
      <c r="S933" t="s">
        <v>47</v>
      </c>
      <c r="T933" s="1">
        <v>44425</v>
      </c>
      <c r="U933">
        <v>0</v>
      </c>
    </row>
    <row r="934" spans="1:21" x14ac:dyDescent="0.25">
      <c r="A934" t="s">
        <v>981</v>
      </c>
      <c r="B934">
        <v>67</v>
      </c>
      <c r="C934" t="s">
        <v>21</v>
      </c>
      <c r="D934" t="s">
        <v>41</v>
      </c>
      <c r="E934" t="s">
        <v>31</v>
      </c>
      <c r="F934" t="s">
        <v>32</v>
      </c>
      <c r="G934">
        <v>6980.36</v>
      </c>
      <c r="H934">
        <v>5254.97</v>
      </c>
      <c r="I934">
        <v>80937.25</v>
      </c>
      <c r="J934" t="s">
        <v>37</v>
      </c>
      <c r="K934" t="s">
        <v>38</v>
      </c>
      <c r="L934">
        <v>0</v>
      </c>
      <c r="M934">
        <v>0</v>
      </c>
      <c r="N934">
        <v>0</v>
      </c>
      <c r="O934">
        <v>0</v>
      </c>
      <c r="P934">
        <v>0</v>
      </c>
      <c r="Q934">
        <v>671</v>
      </c>
      <c r="R934">
        <v>0.97</v>
      </c>
      <c r="S934" t="s">
        <v>39</v>
      </c>
      <c r="T934" s="1">
        <v>45229</v>
      </c>
      <c r="U934">
        <v>0</v>
      </c>
    </row>
    <row r="935" spans="1:21" x14ac:dyDescent="0.25">
      <c r="A935" t="s">
        <v>982</v>
      </c>
      <c r="B935">
        <v>39</v>
      </c>
      <c r="C935" t="s">
        <v>30</v>
      </c>
      <c r="D935" t="s">
        <v>35</v>
      </c>
      <c r="E935" t="s">
        <v>31</v>
      </c>
      <c r="F935" t="s">
        <v>63</v>
      </c>
      <c r="G935">
        <v>1938.92</v>
      </c>
      <c r="H935">
        <v>1203.82</v>
      </c>
      <c r="I935">
        <v>3951.74</v>
      </c>
      <c r="J935" t="s">
        <v>37</v>
      </c>
      <c r="K935" t="s">
        <v>38</v>
      </c>
      <c r="L935">
        <v>0</v>
      </c>
      <c r="M935">
        <v>0</v>
      </c>
      <c r="N935">
        <v>0</v>
      </c>
      <c r="O935">
        <v>0</v>
      </c>
      <c r="P935">
        <v>0</v>
      </c>
      <c r="Q935">
        <v>565</v>
      </c>
      <c r="R935">
        <v>0.17</v>
      </c>
      <c r="S935" t="s">
        <v>39</v>
      </c>
      <c r="T935" s="1">
        <v>45075</v>
      </c>
      <c r="U935">
        <v>0</v>
      </c>
    </row>
    <row r="936" spans="1:21" x14ac:dyDescent="0.25">
      <c r="A936" t="s">
        <v>983</v>
      </c>
      <c r="B936">
        <v>48</v>
      </c>
      <c r="C936" t="s">
        <v>21</v>
      </c>
      <c r="D936" t="s">
        <v>41</v>
      </c>
      <c r="E936" t="s">
        <v>31</v>
      </c>
      <c r="F936" t="s">
        <v>32</v>
      </c>
      <c r="G936">
        <v>6426.98</v>
      </c>
      <c r="H936">
        <v>2112.7600000000002</v>
      </c>
      <c r="I936">
        <v>52699.360000000001</v>
      </c>
      <c r="J936" t="s">
        <v>37</v>
      </c>
      <c r="K936" t="s">
        <v>38</v>
      </c>
      <c r="L936">
        <v>0</v>
      </c>
      <c r="M936">
        <v>0</v>
      </c>
      <c r="N936">
        <v>0</v>
      </c>
      <c r="O936">
        <v>0</v>
      </c>
      <c r="P936">
        <v>0</v>
      </c>
      <c r="Q936">
        <v>316</v>
      </c>
      <c r="R936">
        <v>0.68</v>
      </c>
      <c r="S936" t="s">
        <v>39</v>
      </c>
      <c r="T936" s="1">
        <v>45205</v>
      </c>
      <c r="U936">
        <v>0</v>
      </c>
    </row>
    <row r="937" spans="1:21" x14ac:dyDescent="0.25">
      <c r="A937" t="s">
        <v>984</v>
      </c>
      <c r="B937">
        <v>44</v>
      </c>
      <c r="C937" t="s">
        <v>29</v>
      </c>
      <c r="D937" t="s">
        <v>41</v>
      </c>
      <c r="E937" t="s">
        <v>31</v>
      </c>
      <c r="F937" t="s">
        <v>42</v>
      </c>
      <c r="G937">
        <v>3623.46</v>
      </c>
      <c r="H937">
        <v>2672.92</v>
      </c>
      <c r="I937">
        <v>23271.29</v>
      </c>
      <c r="J937" t="s">
        <v>37</v>
      </c>
      <c r="K937" t="s">
        <v>38</v>
      </c>
      <c r="L937">
        <v>0</v>
      </c>
      <c r="M937">
        <v>0</v>
      </c>
      <c r="N937">
        <v>0</v>
      </c>
      <c r="O937">
        <v>0</v>
      </c>
      <c r="P937">
        <v>0</v>
      </c>
      <c r="Q937">
        <v>842</v>
      </c>
      <c r="R937">
        <v>0.54</v>
      </c>
      <c r="S937" t="s">
        <v>27</v>
      </c>
      <c r="T937" s="1">
        <v>45137</v>
      </c>
      <c r="U937">
        <v>0</v>
      </c>
    </row>
    <row r="938" spans="1:21" x14ac:dyDescent="0.25">
      <c r="A938" t="s">
        <v>985</v>
      </c>
      <c r="B938">
        <v>39</v>
      </c>
      <c r="C938" t="s">
        <v>21</v>
      </c>
      <c r="D938" t="s">
        <v>41</v>
      </c>
      <c r="E938" t="s">
        <v>23</v>
      </c>
      <c r="F938" t="s">
        <v>23</v>
      </c>
      <c r="G938">
        <v>2078.86</v>
      </c>
      <c r="H938">
        <v>726.32</v>
      </c>
      <c r="I938">
        <v>8621.59</v>
      </c>
      <c r="J938" t="s">
        <v>37</v>
      </c>
      <c r="K938" t="s">
        <v>38</v>
      </c>
      <c r="L938">
        <v>0</v>
      </c>
      <c r="M938">
        <v>0</v>
      </c>
      <c r="N938">
        <v>0</v>
      </c>
      <c r="O938">
        <v>0</v>
      </c>
      <c r="P938">
        <v>0</v>
      </c>
      <c r="Q938">
        <v>559</v>
      </c>
      <c r="R938">
        <v>0.35</v>
      </c>
      <c r="S938" t="s">
        <v>72</v>
      </c>
      <c r="T938" s="1">
        <v>45380</v>
      </c>
      <c r="U938">
        <v>0</v>
      </c>
    </row>
    <row r="939" spans="1:21" x14ac:dyDescent="0.25">
      <c r="A939" t="s">
        <v>986</v>
      </c>
      <c r="B939">
        <v>62</v>
      </c>
      <c r="C939" t="s">
        <v>21</v>
      </c>
      <c r="D939" t="s">
        <v>22</v>
      </c>
      <c r="E939" t="s">
        <v>31</v>
      </c>
      <c r="F939" t="s">
        <v>63</v>
      </c>
      <c r="G939">
        <v>3907.45</v>
      </c>
      <c r="H939">
        <v>3375.28</v>
      </c>
      <c r="I939">
        <v>21598.880000000001</v>
      </c>
      <c r="J939" t="s">
        <v>37</v>
      </c>
      <c r="K939" t="s">
        <v>38</v>
      </c>
      <c r="L939">
        <v>0</v>
      </c>
      <c r="M939">
        <v>0</v>
      </c>
      <c r="N939">
        <v>0</v>
      </c>
      <c r="O939">
        <v>0</v>
      </c>
      <c r="P939">
        <v>0</v>
      </c>
      <c r="Q939">
        <v>473</v>
      </c>
      <c r="R939">
        <v>0.46</v>
      </c>
      <c r="S939" t="s">
        <v>72</v>
      </c>
      <c r="T939" s="1">
        <v>44419</v>
      </c>
      <c r="U939">
        <v>0</v>
      </c>
    </row>
    <row r="940" spans="1:21" x14ac:dyDescent="0.25">
      <c r="A940" t="s">
        <v>987</v>
      </c>
      <c r="B940">
        <v>67</v>
      </c>
      <c r="C940" t="s">
        <v>29</v>
      </c>
      <c r="D940" t="s">
        <v>56</v>
      </c>
      <c r="E940" t="s">
        <v>31</v>
      </c>
      <c r="F940" t="s">
        <v>49</v>
      </c>
      <c r="G940">
        <v>7087.79</v>
      </c>
      <c r="H940">
        <v>2678.09</v>
      </c>
      <c r="I940">
        <v>8876.64</v>
      </c>
      <c r="J940" t="s">
        <v>37</v>
      </c>
      <c r="K940" t="s">
        <v>38</v>
      </c>
      <c r="L940">
        <v>0</v>
      </c>
      <c r="M940">
        <v>0</v>
      </c>
      <c r="N940">
        <v>0</v>
      </c>
      <c r="O940">
        <v>0</v>
      </c>
      <c r="P940">
        <v>0</v>
      </c>
      <c r="Q940">
        <v>428</v>
      </c>
      <c r="R940">
        <v>0.1</v>
      </c>
      <c r="S940" t="s">
        <v>30</v>
      </c>
      <c r="T940" s="1">
        <v>45738</v>
      </c>
      <c r="U940">
        <v>0</v>
      </c>
    </row>
    <row r="941" spans="1:21" x14ac:dyDescent="0.25">
      <c r="A941" t="s">
        <v>988</v>
      </c>
      <c r="B941">
        <v>18</v>
      </c>
      <c r="C941" t="s">
        <v>21</v>
      </c>
      <c r="D941" t="s">
        <v>30</v>
      </c>
      <c r="E941" t="s">
        <v>51</v>
      </c>
      <c r="F941" t="s">
        <v>49</v>
      </c>
      <c r="G941">
        <v>5847.63</v>
      </c>
      <c r="H941">
        <v>3833.74</v>
      </c>
      <c r="I941">
        <v>9175.3799999999992</v>
      </c>
      <c r="J941" t="s">
        <v>25</v>
      </c>
      <c r="K941" t="s">
        <v>26</v>
      </c>
      <c r="L941">
        <v>72121.56</v>
      </c>
      <c r="M941">
        <v>60</v>
      </c>
      <c r="N941">
        <v>2035.63</v>
      </c>
      <c r="O941">
        <v>23.06</v>
      </c>
      <c r="P941">
        <v>0.35</v>
      </c>
      <c r="Q941">
        <v>374</v>
      </c>
      <c r="R941">
        <v>0.13</v>
      </c>
      <c r="S941" t="s">
        <v>39</v>
      </c>
      <c r="T941" s="1">
        <v>44699</v>
      </c>
      <c r="U941">
        <v>0</v>
      </c>
    </row>
    <row r="942" spans="1:21" x14ac:dyDescent="0.25">
      <c r="A942" t="s">
        <v>989</v>
      </c>
      <c r="B942">
        <v>39</v>
      </c>
      <c r="C942" t="s">
        <v>21</v>
      </c>
      <c r="D942" t="s">
        <v>35</v>
      </c>
      <c r="E942" t="s">
        <v>31</v>
      </c>
      <c r="F942" t="s">
        <v>32</v>
      </c>
      <c r="G942">
        <v>5164.59</v>
      </c>
      <c r="H942">
        <v>1654.16</v>
      </c>
      <c r="I942">
        <v>11225.25</v>
      </c>
      <c r="J942" t="s">
        <v>25</v>
      </c>
      <c r="K942" t="s">
        <v>33</v>
      </c>
      <c r="L942">
        <v>102453.16</v>
      </c>
      <c r="M942">
        <v>120</v>
      </c>
      <c r="N942">
        <v>1233.32</v>
      </c>
      <c r="O942">
        <v>7.82</v>
      </c>
      <c r="P942">
        <v>0.24</v>
      </c>
      <c r="Q942">
        <v>589</v>
      </c>
      <c r="R942">
        <v>0.18</v>
      </c>
      <c r="S942" t="s">
        <v>39</v>
      </c>
      <c r="T942" s="1">
        <v>44737</v>
      </c>
      <c r="U942">
        <v>0</v>
      </c>
    </row>
    <row r="943" spans="1:21" x14ac:dyDescent="0.25">
      <c r="A943" t="s">
        <v>990</v>
      </c>
      <c r="B943">
        <v>66</v>
      </c>
      <c r="C943" t="s">
        <v>29</v>
      </c>
      <c r="D943" t="s">
        <v>41</v>
      </c>
      <c r="E943" t="s">
        <v>49</v>
      </c>
      <c r="F943" t="s">
        <v>32</v>
      </c>
      <c r="G943">
        <v>3512.02</v>
      </c>
      <c r="H943">
        <v>1988.24</v>
      </c>
      <c r="I943">
        <v>17435.45</v>
      </c>
      <c r="J943" t="s">
        <v>25</v>
      </c>
      <c r="K943" t="s">
        <v>33</v>
      </c>
      <c r="L943">
        <v>198949.33</v>
      </c>
      <c r="M943">
        <v>300</v>
      </c>
      <c r="N943">
        <v>1436.74</v>
      </c>
      <c r="O943">
        <v>7.24</v>
      </c>
      <c r="P943">
        <v>0.41</v>
      </c>
      <c r="Q943">
        <v>664</v>
      </c>
      <c r="R943">
        <v>0.41</v>
      </c>
      <c r="S943" t="s">
        <v>39</v>
      </c>
      <c r="T943" s="1">
        <v>44602</v>
      </c>
      <c r="U943">
        <v>1</v>
      </c>
    </row>
    <row r="944" spans="1:21" x14ac:dyDescent="0.25">
      <c r="A944" t="s">
        <v>991</v>
      </c>
      <c r="B944">
        <v>52</v>
      </c>
      <c r="C944" t="s">
        <v>21</v>
      </c>
      <c r="D944" t="s">
        <v>41</v>
      </c>
      <c r="E944" t="s">
        <v>31</v>
      </c>
      <c r="F944" t="s">
        <v>36</v>
      </c>
      <c r="G944">
        <v>6465.21</v>
      </c>
      <c r="H944">
        <v>2977.31</v>
      </c>
      <c r="I944">
        <v>49781.19</v>
      </c>
      <c r="J944" t="s">
        <v>25</v>
      </c>
      <c r="K944" t="s">
        <v>33</v>
      </c>
      <c r="L944">
        <v>149563.04</v>
      </c>
      <c r="M944">
        <v>360</v>
      </c>
      <c r="N944">
        <v>3389.91</v>
      </c>
      <c r="O944">
        <v>27.19</v>
      </c>
      <c r="P944">
        <v>0.52</v>
      </c>
      <c r="Q944">
        <v>810</v>
      </c>
      <c r="R944">
        <v>0.64</v>
      </c>
      <c r="S944" t="s">
        <v>30</v>
      </c>
      <c r="T944" s="1">
        <v>45383</v>
      </c>
      <c r="U944">
        <v>1</v>
      </c>
    </row>
    <row r="945" spans="1:21" x14ac:dyDescent="0.25">
      <c r="A945" t="s">
        <v>992</v>
      </c>
      <c r="B945">
        <v>33</v>
      </c>
      <c r="C945" t="s">
        <v>29</v>
      </c>
      <c r="D945" t="s">
        <v>35</v>
      </c>
      <c r="E945" t="s">
        <v>23</v>
      </c>
      <c r="F945" t="s">
        <v>36</v>
      </c>
      <c r="G945">
        <v>1556.74</v>
      </c>
      <c r="H945">
        <v>984.14</v>
      </c>
      <c r="I945">
        <v>6407.07</v>
      </c>
      <c r="J945" t="s">
        <v>37</v>
      </c>
      <c r="K945" t="s">
        <v>38</v>
      </c>
      <c r="L945">
        <v>0</v>
      </c>
      <c r="M945">
        <v>0</v>
      </c>
      <c r="N945">
        <v>0</v>
      </c>
      <c r="O945">
        <v>0</v>
      </c>
      <c r="P945">
        <v>0</v>
      </c>
      <c r="Q945">
        <v>692</v>
      </c>
      <c r="R945">
        <v>0.34</v>
      </c>
      <c r="S945" t="s">
        <v>30</v>
      </c>
      <c r="T945" s="1">
        <v>45036</v>
      </c>
      <c r="U945">
        <v>0</v>
      </c>
    </row>
    <row r="946" spans="1:21" x14ac:dyDescent="0.25">
      <c r="A946" t="s">
        <v>993</v>
      </c>
      <c r="B946">
        <v>66</v>
      </c>
      <c r="C946" t="s">
        <v>21</v>
      </c>
      <c r="D946" t="s">
        <v>35</v>
      </c>
      <c r="E946" t="s">
        <v>23</v>
      </c>
      <c r="F946" t="s">
        <v>63</v>
      </c>
      <c r="G946">
        <v>7696.18</v>
      </c>
      <c r="H946">
        <v>5041.7</v>
      </c>
      <c r="I946">
        <v>87932.03</v>
      </c>
      <c r="J946" t="s">
        <v>37</v>
      </c>
      <c r="K946" t="s">
        <v>38</v>
      </c>
      <c r="L946">
        <v>0</v>
      </c>
      <c r="M946">
        <v>0</v>
      </c>
      <c r="N946">
        <v>0</v>
      </c>
      <c r="O946">
        <v>0</v>
      </c>
      <c r="P946">
        <v>0</v>
      </c>
      <c r="Q946">
        <v>604</v>
      </c>
      <c r="R946">
        <v>0.95</v>
      </c>
      <c r="S946" t="s">
        <v>47</v>
      </c>
      <c r="T946" s="1">
        <v>45210</v>
      </c>
      <c r="U946">
        <v>0</v>
      </c>
    </row>
    <row r="947" spans="1:21" x14ac:dyDescent="0.25">
      <c r="A947" t="s">
        <v>994</v>
      </c>
      <c r="B947">
        <v>68</v>
      </c>
      <c r="C947" t="s">
        <v>30</v>
      </c>
      <c r="D947" t="s">
        <v>30</v>
      </c>
      <c r="E947" t="s">
        <v>49</v>
      </c>
      <c r="F947" t="s">
        <v>52</v>
      </c>
      <c r="G947">
        <v>5286.02</v>
      </c>
      <c r="H947">
        <v>2227.9299999999998</v>
      </c>
      <c r="I947">
        <v>37282.07</v>
      </c>
      <c r="J947" t="s">
        <v>37</v>
      </c>
      <c r="K947" t="s">
        <v>38</v>
      </c>
      <c r="L947">
        <v>0</v>
      </c>
      <c r="M947">
        <v>0</v>
      </c>
      <c r="N947">
        <v>0</v>
      </c>
      <c r="O947">
        <v>0</v>
      </c>
      <c r="P947">
        <v>0</v>
      </c>
      <c r="Q947">
        <v>392</v>
      </c>
      <c r="R947">
        <v>0.59</v>
      </c>
      <c r="S947" t="s">
        <v>27</v>
      </c>
      <c r="T947" s="1">
        <v>44456</v>
      </c>
      <c r="U947">
        <v>0</v>
      </c>
    </row>
    <row r="948" spans="1:21" x14ac:dyDescent="0.25">
      <c r="A948" t="s">
        <v>995</v>
      </c>
      <c r="B948">
        <v>55</v>
      </c>
      <c r="C948" t="s">
        <v>29</v>
      </c>
      <c r="D948" t="s">
        <v>56</v>
      </c>
      <c r="E948" t="s">
        <v>51</v>
      </c>
      <c r="F948" t="s">
        <v>49</v>
      </c>
      <c r="G948">
        <v>3023.88</v>
      </c>
      <c r="H948">
        <v>2463.0100000000002</v>
      </c>
      <c r="I948">
        <v>32623.03</v>
      </c>
      <c r="J948" t="s">
        <v>37</v>
      </c>
      <c r="K948" t="s">
        <v>38</v>
      </c>
      <c r="L948">
        <v>0</v>
      </c>
      <c r="M948">
        <v>0</v>
      </c>
      <c r="N948">
        <v>0</v>
      </c>
      <c r="O948">
        <v>0</v>
      </c>
      <c r="P948">
        <v>0</v>
      </c>
      <c r="Q948">
        <v>534</v>
      </c>
      <c r="R948">
        <v>0.9</v>
      </c>
      <c r="S948" t="s">
        <v>47</v>
      </c>
      <c r="T948" s="1">
        <v>45015</v>
      </c>
      <c r="U948">
        <v>0</v>
      </c>
    </row>
    <row r="949" spans="1:21" x14ac:dyDescent="0.25">
      <c r="A949" t="s">
        <v>996</v>
      </c>
      <c r="B949">
        <v>59</v>
      </c>
      <c r="C949" t="s">
        <v>21</v>
      </c>
      <c r="D949" t="s">
        <v>35</v>
      </c>
      <c r="E949" t="s">
        <v>31</v>
      </c>
      <c r="F949" t="s">
        <v>52</v>
      </c>
      <c r="G949">
        <v>5863.91</v>
      </c>
      <c r="H949">
        <v>5213.8500000000004</v>
      </c>
      <c r="I949">
        <v>10846.46</v>
      </c>
      <c r="J949" t="s">
        <v>37</v>
      </c>
      <c r="K949" t="s">
        <v>38</v>
      </c>
      <c r="L949">
        <v>0</v>
      </c>
      <c r="M949">
        <v>0</v>
      </c>
      <c r="N949">
        <v>0</v>
      </c>
      <c r="O949">
        <v>0</v>
      </c>
      <c r="P949">
        <v>0</v>
      </c>
      <c r="Q949">
        <v>511</v>
      </c>
      <c r="R949">
        <v>0.15</v>
      </c>
      <c r="S949" t="s">
        <v>39</v>
      </c>
      <c r="T949" s="1">
        <v>45003</v>
      </c>
      <c r="U949">
        <v>0</v>
      </c>
    </row>
    <row r="950" spans="1:21" x14ac:dyDescent="0.25">
      <c r="A950" t="s">
        <v>997</v>
      </c>
      <c r="B950">
        <v>19</v>
      </c>
      <c r="C950" t="s">
        <v>21</v>
      </c>
      <c r="D950" t="s">
        <v>41</v>
      </c>
      <c r="E950" t="s">
        <v>51</v>
      </c>
      <c r="F950" t="s">
        <v>24</v>
      </c>
      <c r="G950">
        <v>4306.13</v>
      </c>
      <c r="H950">
        <v>1302.42</v>
      </c>
      <c r="I950">
        <v>10789.92</v>
      </c>
      <c r="J950" t="s">
        <v>25</v>
      </c>
      <c r="K950" t="s">
        <v>33</v>
      </c>
      <c r="L950">
        <v>157498.07</v>
      </c>
      <c r="M950">
        <v>300</v>
      </c>
      <c r="N950">
        <v>3436.18</v>
      </c>
      <c r="O950">
        <v>26.14</v>
      </c>
      <c r="P950">
        <v>0.8</v>
      </c>
      <c r="Q950">
        <v>379</v>
      </c>
      <c r="R950">
        <v>0.21</v>
      </c>
      <c r="S950" t="s">
        <v>47</v>
      </c>
      <c r="T950" s="1">
        <v>44553</v>
      </c>
      <c r="U950">
        <v>1</v>
      </c>
    </row>
    <row r="951" spans="1:21" x14ac:dyDescent="0.25">
      <c r="A951" t="s">
        <v>998</v>
      </c>
      <c r="B951">
        <v>35</v>
      </c>
      <c r="C951" t="s">
        <v>29</v>
      </c>
      <c r="D951" t="s">
        <v>22</v>
      </c>
      <c r="E951" t="s">
        <v>49</v>
      </c>
      <c r="F951" t="s">
        <v>42</v>
      </c>
      <c r="G951">
        <v>4112.75</v>
      </c>
      <c r="H951">
        <v>2980.24</v>
      </c>
      <c r="I951">
        <v>33618.54</v>
      </c>
      <c r="J951" t="s">
        <v>37</v>
      </c>
      <c r="K951" t="s">
        <v>38</v>
      </c>
      <c r="L951">
        <v>0</v>
      </c>
      <c r="M951">
        <v>0</v>
      </c>
      <c r="N951">
        <v>0</v>
      </c>
      <c r="O951">
        <v>0</v>
      </c>
      <c r="P951">
        <v>0</v>
      </c>
      <c r="Q951">
        <v>703</v>
      </c>
      <c r="R951">
        <v>0.68</v>
      </c>
      <c r="S951" t="s">
        <v>30</v>
      </c>
      <c r="T951" s="1">
        <v>45345</v>
      </c>
      <c r="U951">
        <v>0</v>
      </c>
    </row>
    <row r="952" spans="1:21" x14ac:dyDescent="0.25">
      <c r="A952" t="s">
        <v>999</v>
      </c>
      <c r="B952">
        <v>30</v>
      </c>
      <c r="C952" t="s">
        <v>29</v>
      </c>
      <c r="D952" t="s">
        <v>35</v>
      </c>
      <c r="E952" t="s">
        <v>31</v>
      </c>
      <c r="F952" t="s">
        <v>49</v>
      </c>
      <c r="G952">
        <v>3516.76</v>
      </c>
      <c r="H952">
        <v>1432.22</v>
      </c>
      <c r="I952">
        <v>19249.78</v>
      </c>
      <c r="J952" t="s">
        <v>37</v>
      </c>
      <c r="K952" t="s">
        <v>38</v>
      </c>
      <c r="L952">
        <v>0</v>
      </c>
      <c r="M952">
        <v>0</v>
      </c>
      <c r="N952">
        <v>0</v>
      </c>
      <c r="O952">
        <v>0</v>
      </c>
      <c r="P952">
        <v>0</v>
      </c>
      <c r="Q952">
        <v>401</v>
      </c>
      <c r="R952">
        <v>0.46</v>
      </c>
      <c r="S952" t="s">
        <v>27</v>
      </c>
      <c r="T952" s="1">
        <v>45510</v>
      </c>
      <c r="U952">
        <v>0</v>
      </c>
    </row>
    <row r="953" spans="1:21" x14ac:dyDescent="0.25">
      <c r="A953" t="s">
        <v>1000</v>
      </c>
      <c r="B953">
        <v>52</v>
      </c>
      <c r="C953" t="s">
        <v>30</v>
      </c>
      <c r="D953" t="s">
        <v>41</v>
      </c>
      <c r="E953" t="s">
        <v>51</v>
      </c>
      <c r="F953" t="s">
        <v>24</v>
      </c>
      <c r="G953">
        <v>5918.75</v>
      </c>
      <c r="H953">
        <v>4073.25</v>
      </c>
      <c r="I953">
        <v>8975.25</v>
      </c>
      <c r="J953" t="s">
        <v>25</v>
      </c>
      <c r="K953" t="s">
        <v>45</v>
      </c>
      <c r="L953">
        <v>223058.23</v>
      </c>
      <c r="M953">
        <v>120</v>
      </c>
      <c r="N953">
        <v>3073.89</v>
      </c>
      <c r="O953">
        <v>11.01</v>
      </c>
      <c r="P953">
        <v>0.52</v>
      </c>
      <c r="Q953">
        <v>606</v>
      </c>
      <c r="R953">
        <v>0.13</v>
      </c>
      <c r="S953" t="s">
        <v>47</v>
      </c>
      <c r="T953" s="1">
        <v>44581</v>
      </c>
      <c r="U953">
        <v>1</v>
      </c>
    </row>
    <row r="954" spans="1:21" x14ac:dyDescent="0.25">
      <c r="A954" t="s">
        <v>1001</v>
      </c>
      <c r="B954">
        <v>24</v>
      </c>
      <c r="C954" t="s">
        <v>21</v>
      </c>
      <c r="D954" t="s">
        <v>30</v>
      </c>
      <c r="E954" t="s">
        <v>31</v>
      </c>
      <c r="F954" t="s">
        <v>52</v>
      </c>
      <c r="G954">
        <v>9078.35</v>
      </c>
      <c r="H954">
        <v>7188.58</v>
      </c>
      <c r="I954">
        <v>51335.93</v>
      </c>
      <c r="J954" t="s">
        <v>37</v>
      </c>
      <c r="K954" t="s">
        <v>38</v>
      </c>
      <c r="L954">
        <v>0</v>
      </c>
      <c r="M954">
        <v>0</v>
      </c>
      <c r="N954">
        <v>0</v>
      </c>
      <c r="O954">
        <v>0</v>
      </c>
      <c r="P954">
        <v>0</v>
      </c>
      <c r="Q954">
        <v>704</v>
      </c>
      <c r="R954">
        <v>0.47</v>
      </c>
      <c r="S954" t="s">
        <v>72</v>
      </c>
      <c r="T954" s="1">
        <v>45667</v>
      </c>
      <c r="U954">
        <v>0</v>
      </c>
    </row>
    <row r="955" spans="1:21" x14ac:dyDescent="0.25">
      <c r="A955" t="s">
        <v>1002</v>
      </c>
      <c r="B955">
        <v>59</v>
      </c>
      <c r="C955" t="s">
        <v>21</v>
      </c>
      <c r="D955" t="s">
        <v>22</v>
      </c>
      <c r="E955" t="s">
        <v>31</v>
      </c>
      <c r="F955" t="s">
        <v>49</v>
      </c>
      <c r="G955">
        <v>3331.51</v>
      </c>
      <c r="H955">
        <v>2001.04</v>
      </c>
      <c r="I955">
        <v>36315.14</v>
      </c>
      <c r="J955" t="s">
        <v>37</v>
      </c>
      <c r="K955" t="s">
        <v>38</v>
      </c>
      <c r="L955">
        <v>0</v>
      </c>
      <c r="M955">
        <v>0</v>
      </c>
      <c r="N955">
        <v>0</v>
      </c>
      <c r="O955">
        <v>0</v>
      </c>
      <c r="P955">
        <v>0</v>
      </c>
      <c r="Q955">
        <v>601</v>
      </c>
      <c r="R955">
        <v>0.91</v>
      </c>
      <c r="S955" t="s">
        <v>72</v>
      </c>
      <c r="T955" s="1">
        <v>45396</v>
      </c>
      <c r="U955">
        <v>0</v>
      </c>
    </row>
    <row r="956" spans="1:21" x14ac:dyDescent="0.25">
      <c r="A956" t="s">
        <v>1003</v>
      </c>
      <c r="B956">
        <v>58</v>
      </c>
      <c r="C956" t="s">
        <v>21</v>
      </c>
      <c r="D956" t="s">
        <v>35</v>
      </c>
      <c r="E956" t="s">
        <v>31</v>
      </c>
      <c r="F956" t="s">
        <v>36</v>
      </c>
      <c r="G956">
        <v>5100.12</v>
      </c>
      <c r="H956">
        <v>4140.6000000000004</v>
      </c>
      <c r="I956">
        <v>50758.79</v>
      </c>
      <c r="J956" t="s">
        <v>37</v>
      </c>
      <c r="K956" t="s">
        <v>38</v>
      </c>
      <c r="L956">
        <v>0</v>
      </c>
      <c r="M956">
        <v>0</v>
      </c>
      <c r="N956">
        <v>0</v>
      </c>
      <c r="O956">
        <v>0</v>
      </c>
      <c r="P956">
        <v>0</v>
      </c>
      <c r="Q956">
        <v>582</v>
      </c>
      <c r="R956">
        <v>0.83</v>
      </c>
      <c r="S956" t="s">
        <v>30</v>
      </c>
      <c r="T956" s="1">
        <v>45453</v>
      </c>
      <c r="U956">
        <v>0</v>
      </c>
    </row>
    <row r="957" spans="1:21" x14ac:dyDescent="0.25">
      <c r="A957" t="s">
        <v>1004</v>
      </c>
      <c r="B957">
        <v>55</v>
      </c>
      <c r="C957" t="s">
        <v>21</v>
      </c>
      <c r="D957" t="s">
        <v>41</v>
      </c>
      <c r="E957" t="s">
        <v>31</v>
      </c>
      <c r="F957" t="s">
        <v>52</v>
      </c>
      <c r="G957">
        <v>2650.91</v>
      </c>
      <c r="H957">
        <v>1022.98</v>
      </c>
      <c r="I957">
        <v>9795.0499999999993</v>
      </c>
      <c r="J957" t="s">
        <v>25</v>
      </c>
      <c r="K957" t="s">
        <v>26</v>
      </c>
      <c r="L957">
        <v>171974.54</v>
      </c>
      <c r="M957">
        <v>240</v>
      </c>
      <c r="N957">
        <v>1386.47</v>
      </c>
      <c r="O957">
        <v>7.51</v>
      </c>
      <c r="P957">
        <v>0.52</v>
      </c>
      <c r="Q957">
        <v>798</v>
      </c>
      <c r="R957">
        <v>0.31</v>
      </c>
      <c r="S957" t="s">
        <v>30</v>
      </c>
      <c r="T957" s="1">
        <v>44591</v>
      </c>
      <c r="U957">
        <v>1</v>
      </c>
    </row>
    <row r="958" spans="1:21" x14ac:dyDescent="0.25">
      <c r="A958" t="s">
        <v>1005</v>
      </c>
      <c r="B958">
        <v>41</v>
      </c>
      <c r="C958" t="s">
        <v>21</v>
      </c>
      <c r="D958" t="s">
        <v>41</v>
      </c>
      <c r="E958" t="s">
        <v>31</v>
      </c>
      <c r="F958" t="s">
        <v>49</v>
      </c>
      <c r="G958">
        <v>4655.29</v>
      </c>
      <c r="H958">
        <v>3218.34</v>
      </c>
      <c r="I958">
        <v>42363.58</v>
      </c>
      <c r="J958" t="s">
        <v>37</v>
      </c>
      <c r="K958" t="s">
        <v>38</v>
      </c>
      <c r="L958">
        <v>0</v>
      </c>
      <c r="M958">
        <v>0</v>
      </c>
      <c r="N958">
        <v>0</v>
      </c>
      <c r="O958">
        <v>0</v>
      </c>
      <c r="P958">
        <v>0</v>
      </c>
      <c r="Q958">
        <v>766</v>
      </c>
      <c r="R958">
        <v>0.76</v>
      </c>
      <c r="S958" t="s">
        <v>47</v>
      </c>
      <c r="T958" s="1">
        <v>44951</v>
      </c>
      <c r="U958">
        <v>0</v>
      </c>
    </row>
    <row r="959" spans="1:21" x14ac:dyDescent="0.25">
      <c r="A959" t="s">
        <v>1006</v>
      </c>
      <c r="B959">
        <v>55</v>
      </c>
      <c r="C959" t="s">
        <v>29</v>
      </c>
      <c r="D959" t="s">
        <v>22</v>
      </c>
      <c r="E959" t="s">
        <v>49</v>
      </c>
      <c r="F959" t="s">
        <v>63</v>
      </c>
      <c r="G959">
        <v>5323.62</v>
      </c>
      <c r="H959">
        <v>2643.83</v>
      </c>
      <c r="I959">
        <v>15922.87</v>
      </c>
      <c r="J959" t="s">
        <v>25</v>
      </c>
      <c r="K959" t="s">
        <v>45</v>
      </c>
      <c r="L959">
        <v>282545.19</v>
      </c>
      <c r="M959">
        <v>120</v>
      </c>
      <c r="N959">
        <v>4720.68</v>
      </c>
      <c r="O959">
        <v>15.93</v>
      </c>
      <c r="P959">
        <v>0.89</v>
      </c>
      <c r="Q959">
        <v>817</v>
      </c>
      <c r="R959">
        <v>0.25</v>
      </c>
      <c r="S959" t="s">
        <v>47</v>
      </c>
      <c r="T959" s="1">
        <v>44498</v>
      </c>
      <c r="U959">
        <v>1</v>
      </c>
    </row>
    <row r="960" spans="1:21" x14ac:dyDescent="0.25">
      <c r="A960" t="s">
        <v>1007</v>
      </c>
      <c r="B960">
        <v>44</v>
      </c>
      <c r="C960" t="s">
        <v>21</v>
      </c>
      <c r="D960" t="s">
        <v>35</v>
      </c>
      <c r="E960" t="s">
        <v>31</v>
      </c>
      <c r="F960" t="s">
        <v>44</v>
      </c>
      <c r="G960">
        <v>4882.17</v>
      </c>
      <c r="H960">
        <v>3758.27</v>
      </c>
      <c r="I960">
        <v>55907.81</v>
      </c>
      <c r="J960" t="s">
        <v>25</v>
      </c>
      <c r="K960" t="s">
        <v>33</v>
      </c>
      <c r="L960">
        <v>146266.98000000001</v>
      </c>
      <c r="M960">
        <v>60</v>
      </c>
      <c r="N960">
        <v>4148.58</v>
      </c>
      <c r="O960">
        <v>23.3</v>
      </c>
      <c r="P960">
        <v>0.85</v>
      </c>
      <c r="Q960">
        <v>772</v>
      </c>
      <c r="R960">
        <v>0.95</v>
      </c>
      <c r="S960" t="s">
        <v>39</v>
      </c>
      <c r="T960" s="1">
        <v>44985</v>
      </c>
      <c r="U960">
        <v>1</v>
      </c>
    </row>
    <row r="961" spans="1:21" x14ac:dyDescent="0.25">
      <c r="A961" t="s">
        <v>1008</v>
      </c>
      <c r="B961">
        <v>24</v>
      </c>
      <c r="C961" t="s">
        <v>21</v>
      </c>
      <c r="D961" t="s">
        <v>30</v>
      </c>
      <c r="E961" t="s">
        <v>31</v>
      </c>
      <c r="F961" t="s">
        <v>63</v>
      </c>
      <c r="G961">
        <v>5383.79</v>
      </c>
      <c r="H961">
        <v>3251.52</v>
      </c>
      <c r="I961">
        <v>55831.16</v>
      </c>
      <c r="J961" t="s">
        <v>25</v>
      </c>
      <c r="K961" t="s">
        <v>26</v>
      </c>
      <c r="L961">
        <v>173652.76</v>
      </c>
      <c r="M961">
        <v>120</v>
      </c>
      <c r="N961">
        <v>3611.84</v>
      </c>
      <c r="O961">
        <v>22.19</v>
      </c>
      <c r="P961">
        <v>0.67</v>
      </c>
      <c r="Q961">
        <v>753</v>
      </c>
      <c r="R961">
        <v>0.86</v>
      </c>
      <c r="S961" t="s">
        <v>72</v>
      </c>
      <c r="T961" s="1">
        <v>44523</v>
      </c>
      <c r="U961">
        <v>1</v>
      </c>
    </row>
    <row r="962" spans="1:21" x14ac:dyDescent="0.25">
      <c r="A962" t="s">
        <v>1009</v>
      </c>
      <c r="B962">
        <v>66</v>
      </c>
      <c r="C962" t="s">
        <v>21</v>
      </c>
      <c r="D962" t="s">
        <v>41</v>
      </c>
      <c r="E962" t="s">
        <v>23</v>
      </c>
      <c r="F962" t="s">
        <v>63</v>
      </c>
      <c r="G962">
        <v>5578.96</v>
      </c>
      <c r="H962">
        <v>2231.6799999999998</v>
      </c>
      <c r="I962">
        <v>38219.74</v>
      </c>
      <c r="J962" t="s">
        <v>37</v>
      </c>
      <c r="K962" t="s">
        <v>38</v>
      </c>
      <c r="L962">
        <v>0</v>
      </c>
      <c r="M962">
        <v>0</v>
      </c>
      <c r="N962">
        <v>0</v>
      </c>
      <c r="O962">
        <v>0</v>
      </c>
      <c r="P962">
        <v>0</v>
      </c>
      <c r="Q962">
        <v>799</v>
      </c>
      <c r="R962">
        <v>0.56999999999999995</v>
      </c>
      <c r="S962" t="s">
        <v>72</v>
      </c>
      <c r="T962" s="1">
        <v>45117</v>
      </c>
      <c r="U962">
        <v>0</v>
      </c>
    </row>
    <row r="963" spans="1:21" x14ac:dyDescent="0.25">
      <c r="A963" t="s">
        <v>1010</v>
      </c>
      <c r="B963">
        <v>50</v>
      </c>
      <c r="C963" t="s">
        <v>21</v>
      </c>
      <c r="D963" t="s">
        <v>30</v>
      </c>
      <c r="E963" t="s">
        <v>31</v>
      </c>
      <c r="F963" t="s">
        <v>44</v>
      </c>
      <c r="G963">
        <v>5828.26</v>
      </c>
      <c r="H963">
        <v>5237.43</v>
      </c>
      <c r="I963">
        <v>32940.339999999997</v>
      </c>
      <c r="J963" t="s">
        <v>37</v>
      </c>
      <c r="K963" t="s">
        <v>38</v>
      </c>
      <c r="L963">
        <v>0</v>
      </c>
      <c r="M963">
        <v>0</v>
      </c>
      <c r="N963">
        <v>0</v>
      </c>
      <c r="O963">
        <v>0</v>
      </c>
      <c r="P963">
        <v>0</v>
      </c>
      <c r="Q963">
        <v>591</v>
      </c>
      <c r="R963">
        <v>0.47</v>
      </c>
      <c r="S963" t="s">
        <v>39</v>
      </c>
      <c r="T963" s="1">
        <v>44911</v>
      </c>
      <c r="U963">
        <v>0</v>
      </c>
    </row>
    <row r="964" spans="1:21" x14ac:dyDescent="0.25">
      <c r="A964" t="s">
        <v>1011</v>
      </c>
      <c r="B964">
        <v>18</v>
      </c>
      <c r="C964" t="s">
        <v>21</v>
      </c>
      <c r="D964" t="s">
        <v>41</v>
      </c>
      <c r="E964" t="s">
        <v>31</v>
      </c>
      <c r="F964" t="s">
        <v>52</v>
      </c>
      <c r="G964">
        <v>4236.17</v>
      </c>
      <c r="H964">
        <v>3161</v>
      </c>
      <c r="I964">
        <v>9267.4</v>
      </c>
      <c r="J964" t="s">
        <v>37</v>
      </c>
      <c r="K964" t="s">
        <v>38</v>
      </c>
      <c r="L964">
        <v>0</v>
      </c>
      <c r="M964">
        <v>0</v>
      </c>
      <c r="N964">
        <v>0</v>
      </c>
      <c r="O964">
        <v>0</v>
      </c>
      <c r="P964">
        <v>0</v>
      </c>
      <c r="Q964">
        <v>433</v>
      </c>
      <c r="R964">
        <v>0.18</v>
      </c>
      <c r="S964" t="s">
        <v>47</v>
      </c>
      <c r="T964" s="1">
        <v>44479</v>
      </c>
      <c r="U964">
        <v>0</v>
      </c>
    </row>
    <row r="965" spans="1:21" x14ac:dyDescent="0.25">
      <c r="A965" t="s">
        <v>1012</v>
      </c>
      <c r="B965">
        <v>37</v>
      </c>
      <c r="C965" t="s">
        <v>21</v>
      </c>
      <c r="D965" t="s">
        <v>22</v>
      </c>
      <c r="E965" t="s">
        <v>51</v>
      </c>
      <c r="F965" t="s">
        <v>52</v>
      </c>
      <c r="G965">
        <v>2639.67</v>
      </c>
      <c r="H965">
        <v>1118.6099999999999</v>
      </c>
      <c r="I965">
        <v>6079.71</v>
      </c>
      <c r="J965" t="s">
        <v>37</v>
      </c>
      <c r="K965" t="s">
        <v>38</v>
      </c>
      <c r="L965">
        <v>0</v>
      </c>
      <c r="M965">
        <v>0</v>
      </c>
      <c r="N965">
        <v>0</v>
      </c>
      <c r="O965">
        <v>0</v>
      </c>
      <c r="P965">
        <v>0</v>
      </c>
      <c r="Q965">
        <v>399</v>
      </c>
      <c r="R965">
        <v>0.19</v>
      </c>
      <c r="S965" t="s">
        <v>39</v>
      </c>
      <c r="T965" s="1">
        <v>44893</v>
      </c>
      <c r="U965">
        <v>0</v>
      </c>
    </row>
    <row r="966" spans="1:21" x14ac:dyDescent="0.25">
      <c r="A966" t="s">
        <v>1013</v>
      </c>
      <c r="B966">
        <v>45</v>
      </c>
      <c r="C966" t="s">
        <v>21</v>
      </c>
      <c r="D966" t="s">
        <v>41</v>
      </c>
      <c r="E966" t="s">
        <v>31</v>
      </c>
      <c r="F966" t="s">
        <v>44</v>
      </c>
      <c r="G966">
        <v>8076.1</v>
      </c>
      <c r="H966">
        <v>6052.21</v>
      </c>
      <c r="I966">
        <v>73596.460000000006</v>
      </c>
      <c r="J966" t="s">
        <v>37</v>
      </c>
      <c r="K966" t="s">
        <v>38</v>
      </c>
      <c r="L966">
        <v>0</v>
      </c>
      <c r="M966">
        <v>0</v>
      </c>
      <c r="N966">
        <v>0</v>
      </c>
      <c r="O966">
        <v>0</v>
      </c>
      <c r="P966">
        <v>0</v>
      </c>
      <c r="Q966">
        <v>462</v>
      </c>
      <c r="R966">
        <v>0.76</v>
      </c>
      <c r="S966" t="s">
        <v>30</v>
      </c>
      <c r="T966" s="1">
        <v>45205</v>
      </c>
      <c r="U966">
        <v>0</v>
      </c>
    </row>
    <row r="967" spans="1:21" x14ac:dyDescent="0.25">
      <c r="A967" t="s">
        <v>1014</v>
      </c>
      <c r="B967">
        <v>49</v>
      </c>
      <c r="C967" t="s">
        <v>21</v>
      </c>
      <c r="D967" t="s">
        <v>41</v>
      </c>
      <c r="E967" t="s">
        <v>23</v>
      </c>
      <c r="F967" t="s">
        <v>63</v>
      </c>
      <c r="G967">
        <v>5641.22</v>
      </c>
      <c r="H967">
        <v>2584.4</v>
      </c>
      <c r="I967">
        <v>48641.23</v>
      </c>
      <c r="J967" t="s">
        <v>37</v>
      </c>
      <c r="K967" t="s">
        <v>38</v>
      </c>
      <c r="L967">
        <v>0</v>
      </c>
      <c r="M967">
        <v>0</v>
      </c>
      <c r="N967">
        <v>0</v>
      </c>
      <c r="O967">
        <v>0</v>
      </c>
      <c r="P967">
        <v>0</v>
      </c>
      <c r="Q967">
        <v>664</v>
      </c>
      <c r="R967">
        <v>0.72</v>
      </c>
      <c r="S967" t="s">
        <v>27</v>
      </c>
      <c r="T967" s="1">
        <v>44432</v>
      </c>
      <c r="U967">
        <v>0</v>
      </c>
    </row>
    <row r="968" spans="1:21" x14ac:dyDescent="0.25">
      <c r="A968" t="s">
        <v>1015</v>
      </c>
      <c r="B968">
        <v>49</v>
      </c>
      <c r="C968" t="s">
        <v>29</v>
      </c>
      <c r="D968" t="s">
        <v>30</v>
      </c>
      <c r="E968" t="s">
        <v>49</v>
      </c>
      <c r="F968" t="s">
        <v>23</v>
      </c>
      <c r="G968">
        <v>1631.47</v>
      </c>
      <c r="H968">
        <v>1336.7</v>
      </c>
      <c r="I968">
        <v>8014.97</v>
      </c>
      <c r="J968" t="s">
        <v>37</v>
      </c>
      <c r="K968" t="s">
        <v>38</v>
      </c>
      <c r="L968">
        <v>0</v>
      </c>
      <c r="M968">
        <v>0</v>
      </c>
      <c r="N968">
        <v>0</v>
      </c>
      <c r="O968">
        <v>0</v>
      </c>
      <c r="P968">
        <v>0</v>
      </c>
      <c r="Q968">
        <v>825</v>
      </c>
      <c r="R968">
        <v>0.41</v>
      </c>
      <c r="S968" t="s">
        <v>47</v>
      </c>
      <c r="T968" s="1">
        <v>45219</v>
      </c>
      <c r="U968">
        <v>0</v>
      </c>
    </row>
    <row r="969" spans="1:21" x14ac:dyDescent="0.25">
      <c r="A969" t="s">
        <v>1016</v>
      </c>
      <c r="B969">
        <v>52</v>
      </c>
      <c r="C969" t="s">
        <v>29</v>
      </c>
      <c r="D969" t="s">
        <v>41</v>
      </c>
      <c r="E969" t="s">
        <v>31</v>
      </c>
      <c r="F969" t="s">
        <v>36</v>
      </c>
      <c r="G969">
        <v>2891.83</v>
      </c>
      <c r="H969">
        <v>2169.73</v>
      </c>
      <c r="I969">
        <v>31895.18</v>
      </c>
      <c r="J969" t="s">
        <v>37</v>
      </c>
      <c r="K969" t="s">
        <v>38</v>
      </c>
      <c r="L969">
        <v>0</v>
      </c>
      <c r="M969">
        <v>0</v>
      </c>
      <c r="N969">
        <v>0</v>
      </c>
      <c r="O969">
        <v>0</v>
      </c>
      <c r="P969">
        <v>0</v>
      </c>
      <c r="Q969">
        <v>604</v>
      </c>
      <c r="R969">
        <v>0.92</v>
      </c>
      <c r="S969" t="s">
        <v>27</v>
      </c>
      <c r="T969" s="1">
        <v>44840</v>
      </c>
      <c r="U969">
        <v>0</v>
      </c>
    </row>
    <row r="970" spans="1:21" x14ac:dyDescent="0.25">
      <c r="A970" t="s">
        <v>1017</v>
      </c>
      <c r="B970">
        <v>22</v>
      </c>
      <c r="C970" t="s">
        <v>21</v>
      </c>
      <c r="D970" t="s">
        <v>41</v>
      </c>
      <c r="E970" t="s">
        <v>31</v>
      </c>
      <c r="F970" t="s">
        <v>32</v>
      </c>
      <c r="G970">
        <v>3810.93</v>
      </c>
      <c r="H970">
        <v>2231.48</v>
      </c>
      <c r="I970">
        <v>7212.59</v>
      </c>
      <c r="J970" t="s">
        <v>37</v>
      </c>
      <c r="K970" t="s">
        <v>38</v>
      </c>
      <c r="L970">
        <v>0</v>
      </c>
      <c r="M970">
        <v>0</v>
      </c>
      <c r="N970">
        <v>0</v>
      </c>
      <c r="O970">
        <v>0</v>
      </c>
      <c r="P970">
        <v>0</v>
      </c>
      <c r="Q970">
        <v>354</v>
      </c>
      <c r="R970">
        <v>0.16</v>
      </c>
      <c r="S970" t="s">
        <v>39</v>
      </c>
      <c r="T970" s="1">
        <v>45373</v>
      </c>
      <c r="U970">
        <v>0</v>
      </c>
    </row>
    <row r="971" spans="1:21" x14ac:dyDescent="0.25">
      <c r="A971" t="s">
        <v>1018</v>
      </c>
      <c r="B971">
        <v>54</v>
      </c>
      <c r="C971" t="s">
        <v>30</v>
      </c>
      <c r="D971" t="s">
        <v>35</v>
      </c>
      <c r="E971" t="s">
        <v>51</v>
      </c>
      <c r="F971" t="s">
        <v>24</v>
      </c>
      <c r="G971">
        <v>598.23</v>
      </c>
      <c r="H971">
        <v>303.70999999999998</v>
      </c>
      <c r="I971">
        <v>4533.3999999999996</v>
      </c>
      <c r="J971" t="s">
        <v>37</v>
      </c>
      <c r="K971" t="s">
        <v>38</v>
      </c>
      <c r="L971">
        <v>0</v>
      </c>
      <c r="M971">
        <v>0</v>
      </c>
      <c r="N971">
        <v>0</v>
      </c>
      <c r="O971">
        <v>0</v>
      </c>
      <c r="P971">
        <v>0</v>
      </c>
      <c r="Q971">
        <v>417</v>
      </c>
      <c r="R971">
        <v>0.63</v>
      </c>
      <c r="S971" t="s">
        <v>47</v>
      </c>
      <c r="T971" s="1">
        <v>45346</v>
      </c>
      <c r="U971">
        <v>0</v>
      </c>
    </row>
    <row r="972" spans="1:21" x14ac:dyDescent="0.25">
      <c r="A972" t="s">
        <v>1019</v>
      </c>
      <c r="B972">
        <v>27</v>
      </c>
      <c r="C972" t="s">
        <v>29</v>
      </c>
      <c r="D972" t="s">
        <v>41</v>
      </c>
      <c r="E972" t="s">
        <v>51</v>
      </c>
      <c r="F972" t="s">
        <v>63</v>
      </c>
      <c r="G972">
        <v>6466.6</v>
      </c>
      <c r="H972">
        <v>3771.97</v>
      </c>
      <c r="I972">
        <v>19034.52</v>
      </c>
      <c r="J972" t="s">
        <v>25</v>
      </c>
      <c r="K972" t="s">
        <v>33</v>
      </c>
      <c r="L972">
        <v>224657.18</v>
      </c>
      <c r="M972">
        <v>240</v>
      </c>
      <c r="N972">
        <v>1724.28</v>
      </c>
      <c r="O972">
        <v>6.87</v>
      </c>
      <c r="P972">
        <v>0.27</v>
      </c>
      <c r="Q972">
        <v>607</v>
      </c>
      <c r="R972">
        <v>0.25</v>
      </c>
      <c r="S972" t="s">
        <v>47</v>
      </c>
      <c r="T972" s="1">
        <v>45642</v>
      </c>
      <c r="U972">
        <v>0</v>
      </c>
    </row>
    <row r="973" spans="1:21" x14ac:dyDescent="0.25">
      <c r="A973" t="s">
        <v>1020</v>
      </c>
      <c r="B973">
        <v>64</v>
      </c>
      <c r="C973" t="s">
        <v>29</v>
      </c>
      <c r="D973" t="s">
        <v>35</v>
      </c>
      <c r="E973" t="s">
        <v>51</v>
      </c>
      <c r="F973" t="s">
        <v>44</v>
      </c>
      <c r="G973">
        <v>2253.85</v>
      </c>
      <c r="H973">
        <v>1606.27</v>
      </c>
      <c r="I973">
        <v>7911.55</v>
      </c>
      <c r="J973" t="s">
        <v>37</v>
      </c>
      <c r="K973" t="s">
        <v>38</v>
      </c>
      <c r="L973">
        <v>0</v>
      </c>
      <c r="M973">
        <v>0</v>
      </c>
      <c r="N973">
        <v>0</v>
      </c>
      <c r="O973">
        <v>0</v>
      </c>
      <c r="P973">
        <v>0</v>
      </c>
      <c r="Q973">
        <v>647</v>
      </c>
      <c r="R973">
        <v>0.28999999999999998</v>
      </c>
      <c r="S973" t="s">
        <v>30</v>
      </c>
      <c r="T973" s="1">
        <v>44680</v>
      </c>
      <c r="U973">
        <v>0</v>
      </c>
    </row>
    <row r="974" spans="1:21" x14ac:dyDescent="0.25">
      <c r="A974" t="s">
        <v>1021</v>
      </c>
      <c r="B974">
        <v>34</v>
      </c>
      <c r="C974" t="s">
        <v>21</v>
      </c>
      <c r="D974" t="s">
        <v>41</v>
      </c>
      <c r="E974" t="s">
        <v>31</v>
      </c>
      <c r="F974" t="s">
        <v>23</v>
      </c>
      <c r="G974">
        <v>4289.57</v>
      </c>
      <c r="H974">
        <v>3142.88</v>
      </c>
      <c r="I974">
        <v>41656.639999999999</v>
      </c>
      <c r="J974" t="s">
        <v>25</v>
      </c>
      <c r="K974" t="s">
        <v>33</v>
      </c>
      <c r="L974">
        <v>32667.07</v>
      </c>
      <c r="M974">
        <v>240</v>
      </c>
      <c r="N974">
        <v>603.52</v>
      </c>
      <c r="O974">
        <v>21.88</v>
      </c>
      <c r="P974">
        <v>0.14000000000000001</v>
      </c>
      <c r="Q974">
        <v>747</v>
      </c>
      <c r="R974">
        <v>0.81</v>
      </c>
      <c r="S974" t="s">
        <v>72</v>
      </c>
      <c r="T974" s="1">
        <v>44513</v>
      </c>
      <c r="U974">
        <v>0</v>
      </c>
    </row>
    <row r="975" spans="1:21" x14ac:dyDescent="0.25">
      <c r="A975" t="s">
        <v>1022</v>
      </c>
      <c r="B975">
        <v>31</v>
      </c>
      <c r="C975" t="s">
        <v>29</v>
      </c>
      <c r="D975" t="s">
        <v>41</v>
      </c>
      <c r="E975" t="s">
        <v>51</v>
      </c>
      <c r="F975" t="s">
        <v>36</v>
      </c>
      <c r="G975">
        <v>594.44000000000005</v>
      </c>
      <c r="H975">
        <v>253.34</v>
      </c>
      <c r="I975">
        <v>6753.6</v>
      </c>
      <c r="J975" t="s">
        <v>37</v>
      </c>
      <c r="K975" t="s">
        <v>38</v>
      </c>
      <c r="L975">
        <v>0</v>
      </c>
      <c r="M975">
        <v>0</v>
      </c>
      <c r="N975">
        <v>0</v>
      </c>
      <c r="O975">
        <v>0</v>
      </c>
      <c r="P975">
        <v>0</v>
      </c>
      <c r="Q975">
        <v>387</v>
      </c>
      <c r="R975">
        <v>0.95</v>
      </c>
      <c r="S975" t="s">
        <v>30</v>
      </c>
      <c r="T975" s="1">
        <v>44457</v>
      </c>
      <c r="U975">
        <v>0</v>
      </c>
    </row>
    <row r="976" spans="1:21" x14ac:dyDescent="0.25">
      <c r="A976" t="s">
        <v>1023</v>
      </c>
      <c r="B976">
        <v>64</v>
      </c>
      <c r="C976" t="s">
        <v>29</v>
      </c>
      <c r="D976" t="s">
        <v>41</v>
      </c>
      <c r="E976" t="s">
        <v>31</v>
      </c>
      <c r="F976" t="s">
        <v>32</v>
      </c>
      <c r="G976">
        <v>4698.29</v>
      </c>
      <c r="H976">
        <v>3381.07</v>
      </c>
      <c r="I976">
        <v>10597.72</v>
      </c>
      <c r="J976" t="s">
        <v>37</v>
      </c>
      <c r="K976" t="s">
        <v>38</v>
      </c>
      <c r="L976">
        <v>0</v>
      </c>
      <c r="M976">
        <v>0</v>
      </c>
      <c r="N976">
        <v>0</v>
      </c>
      <c r="O976">
        <v>0</v>
      </c>
      <c r="P976">
        <v>0</v>
      </c>
      <c r="Q976">
        <v>841</v>
      </c>
      <c r="R976">
        <v>0.19</v>
      </c>
      <c r="S976" t="s">
        <v>27</v>
      </c>
      <c r="T976" s="1">
        <v>45095</v>
      </c>
      <c r="U976">
        <v>0</v>
      </c>
    </row>
    <row r="977" spans="1:21" x14ac:dyDescent="0.25">
      <c r="A977" t="s">
        <v>1024</v>
      </c>
      <c r="B977">
        <v>65</v>
      </c>
      <c r="C977" t="s">
        <v>29</v>
      </c>
      <c r="D977" t="s">
        <v>35</v>
      </c>
      <c r="E977" t="s">
        <v>31</v>
      </c>
      <c r="F977" t="s">
        <v>52</v>
      </c>
      <c r="G977">
        <v>6108.03</v>
      </c>
      <c r="H977">
        <v>3944.63</v>
      </c>
      <c r="I977">
        <v>23271.8</v>
      </c>
      <c r="J977" t="s">
        <v>37</v>
      </c>
      <c r="K977" t="s">
        <v>38</v>
      </c>
      <c r="L977">
        <v>0</v>
      </c>
      <c r="M977">
        <v>0</v>
      </c>
      <c r="N977">
        <v>0</v>
      </c>
      <c r="O977">
        <v>0</v>
      </c>
      <c r="P977">
        <v>0</v>
      </c>
      <c r="Q977">
        <v>413</v>
      </c>
      <c r="R977">
        <v>0.32</v>
      </c>
      <c r="S977" t="s">
        <v>39</v>
      </c>
      <c r="T977" s="1">
        <v>45728</v>
      </c>
      <c r="U977">
        <v>0</v>
      </c>
    </row>
    <row r="978" spans="1:21" x14ac:dyDescent="0.25">
      <c r="A978" t="s">
        <v>1025</v>
      </c>
      <c r="B978">
        <v>31</v>
      </c>
      <c r="C978" t="s">
        <v>21</v>
      </c>
      <c r="D978" t="s">
        <v>22</v>
      </c>
      <c r="E978" t="s">
        <v>23</v>
      </c>
      <c r="F978" t="s">
        <v>42</v>
      </c>
      <c r="G978">
        <v>2548.87</v>
      </c>
      <c r="H978">
        <v>1014.91</v>
      </c>
      <c r="I978">
        <v>12389.77</v>
      </c>
      <c r="J978" t="s">
        <v>25</v>
      </c>
      <c r="K978" t="s">
        <v>54</v>
      </c>
      <c r="L978">
        <v>222574.83</v>
      </c>
      <c r="M978">
        <v>180</v>
      </c>
      <c r="N978">
        <v>3520.52</v>
      </c>
      <c r="O978">
        <v>17.600000000000001</v>
      </c>
      <c r="P978">
        <v>1.38</v>
      </c>
      <c r="Q978">
        <v>470</v>
      </c>
      <c r="R978">
        <v>0.41</v>
      </c>
      <c r="S978" t="s">
        <v>27</v>
      </c>
      <c r="T978" s="1">
        <v>45530</v>
      </c>
      <c r="U978">
        <v>1</v>
      </c>
    </row>
    <row r="979" spans="1:21" x14ac:dyDescent="0.25">
      <c r="A979" t="s">
        <v>1026</v>
      </c>
      <c r="B979">
        <v>45</v>
      </c>
      <c r="C979" t="s">
        <v>29</v>
      </c>
      <c r="D979" t="s">
        <v>22</v>
      </c>
      <c r="E979" t="s">
        <v>49</v>
      </c>
      <c r="F979" t="s">
        <v>52</v>
      </c>
      <c r="G979">
        <v>4207.97</v>
      </c>
      <c r="H979">
        <v>1815.62</v>
      </c>
      <c r="I979">
        <v>39356.68</v>
      </c>
      <c r="J979" t="s">
        <v>37</v>
      </c>
      <c r="K979" t="s">
        <v>38</v>
      </c>
      <c r="L979">
        <v>0</v>
      </c>
      <c r="M979">
        <v>0</v>
      </c>
      <c r="N979">
        <v>0</v>
      </c>
      <c r="O979">
        <v>0</v>
      </c>
      <c r="P979">
        <v>0</v>
      </c>
      <c r="Q979">
        <v>765</v>
      </c>
      <c r="R979">
        <v>0.78</v>
      </c>
      <c r="S979" t="s">
        <v>72</v>
      </c>
      <c r="T979" s="1">
        <v>45056</v>
      </c>
      <c r="U979">
        <v>0</v>
      </c>
    </row>
    <row r="980" spans="1:21" x14ac:dyDescent="0.25">
      <c r="A980" t="s">
        <v>1027</v>
      </c>
      <c r="B980">
        <v>60</v>
      </c>
      <c r="C980" t="s">
        <v>21</v>
      </c>
      <c r="D980" t="s">
        <v>22</v>
      </c>
      <c r="E980" t="s">
        <v>31</v>
      </c>
      <c r="F980" t="s">
        <v>24</v>
      </c>
      <c r="G980">
        <v>7198.45</v>
      </c>
      <c r="H980">
        <v>3010.33</v>
      </c>
      <c r="I980">
        <v>35368.53</v>
      </c>
      <c r="J980" t="s">
        <v>37</v>
      </c>
      <c r="K980" t="s">
        <v>38</v>
      </c>
      <c r="L980">
        <v>0</v>
      </c>
      <c r="M980">
        <v>0</v>
      </c>
      <c r="N980">
        <v>0</v>
      </c>
      <c r="O980">
        <v>0</v>
      </c>
      <c r="P980">
        <v>0</v>
      </c>
      <c r="Q980">
        <v>787</v>
      </c>
      <c r="R980">
        <v>0.41</v>
      </c>
      <c r="S980" t="s">
        <v>27</v>
      </c>
      <c r="T980" s="1">
        <v>45662</v>
      </c>
      <c r="U980">
        <v>0</v>
      </c>
    </row>
    <row r="981" spans="1:21" x14ac:dyDescent="0.25">
      <c r="A981" t="s">
        <v>1028</v>
      </c>
      <c r="B981">
        <v>32</v>
      </c>
      <c r="C981" t="s">
        <v>21</v>
      </c>
      <c r="D981" t="s">
        <v>41</v>
      </c>
      <c r="E981" t="s">
        <v>51</v>
      </c>
      <c r="F981" t="s">
        <v>32</v>
      </c>
      <c r="G981">
        <v>2739.62</v>
      </c>
      <c r="H981">
        <v>1910.52</v>
      </c>
      <c r="I981">
        <v>21234.97</v>
      </c>
      <c r="J981" t="s">
        <v>37</v>
      </c>
      <c r="K981" t="s">
        <v>38</v>
      </c>
      <c r="L981">
        <v>0</v>
      </c>
      <c r="M981">
        <v>0</v>
      </c>
      <c r="N981">
        <v>0</v>
      </c>
      <c r="O981">
        <v>0</v>
      </c>
      <c r="P981">
        <v>0</v>
      </c>
      <c r="Q981">
        <v>641</v>
      </c>
      <c r="R981">
        <v>0.65</v>
      </c>
      <c r="S981" t="s">
        <v>30</v>
      </c>
      <c r="T981" s="1">
        <v>45459</v>
      </c>
      <c r="U981">
        <v>0</v>
      </c>
    </row>
    <row r="982" spans="1:21" x14ac:dyDescent="0.25">
      <c r="A982" t="s">
        <v>1029</v>
      </c>
      <c r="B982">
        <v>37</v>
      </c>
      <c r="C982" t="s">
        <v>29</v>
      </c>
      <c r="D982" t="s">
        <v>35</v>
      </c>
      <c r="E982" t="s">
        <v>31</v>
      </c>
      <c r="F982" t="s">
        <v>23</v>
      </c>
      <c r="G982">
        <v>5182.55</v>
      </c>
      <c r="H982">
        <v>2804.2</v>
      </c>
      <c r="I982">
        <v>45149.93</v>
      </c>
      <c r="J982" t="s">
        <v>37</v>
      </c>
      <c r="K982" t="s">
        <v>38</v>
      </c>
      <c r="L982">
        <v>0</v>
      </c>
      <c r="M982">
        <v>0</v>
      </c>
      <c r="N982">
        <v>0</v>
      </c>
      <c r="O982">
        <v>0</v>
      </c>
      <c r="P982">
        <v>0</v>
      </c>
      <c r="Q982">
        <v>813</v>
      </c>
      <c r="R982">
        <v>0.73</v>
      </c>
      <c r="S982" t="s">
        <v>30</v>
      </c>
      <c r="T982" s="1">
        <v>44716</v>
      </c>
      <c r="U982">
        <v>0</v>
      </c>
    </row>
    <row r="983" spans="1:21" x14ac:dyDescent="0.25">
      <c r="A983" t="s">
        <v>1030</v>
      </c>
      <c r="B983">
        <v>21</v>
      </c>
      <c r="C983" t="s">
        <v>29</v>
      </c>
      <c r="D983" t="s">
        <v>35</v>
      </c>
      <c r="E983" t="s">
        <v>31</v>
      </c>
      <c r="F983" t="s">
        <v>49</v>
      </c>
      <c r="G983">
        <v>3545.74</v>
      </c>
      <c r="H983">
        <v>2683.24</v>
      </c>
      <c r="I983">
        <v>8648.8700000000008</v>
      </c>
      <c r="J983" t="s">
        <v>37</v>
      </c>
      <c r="K983" t="s">
        <v>38</v>
      </c>
      <c r="L983">
        <v>0</v>
      </c>
      <c r="M983">
        <v>0</v>
      </c>
      <c r="N983">
        <v>0</v>
      </c>
      <c r="O983">
        <v>0</v>
      </c>
      <c r="P983">
        <v>0</v>
      </c>
      <c r="Q983">
        <v>500</v>
      </c>
      <c r="R983">
        <v>0.2</v>
      </c>
      <c r="S983" t="s">
        <v>27</v>
      </c>
      <c r="T983" s="1">
        <v>45710</v>
      </c>
      <c r="U983">
        <v>0</v>
      </c>
    </row>
    <row r="984" spans="1:21" x14ac:dyDescent="0.25">
      <c r="A984" t="s">
        <v>1031</v>
      </c>
      <c r="B984">
        <v>64</v>
      </c>
      <c r="C984" t="s">
        <v>29</v>
      </c>
      <c r="D984" t="s">
        <v>22</v>
      </c>
      <c r="E984" t="s">
        <v>31</v>
      </c>
      <c r="F984" t="s">
        <v>49</v>
      </c>
      <c r="G984">
        <v>3401.32</v>
      </c>
      <c r="H984">
        <v>2434.87</v>
      </c>
      <c r="I984">
        <v>26903.5</v>
      </c>
      <c r="J984" t="s">
        <v>37</v>
      </c>
      <c r="K984" t="s">
        <v>38</v>
      </c>
      <c r="L984">
        <v>0</v>
      </c>
      <c r="M984">
        <v>0</v>
      </c>
      <c r="N984">
        <v>0</v>
      </c>
      <c r="O984">
        <v>0</v>
      </c>
      <c r="P984">
        <v>0</v>
      </c>
      <c r="Q984">
        <v>618</v>
      </c>
      <c r="R984">
        <v>0.66</v>
      </c>
      <c r="S984" t="s">
        <v>27</v>
      </c>
      <c r="T984" s="1">
        <v>44645</v>
      </c>
      <c r="U984">
        <v>0</v>
      </c>
    </row>
    <row r="985" spans="1:21" x14ac:dyDescent="0.25">
      <c r="A985" t="s">
        <v>1032</v>
      </c>
      <c r="B985">
        <v>64</v>
      </c>
      <c r="C985" t="s">
        <v>29</v>
      </c>
      <c r="D985" t="s">
        <v>22</v>
      </c>
      <c r="E985" t="s">
        <v>23</v>
      </c>
      <c r="F985" t="s">
        <v>32</v>
      </c>
      <c r="G985">
        <v>3619.56</v>
      </c>
      <c r="H985">
        <v>1628.22</v>
      </c>
      <c r="I985">
        <v>8047.97</v>
      </c>
      <c r="J985" t="s">
        <v>37</v>
      </c>
      <c r="K985" t="s">
        <v>38</v>
      </c>
      <c r="L985">
        <v>0</v>
      </c>
      <c r="M985">
        <v>0</v>
      </c>
      <c r="N985">
        <v>0</v>
      </c>
      <c r="O985">
        <v>0</v>
      </c>
      <c r="P985">
        <v>0</v>
      </c>
      <c r="Q985">
        <v>309</v>
      </c>
      <c r="R985">
        <v>0.19</v>
      </c>
      <c r="S985" t="s">
        <v>30</v>
      </c>
      <c r="T985" s="1">
        <v>45653</v>
      </c>
      <c r="U985">
        <v>0</v>
      </c>
    </row>
    <row r="986" spans="1:21" x14ac:dyDescent="0.25">
      <c r="A986" t="s">
        <v>1033</v>
      </c>
      <c r="B986">
        <v>39</v>
      </c>
      <c r="C986" t="s">
        <v>29</v>
      </c>
      <c r="D986" t="s">
        <v>22</v>
      </c>
      <c r="E986" t="s">
        <v>31</v>
      </c>
      <c r="F986" t="s">
        <v>23</v>
      </c>
      <c r="G986">
        <v>5238.5200000000004</v>
      </c>
      <c r="H986">
        <v>3694.72</v>
      </c>
      <c r="I986">
        <v>26645.02</v>
      </c>
      <c r="J986" t="s">
        <v>37</v>
      </c>
      <c r="K986" t="s">
        <v>38</v>
      </c>
      <c r="L986">
        <v>0</v>
      </c>
      <c r="M986">
        <v>0</v>
      </c>
      <c r="N986">
        <v>0</v>
      </c>
      <c r="O986">
        <v>0</v>
      </c>
      <c r="P986">
        <v>0</v>
      </c>
      <c r="Q986">
        <v>767</v>
      </c>
      <c r="R986">
        <v>0.42</v>
      </c>
      <c r="S986" t="s">
        <v>47</v>
      </c>
      <c r="T986" s="1">
        <v>44550</v>
      </c>
      <c r="U986">
        <v>0</v>
      </c>
    </row>
    <row r="987" spans="1:21" x14ac:dyDescent="0.25">
      <c r="A987" t="s">
        <v>1034</v>
      </c>
      <c r="B987">
        <v>35</v>
      </c>
      <c r="C987" t="s">
        <v>29</v>
      </c>
      <c r="D987" t="s">
        <v>41</v>
      </c>
      <c r="E987" t="s">
        <v>31</v>
      </c>
      <c r="F987" t="s">
        <v>32</v>
      </c>
      <c r="G987">
        <v>500</v>
      </c>
      <c r="H987">
        <v>324.22000000000003</v>
      </c>
      <c r="I987">
        <v>3823.53</v>
      </c>
      <c r="J987" t="s">
        <v>37</v>
      </c>
      <c r="K987" t="s">
        <v>38</v>
      </c>
      <c r="L987">
        <v>0</v>
      </c>
      <c r="M987">
        <v>0</v>
      </c>
      <c r="N987">
        <v>0</v>
      </c>
      <c r="O987">
        <v>0</v>
      </c>
      <c r="P987">
        <v>0</v>
      </c>
      <c r="Q987">
        <v>734</v>
      </c>
      <c r="R987">
        <v>0.64</v>
      </c>
      <c r="S987" t="s">
        <v>27</v>
      </c>
      <c r="T987" s="1">
        <v>45745</v>
      </c>
      <c r="U987">
        <v>0</v>
      </c>
    </row>
    <row r="988" spans="1:21" x14ac:dyDescent="0.25">
      <c r="A988" t="s">
        <v>1035</v>
      </c>
      <c r="B988">
        <v>24</v>
      </c>
      <c r="C988" t="s">
        <v>21</v>
      </c>
      <c r="D988" t="s">
        <v>41</v>
      </c>
      <c r="E988" t="s">
        <v>23</v>
      </c>
      <c r="F988" t="s">
        <v>44</v>
      </c>
      <c r="G988">
        <v>2309.13</v>
      </c>
      <c r="H988">
        <v>1347.85</v>
      </c>
      <c r="I988">
        <v>7643.38</v>
      </c>
      <c r="J988" t="s">
        <v>37</v>
      </c>
      <c r="K988" t="s">
        <v>38</v>
      </c>
      <c r="L988">
        <v>0</v>
      </c>
      <c r="M988">
        <v>0</v>
      </c>
      <c r="N988">
        <v>0</v>
      </c>
      <c r="O988">
        <v>0</v>
      </c>
      <c r="P988">
        <v>0</v>
      </c>
      <c r="Q988">
        <v>583</v>
      </c>
      <c r="R988">
        <v>0.28000000000000003</v>
      </c>
      <c r="S988" t="s">
        <v>47</v>
      </c>
      <c r="T988" s="1">
        <v>44622</v>
      </c>
      <c r="U988">
        <v>0</v>
      </c>
    </row>
    <row r="989" spans="1:21" x14ac:dyDescent="0.25">
      <c r="A989" t="s">
        <v>1036</v>
      </c>
      <c r="B989">
        <v>61</v>
      </c>
      <c r="C989" t="s">
        <v>29</v>
      </c>
      <c r="D989" t="s">
        <v>41</v>
      </c>
      <c r="E989" t="s">
        <v>51</v>
      </c>
      <c r="F989" t="s">
        <v>23</v>
      </c>
      <c r="G989">
        <v>4244.45</v>
      </c>
      <c r="H989">
        <v>2469.94</v>
      </c>
      <c r="I989">
        <v>39452.61</v>
      </c>
      <c r="J989" t="s">
        <v>25</v>
      </c>
      <c r="K989" t="s">
        <v>26</v>
      </c>
      <c r="L989">
        <v>106032.69</v>
      </c>
      <c r="M989">
        <v>120</v>
      </c>
      <c r="N989">
        <v>2599.17</v>
      </c>
      <c r="O989">
        <v>27.47</v>
      </c>
      <c r="P989">
        <v>0.61</v>
      </c>
      <c r="Q989">
        <v>577</v>
      </c>
      <c r="R989">
        <v>0.77</v>
      </c>
      <c r="S989" t="s">
        <v>72</v>
      </c>
      <c r="T989" s="1">
        <v>44689</v>
      </c>
      <c r="U989">
        <v>1</v>
      </c>
    </row>
    <row r="990" spans="1:21" x14ac:dyDescent="0.25">
      <c r="A990" t="s">
        <v>1037</v>
      </c>
      <c r="B990">
        <v>20</v>
      </c>
      <c r="C990" t="s">
        <v>21</v>
      </c>
      <c r="D990" t="s">
        <v>41</v>
      </c>
      <c r="E990" t="s">
        <v>51</v>
      </c>
      <c r="F990" t="s">
        <v>49</v>
      </c>
      <c r="G990">
        <v>3693.77</v>
      </c>
      <c r="H990">
        <v>2835.02</v>
      </c>
      <c r="I990">
        <v>38741.86</v>
      </c>
      <c r="J990" t="s">
        <v>37</v>
      </c>
      <c r="K990" t="s">
        <v>38</v>
      </c>
      <c r="L990">
        <v>0</v>
      </c>
      <c r="M990">
        <v>0</v>
      </c>
      <c r="N990">
        <v>0</v>
      </c>
      <c r="O990">
        <v>0</v>
      </c>
      <c r="P990">
        <v>0</v>
      </c>
      <c r="Q990">
        <v>589</v>
      </c>
      <c r="R990">
        <v>0.87</v>
      </c>
      <c r="S990" t="s">
        <v>47</v>
      </c>
      <c r="T990" s="1">
        <v>45006</v>
      </c>
      <c r="U990">
        <v>0</v>
      </c>
    </row>
    <row r="991" spans="1:21" x14ac:dyDescent="0.25">
      <c r="A991" t="s">
        <v>1038</v>
      </c>
      <c r="B991">
        <v>39</v>
      </c>
      <c r="C991" t="s">
        <v>21</v>
      </c>
      <c r="D991" t="s">
        <v>35</v>
      </c>
      <c r="E991" t="s">
        <v>31</v>
      </c>
      <c r="F991" t="s">
        <v>23</v>
      </c>
      <c r="G991">
        <v>7769.95</v>
      </c>
      <c r="H991">
        <v>5235.95</v>
      </c>
      <c r="I991">
        <v>74701.039999999994</v>
      </c>
      <c r="J991" t="s">
        <v>37</v>
      </c>
      <c r="K991" t="s">
        <v>38</v>
      </c>
      <c r="L991">
        <v>0</v>
      </c>
      <c r="M991">
        <v>0</v>
      </c>
      <c r="N991">
        <v>0</v>
      </c>
      <c r="O991">
        <v>0</v>
      </c>
      <c r="P991">
        <v>0</v>
      </c>
      <c r="Q991">
        <v>435</v>
      </c>
      <c r="R991">
        <v>0.8</v>
      </c>
      <c r="S991" t="s">
        <v>47</v>
      </c>
      <c r="T991" s="1">
        <v>44671</v>
      </c>
      <c r="U991">
        <v>0</v>
      </c>
    </row>
    <row r="992" spans="1:21" x14ac:dyDescent="0.25">
      <c r="A992" t="s">
        <v>1039</v>
      </c>
      <c r="B992">
        <v>64</v>
      </c>
      <c r="C992" t="s">
        <v>29</v>
      </c>
      <c r="D992" t="s">
        <v>41</v>
      </c>
      <c r="E992" t="s">
        <v>31</v>
      </c>
      <c r="F992" t="s">
        <v>49</v>
      </c>
      <c r="G992">
        <v>3178.88</v>
      </c>
      <c r="H992">
        <v>1481.85</v>
      </c>
      <c r="I992">
        <v>27361.31</v>
      </c>
      <c r="J992" t="s">
        <v>25</v>
      </c>
      <c r="K992" t="s">
        <v>26</v>
      </c>
      <c r="L992">
        <v>422944.39</v>
      </c>
      <c r="M992">
        <v>300</v>
      </c>
      <c r="N992">
        <v>4693.8500000000004</v>
      </c>
      <c r="O992">
        <v>12.76</v>
      </c>
      <c r="P992">
        <v>1.48</v>
      </c>
      <c r="Q992">
        <v>350</v>
      </c>
      <c r="R992">
        <v>0.72</v>
      </c>
      <c r="S992" t="s">
        <v>27</v>
      </c>
      <c r="T992" s="1">
        <v>45381</v>
      </c>
      <c r="U992">
        <v>1</v>
      </c>
    </row>
    <row r="993" spans="1:21" x14ac:dyDescent="0.25">
      <c r="A993" t="s">
        <v>1040</v>
      </c>
      <c r="B993">
        <v>19</v>
      </c>
      <c r="C993" t="s">
        <v>21</v>
      </c>
      <c r="D993" t="s">
        <v>22</v>
      </c>
      <c r="E993" t="s">
        <v>31</v>
      </c>
      <c r="F993" t="s">
        <v>32</v>
      </c>
      <c r="G993">
        <v>4269.5200000000004</v>
      </c>
      <c r="H993">
        <v>2249.6</v>
      </c>
      <c r="I993">
        <v>43970.38</v>
      </c>
      <c r="J993" t="s">
        <v>37</v>
      </c>
      <c r="K993" t="s">
        <v>38</v>
      </c>
      <c r="L993">
        <v>0</v>
      </c>
      <c r="M993">
        <v>0</v>
      </c>
      <c r="N993">
        <v>0</v>
      </c>
      <c r="O993">
        <v>0</v>
      </c>
      <c r="P993">
        <v>0</v>
      </c>
      <c r="Q993">
        <v>778</v>
      </c>
      <c r="R993">
        <v>0.86</v>
      </c>
      <c r="S993" t="s">
        <v>72</v>
      </c>
      <c r="T993" s="1">
        <v>45677</v>
      </c>
      <c r="U993">
        <v>0</v>
      </c>
    </row>
    <row r="994" spans="1:21" x14ac:dyDescent="0.25">
      <c r="A994" t="s">
        <v>1041</v>
      </c>
      <c r="B994">
        <v>51</v>
      </c>
      <c r="C994" t="s">
        <v>29</v>
      </c>
      <c r="D994" t="s">
        <v>56</v>
      </c>
      <c r="E994" t="s">
        <v>31</v>
      </c>
      <c r="F994" t="s">
        <v>23</v>
      </c>
      <c r="G994">
        <v>7621.8</v>
      </c>
      <c r="H994">
        <v>4242.21</v>
      </c>
      <c r="I994">
        <v>76756.639999999999</v>
      </c>
      <c r="J994" t="s">
        <v>37</v>
      </c>
      <c r="K994" t="s">
        <v>38</v>
      </c>
      <c r="L994">
        <v>0</v>
      </c>
      <c r="M994">
        <v>0</v>
      </c>
      <c r="N994">
        <v>0</v>
      </c>
      <c r="O994">
        <v>0</v>
      </c>
      <c r="P994">
        <v>0</v>
      </c>
      <c r="Q994">
        <v>398</v>
      </c>
      <c r="R994">
        <v>0.84</v>
      </c>
      <c r="S994" t="s">
        <v>47</v>
      </c>
      <c r="T994" s="1">
        <v>45033</v>
      </c>
      <c r="U994">
        <v>0</v>
      </c>
    </row>
    <row r="995" spans="1:21" x14ac:dyDescent="0.25">
      <c r="A995" t="s">
        <v>1042</v>
      </c>
      <c r="B995">
        <v>46</v>
      </c>
      <c r="C995" t="s">
        <v>21</v>
      </c>
      <c r="D995" t="s">
        <v>56</v>
      </c>
      <c r="E995" t="s">
        <v>31</v>
      </c>
      <c r="F995" t="s">
        <v>42</v>
      </c>
      <c r="G995">
        <v>3693.43</v>
      </c>
      <c r="H995">
        <v>2416.79</v>
      </c>
      <c r="I995">
        <v>24218.05</v>
      </c>
      <c r="J995" t="s">
        <v>37</v>
      </c>
      <c r="K995" t="s">
        <v>38</v>
      </c>
      <c r="L995">
        <v>0</v>
      </c>
      <c r="M995">
        <v>0</v>
      </c>
      <c r="N995">
        <v>0</v>
      </c>
      <c r="O995">
        <v>0</v>
      </c>
      <c r="P995">
        <v>0</v>
      </c>
      <c r="Q995">
        <v>582</v>
      </c>
      <c r="R995">
        <v>0.55000000000000004</v>
      </c>
      <c r="S995" t="s">
        <v>27</v>
      </c>
      <c r="T995" s="1">
        <v>44413</v>
      </c>
      <c r="U995">
        <v>0</v>
      </c>
    </row>
    <row r="996" spans="1:21" x14ac:dyDescent="0.25">
      <c r="A996" t="s">
        <v>1043</v>
      </c>
      <c r="B996">
        <v>40</v>
      </c>
      <c r="C996" t="s">
        <v>21</v>
      </c>
      <c r="D996" t="s">
        <v>35</v>
      </c>
      <c r="E996" t="s">
        <v>31</v>
      </c>
      <c r="F996" t="s">
        <v>42</v>
      </c>
      <c r="G996">
        <v>500</v>
      </c>
      <c r="H996">
        <v>231.74</v>
      </c>
      <c r="I996">
        <v>5514.98</v>
      </c>
      <c r="J996" t="s">
        <v>25</v>
      </c>
      <c r="K996" t="s">
        <v>54</v>
      </c>
      <c r="L996">
        <v>71192.11</v>
      </c>
      <c r="M996">
        <v>240</v>
      </c>
      <c r="N996">
        <v>456.57</v>
      </c>
      <c r="O996">
        <v>4.66</v>
      </c>
      <c r="P996">
        <v>0.91</v>
      </c>
      <c r="Q996">
        <v>455</v>
      </c>
      <c r="R996">
        <v>0.92</v>
      </c>
      <c r="S996" t="s">
        <v>47</v>
      </c>
      <c r="T996" s="1">
        <v>45167</v>
      </c>
      <c r="U996">
        <v>1</v>
      </c>
    </row>
    <row r="997" spans="1:21" x14ac:dyDescent="0.25">
      <c r="A997" t="s">
        <v>1044</v>
      </c>
      <c r="B997">
        <v>44</v>
      </c>
      <c r="C997" t="s">
        <v>30</v>
      </c>
      <c r="D997" t="s">
        <v>35</v>
      </c>
      <c r="E997" t="s">
        <v>31</v>
      </c>
      <c r="F997" t="s">
        <v>42</v>
      </c>
      <c r="G997">
        <v>1425.99</v>
      </c>
      <c r="H997">
        <v>855.37</v>
      </c>
      <c r="I997">
        <v>7383.62</v>
      </c>
      <c r="J997" t="s">
        <v>37</v>
      </c>
      <c r="K997" t="s">
        <v>38</v>
      </c>
      <c r="L997">
        <v>0</v>
      </c>
      <c r="M997">
        <v>0</v>
      </c>
      <c r="N997">
        <v>0</v>
      </c>
      <c r="O997">
        <v>0</v>
      </c>
      <c r="P997">
        <v>0</v>
      </c>
      <c r="Q997">
        <v>608</v>
      </c>
      <c r="R997">
        <v>0.43</v>
      </c>
      <c r="S997" t="s">
        <v>30</v>
      </c>
      <c r="T997" s="1">
        <v>44626</v>
      </c>
      <c r="U997">
        <v>0</v>
      </c>
    </row>
    <row r="998" spans="1:21" x14ac:dyDescent="0.25">
      <c r="A998" t="s">
        <v>1045</v>
      </c>
      <c r="B998">
        <v>37</v>
      </c>
      <c r="C998" t="s">
        <v>29</v>
      </c>
      <c r="D998" t="s">
        <v>41</v>
      </c>
      <c r="E998" t="s">
        <v>51</v>
      </c>
      <c r="F998" t="s">
        <v>32</v>
      </c>
      <c r="G998">
        <v>5798.32</v>
      </c>
      <c r="H998">
        <v>2562.33</v>
      </c>
      <c r="I998">
        <v>14549.03</v>
      </c>
      <c r="J998" t="s">
        <v>37</v>
      </c>
      <c r="K998" t="s">
        <v>38</v>
      </c>
      <c r="L998">
        <v>0</v>
      </c>
      <c r="M998">
        <v>0</v>
      </c>
      <c r="N998">
        <v>0</v>
      </c>
      <c r="O998">
        <v>0</v>
      </c>
      <c r="P998">
        <v>0</v>
      </c>
      <c r="Q998">
        <v>559</v>
      </c>
      <c r="R998">
        <v>0.21</v>
      </c>
      <c r="S998" t="s">
        <v>47</v>
      </c>
      <c r="T998" s="1">
        <v>44926</v>
      </c>
      <c r="U998">
        <v>0</v>
      </c>
    </row>
    <row r="999" spans="1:21" x14ac:dyDescent="0.25">
      <c r="A999" t="s">
        <v>1046</v>
      </c>
      <c r="B999">
        <v>48</v>
      </c>
      <c r="C999" t="s">
        <v>29</v>
      </c>
      <c r="D999" t="s">
        <v>35</v>
      </c>
      <c r="E999" t="s">
        <v>51</v>
      </c>
      <c r="F999" t="s">
        <v>52</v>
      </c>
      <c r="G999">
        <v>2768.41</v>
      </c>
      <c r="H999">
        <v>923.48</v>
      </c>
      <c r="I999">
        <v>12021.98</v>
      </c>
      <c r="J999" t="s">
        <v>37</v>
      </c>
      <c r="K999" t="s">
        <v>38</v>
      </c>
      <c r="L999">
        <v>0</v>
      </c>
      <c r="M999">
        <v>0</v>
      </c>
      <c r="N999">
        <v>0</v>
      </c>
      <c r="O999">
        <v>0</v>
      </c>
      <c r="P999">
        <v>0</v>
      </c>
      <c r="Q999">
        <v>493</v>
      </c>
      <c r="R999">
        <v>0.36</v>
      </c>
      <c r="S999" t="s">
        <v>72</v>
      </c>
      <c r="T999" s="1">
        <v>45309</v>
      </c>
      <c r="U999">
        <v>0</v>
      </c>
    </row>
    <row r="1000" spans="1:21" x14ac:dyDescent="0.25">
      <c r="A1000" t="s">
        <v>1047</v>
      </c>
      <c r="B1000">
        <v>36</v>
      </c>
      <c r="C1000" t="s">
        <v>29</v>
      </c>
      <c r="D1000" t="s">
        <v>22</v>
      </c>
      <c r="E1000" t="s">
        <v>31</v>
      </c>
      <c r="F1000" t="s">
        <v>23</v>
      </c>
      <c r="G1000">
        <v>2816.56</v>
      </c>
      <c r="H1000">
        <v>1918.06</v>
      </c>
      <c r="I1000">
        <v>23826.53</v>
      </c>
      <c r="J1000" t="s">
        <v>25</v>
      </c>
      <c r="K1000" t="s">
        <v>54</v>
      </c>
      <c r="L1000">
        <v>24769.49</v>
      </c>
      <c r="M1000">
        <v>60</v>
      </c>
      <c r="N1000">
        <v>663.7</v>
      </c>
      <c r="O1000">
        <v>20.54</v>
      </c>
      <c r="P1000">
        <v>0.24</v>
      </c>
      <c r="Q1000">
        <v>685</v>
      </c>
      <c r="R1000">
        <v>0.7</v>
      </c>
      <c r="S1000" t="s">
        <v>27</v>
      </c>
      <c r="T1000" s="1">
        <v>45155</v>
      </c>
      <c r="U1000">
        <v>0</v>
      </c>
    </row>
    <row r="1001" spans="1:21" x14ac:dyDescent="0.25">
      <c r="A1001" t="s">
        <v>1048</v>
      </c>
      <c r="B1001">
        <v>38</v>
      </c>
      <c r="C1001" t="s">
        <v>29</v>
      </c>
      <c r="D1001" t="s">
        <v>35</v>
      </c>
      <c r="E1001" t="s">
        <v>31</v>
      </c>
      <c r="F1001" t="s">
        <v>52</v>
      </c>
      <c r="G1001">
        <v>5813.8</v>
      </c>
      <c r="H1001">
        <v>4031.79</v>
      </c>
      <c r="I1001">
        <v>52078.41</v>
      </c>
      <c r="J1001" t="s">
        <v>25</v>
      </c>
      <c r="K1001" t="s">
        <v>26</v>
      </c>
      <c r="L1001">
        <v>177763</v>
      </c>
      <c r="M1001">
        <v>360</v>
      </c>
      <c r="N1001">
        <v>4197.63</v>
      </c>
      <c r="O1001">
        <v>28.33</v>
      </c>
      <c r="P1001">
        <v>0.72</v>
      </c>
      <c r="Q1001">
        <v>497</v>
      </c>
      <c r="R1001">
        <v>0.75</v>
      </c>
      <c r="S1001" t="s">
        <v>39</v>
      </c>
      <c r="T1001" s="1">
        <v>44945</v>
      </c>
      <c r="U1001">
        <v>1</v>
      </c>
    </row>
    <row r="1002" spans="1:21" x14ac:dyDescent="0.25">
      <c r="A1002" t="s">
        <v>1049</v>
      </c>
      <c r="B1002">
        <v>47</v>
      </c>
      <c r="C1002" t="s">
        <v>21</v>
      </c>
      <c r="D1002" t="s">
        <v>41</v>
      </c>
      <c r="E1002" t="s">
        <v>31</v>
      </c>
      <c r="F1002" t="s">
        <v>44</v>
      </c>
      <c r="G1002">
        <v>5963.37</v>
      </c>
      <c r="H1002">
        <v>3845.18</v>
      </c>
      <c r="I1002">
        <v>18980.400000000001</v>
      </c>
      <c r="J1002" t="s">
        <v>25</v>
      </c>
      <c r="K1002" t="s">
        <v>45</v>
      </c>
      <c r="L1002">
        <v>465815.14</v>
      </c>
      <c r="M1002">
        <v>180</v>
      </c>
      <c r="N1002">
        <v>4435.45</v>
      </c>
      <c r="O1002">
        <v>7.94</v>
      </c>
      <c r="P1002">
        <v>0.74</v>
      </c>
      <c r="Q1002">
        <v>800</v>
      </c>
      <c r="R1002">
        <v>0.27</v>
      </c>
      <c r="S1002" t="s">
        <v>30</v>
      </c>
      <c r="T1002" s="1">
        <v>45697</v>
      </c>
      <c r="U1002">
        <v>1</v>
      </c>
    </row>
    <row r="1003" spans="1:21" x14ac:dyDescent="0.25">
      <c r="A1003" t="s">
        <v>1050</v>
      </c>
      <c r="B1003">
        <v>41</v>
      </c>
      <c r="C1003" t="s">
        <v>21</v>
      </c>
      <c r="D1003" t="s">
        <v>35</v>
      </c>
      <c r="E1003" t="s">
        <v>31</v>
      </c>
      <c r="F1003" t="s">
        <v>36</v>
      </c>
      <c r="G1003">
        <v>4873.05</v>
      </c>
      <c r="H1003">
        <v>4321.74</v>
      </c>
      <c r="I1003">
        <v>8330.34</v>
      </c>
      <c r="J1003" t="s">
        <v>37</v>
      </c>
      <c r="K1003" t="s">
        <v>38</v>
      </c>
      <c r="L1003">
        <v>0</v>
      </c>
      <c r="M1003">
        <v>0</v>
      </c>
      <c r="N1003">
        <v>0</v>
      </c>
      <c r="O1003">
        <v>0</v>
      </c>
      <c r="P1003">
        <v>0</v>
      </c>
      <c r="Q1003">
        <v>507</v>
      </c>
      <c r="R1003">
        <v>0.14000000000000001</v>
      </c>
      <c r="S1003" t="s">
        <v>27</v>
      </c>
      <c r="T1003" s="1">
        <v>45590</v>
      </c>
      <c r="U1003">
        <v>0</v>
      </c>
    </row>
    <row r="1004" spans="1:21" x14ac:dyDescent="0.25">
      <c r="A1004" t="s">
        <v>1051</v>
      </c>
      <c r="B1004">
        <v>26</v>
      </c>
      <c r="C1004" t="s">
        <v>29</v>
      </c>
      <c r="D1004" t="s">
        <v>41</v>
      </c>
      <c r="E1004" t="s">
        <v>31</v>
      </c>
      <c r="F1004" t="s">
        <v>52</v>
      </c>
      <c r="G1004">
        <v>1524.44</v>
      </c>
      <c r="H1004">
        <v>975.87</v>
      </c>
      <c r="I1004">
        <v>13312.14</v>
      </c>
      <c r="J1004" t="s">
        <v>25</v>
      </c>
      <c r="K1004" t="s">
        <v>26</v>
      </c>
      <c r="L1004">
        <v>243093.54</v>
      </c>
      <c r="M1004">
        <v>360</v>
      </c>
      <c r="N1004">
        <v>2205.52</v>
      </c>
      <c r="O1004">
        <v>10.4</v>
      </c>
      <c r="P1004">
        <v>1.45</v>
      </c>
      <c r="Q1004">
        <v>392</v>
      </c>
      <c r="R1004">
        <v>0.73</v>
      </c>
      <c r="S1004" t="s">
        <v>47</v>
      </c>
      <c r="T1004" s="1">
        <v>45019</v>
      </c>
      <c r="U1004">
        <v>1</v>
      </c>
    </row>
    <row r="1005" spans="1:21" x14ac:dyDescent="0.25">
      <c r="A1005" t="s">
        <v>1052</v>
      </c>
      <c r="B1005">
        <v>20</v>
      </c>
      <c r="C1005" t="s">
        <v>29</v>
      </c>
      <c r="D1005" t="s">
        <v>41</v>
      </c>
      <c r="E1005" t="s">
        <v>51</v>
      </c>
      <c r="F1005" t="s">
        <v>24</v>
      </c>
      <c r="G1005">
        <v>5749.64</v>
      </c>
      <c r="H1005">
        <v>3116.31</v>
      </c>
      <c r="I1005">
        <v>67911.210000000006</v>
      </c>
      <c r="J1005" t="s">
        <v>37</v>
      </c>
      <c r="K1005" t="s">
        <v>38</v>
      </c>
      <c r="L1005">
        <v>0</v>
      </c>
      <c r="M1005">
        <v>0</v>
      </c>
      <c r="N1005">
        <v>0</v>
      </c>
      <c r="O1005">
        <v>0</v>
      </c>
      <c r="P1005">
        <v>0</v>
      </c>
      <c r="Q1005">
        <v>774</v>
      </c>
      <c r="R1005">
        <v>0.98</v>
      </c>
      <c r="S1005" t="s">
        <v>27</v>
      </c>
      <c r="T1005" s="1">
        <v>45006</v>
      </c>
      <c r="U1005">
        <v>0</v>
      </c>
    </row>
    <row r="1006" spans="1:21" x14ac:dyDescent="0.25">
      <c r="A1006" t="s">
        <v>1053</v>
      </c>
      <c r="B1006">
        <v>28</v>
      </c>
      <c r="C1006" t="s">
        <v>21</v>
      </c>
      <c r="D1006" t="s">
        <v>35</v>
      </c>
      <c r="E1006" t="s">
        <v>31</v>
      </c>
      <c r="F1006" t="s">
        <v>44</v>
      </c>
      <c r="G1006">
        <v>5609.24</v>
      </c>
      <c r="H1006">
        <v>4350.83</v>
      </c>
      <c r="I1006">
        <v>35609.29</v>
      </c>
      <c r="J1006" t="s">
        <v>37</v>
      </c>
      <c r="K1006" t="s">
        <v>38</v>
      </c>
      <c r="L1006">
        <v>0</v>
      </c>
      <c r="M1006">
        <v>0</v>
      </c>
      <c r="N1006">
        <v>0</v>
      </c>
      <c r="O1006">
        <v>0</v>
      </c>
      <c r="P1006">
        <v>0</v>
      </c>
      <c r="Q1006">
        <v>598</v>
      </c>
      <c r="R1006">
        <v>0.53</v>
      </c>
      <c r="S1006" t="s">
        <v>27</v>
      </c>
      <c r="T1006" s="1">
        <v>45634</v>
      </c>
      <c r="U1006">
        <v>0</v>
      </c>
    </row>
    <row r="1007" spans="1:21" x14ac:dyDescent="0.25">
      <c r="A1007" t="s">
        <v>1054</v>
      </c>
      <c r="B1007">
        <v>49</v>
      </c>
      <c r="C1007" t="s">
        <v>29</v>
      </c>
      <c r="D1007" t="s">
        <v>35</v>
      </c>
      <c r="E1007" t="s">
        <v>31</v>
      </c>
      <c r="F1007" t="s">
        <v>23</v>
      </c>
      <c r="G1007">
        <v>4673.3500000000004</v>
      </c>
      <c r="H1007">
        <v>2090.4499999999998</v>
      </c>
      <c r="I1007">
        <v>7153.73</v>
      </c>
      <c r="J1007" t="s">
        <v>37</v>
      </c>
      <c r="K1007" t="s">
        <v>38</v>
      </c>
      <c r="L1007">
        <v>0</v>
      </c>
      <c r="M1007">
        <v>0</v>
      </c>
      <c r="N1007">
        <v>0</v>
      </c>
      <c r="O1007">
        <v>0</v>
      </c>
      <c r="P1007">
        <v>0</v>
      </c>
      <c r="Q1007">
        <v>539</v>
      </c>
      <c r="R1007">
        <v>0.13</v>
      </c>
      <c r="S1007" t="s">
        <v>39</v>
      </c>
      <c r="T1007" s="1">
        <v>44697</v>
      </c>
      <c r="U1007">
        <v>0</v>
      </c>
    </row>
    <row r="1008" spans="1:21" x14ac:dyDescent="0.25">
      <c r="A1008" t="s">
        <v>1055</v>
      </c>
      <c r="B1008">
        <v>35</v>
      </c>
      <c r="C1008" t="s">
        <v>29</v>
      </c>
      <c r="D1008" t="s">
        <v>35</v>
      </c>
      <c r="E1008" t="s">
        <v>31</v>
      </c>
      <c r="F1008" t="s">
        <v>42</v>
      </c>
      <c r="G1008">
        <v>3266.31</v>
      </c>
      <c r="H1008">
        <v>2794.34</v>
      </c>
      <c r="I1008">
        <v>18296.560000000001</v>
      </c>
      <c r="J1008" t="s">
        <v>25</v>
      </c>
      <c r="K1008" t="s">
        <v>26</v>
      </c>
      <c r="L1008">
        <v>379207.07</v>
      </c>
      <c r="M1008">
        <v>300</v>
      </c>
      <c r="N1008">
        <v>5627.06</v>
      </c>
      <c r="O1008">
        <v>17.579999999999998</v>
      </c>
      <c r="P1008">
        <v>1.72</v>
      </c>
      <c r="Q1008">
        <v>543</v>
      </c>
      <c r="R1008">
        <v>0.47</v>
      </c>
      <c r="S1008" t="s">
        <v>27</v>
      </c>
      <c r="T1008" s="1">
        <v>44796</v>
      </c>
      <c r="U1008">
        <v>1</v>
      </c>
    </row>
    <row r="1009" spans="1:21" x14ac:dyDescent="0.25">
      <c r="A1009" t="s">
        <v>1056</v>
      </c>
      <c r="B1009">
        <v>29</v>
      </c>
      <c r="C1009" t="s">
        <v>29</v>
      </c>
      <c r="D1009" t="s">
        <v>22</v>
      </c>
      <c r="E1009" t="s">
        <v>31</v>
      </c>
      <c r="F1009" t="s">
        <v>24</v>
      </c>
      <c r="G1009">
        <v>3767.37</v>
      </c>
      <c r="H1009">
        <v>1745</v>
      </c>
      <c r="I1009">
        <v>42338.8</v>
      </c>
      <c r="J1009" t="s">
        <v>37</v>
      </c>
      <c r="K1009" t="s">
        <v>38</v>
      </c>
      <c r="L1009">
        <v>0</v>
      </c>
      <c r="M1009">
        <v>0</v>
      </c>
      <c r="N1009">
        <v>0</v>
      </c>
      <c r="O1009">
        <v>0</v>
      </c>
      <c r="P1009">
        <v>0</v>
      </c>
      <c r="Q1009">
        <v>443</v>
      </c>
      <c r="R1009">
        <v>0.94</v>
      </c>
      <c r="S1009" t="s">
        <v>39</v>
      </c>
      <c r="T1009" s="1">
        <v>44862</v>
      </c>
      <c r="U1009">
        <v>0</v>
      </c>
    </row>
    <row r="1010" spans="1:21" x14ac:dyDescent="0.25">
      <c r="A1010" t="s">
        <v>1057</v>
      </c>
      <c r="B1010">
        <v>35</v>
      </c>
      <c r="C1010" t="s">
        <v>29</v>
      </c>
      <c r="D1010" t="s">
        <v>30</v>
      </c>
      <c r="E1010" t="s">
        <v>31</v>
      </c>
      <c r="F1010" t="s">
        <v>44</v>
      </c>
      <c r="G1010">
        <v>7114.49</v>
      </c>
      <c r="H1010">
        <v>2802.12</v>
      </c>
      <c r="I1010">
        <v>79901.09</v>
      </c>
      <c r="J1010" t="s">
        <v>25</v>
      </c>
      <c r="K1010" t="s">
        <v>26</v>
      </c>
      <c r="L1010">
        <v>459496.85</v>
      </c>
      <c r="M1010">
        <v>36</v>
      </c>
      <c r="N1010">
        <v>14022.55</v>
      </c>
      <c r="O1010">
        <v>6.21</v>
      </c>
      <c r="P1010">
        <v>1.97</v>
      </c>
      <c r="Q1010">
        <v>460</v>
      </c>
      <c r="R1010">
        <v>0.94</v>
      </c>
      <c r="S1010" t="s">
        <v>30</v>
      </c>
      <c r="T1010" s="1">
        <v>45677</v>
      </c>
      <c r="U1010">
        <v>1</v>
      </c>
    </row>
    <row r="1011" spans="1:21" x14ac:dyDescent="0.25">
      <c r="A1011" t="s">
        <v>1058</v>
      </c>
      <c r="B1011">
        <v>65</v>
      </c>
      <c r="C1011" t="s">
        <v>21</v>
      </c>
      <c r="D1011" t="s">
        <v>41</v>
      </c>
      <c r="E1011" t="s">
        <v>31</v>
      </c>
      <c r="F1011" t="s">
        <v>63</v>
      </c>
      <c r="G1011">
        <v>7649.29</v>
      </c>
      <c r="H1011">
        <v>4419.67</v>
      </c>
      <c r="I1011">
        <v>24934.33</v>
      </c>
      <c r="J1011" t="s">
        <v>25</v>
      </c>
      <c r="K1011" t="s">
        <v>33</v>
      </c>
      <c r="L1011">
        <v>34640.22</v>
      </c>
      <c r="M1011">
        <v>12</v>
      </c>
      <c r="N1011">
        <v>3198.11</v>
      </c>
      <c r="O1011">
        <v>19.350000000000001</v>
      </c>
      <c r="P1011">
        <v>0.42</v>
      </c>
      <c r="Q1011">
        <v>805</v>
      </c>
      <c r="R1011">
        <v>0.27</v>
      </c>
      <c r="S1011" t="s">
        <v>27</v>
      </c>
      <c r="T1011" s="1">
        <v>44587</v>
      </c>
      <c r="U1011">
        <v>1</v>
      </c>
    </row>
    <row r="1012" spans="1:21" x14ac:dyDescent="0.25">
      <c r="A1012" t="s">
        <v>1059</v>
      </c>
      <c r="B1012">
        <v>19</v>
      </c>
      <c r="C1012" t="s">
        <v>29</v>
      </c>
      <c r="D1012" t="s">
        <v>41</v>
      </c>
      <c r="E1012" t="s">
        <v>31</v>
      </c>
      <c r="F1012" t="s">
        <v>49</v>
      </c>
      <c r="G1012">
        <v>2062.77</v>
      </c>
      <c r="H1012">
        <v>1797.83</v>
      </c>
      <c r="I1012">
        <v>18054.22</v>
      </c>
      <c r="J1012" t="s">
        <v>25</v>
      </c>
      <c r="K1012" t="s">
        <v>33</v>
      </c>
      <c r="L1012">
        <v>292092.03999999998</v>
      </c>
      <c r="M1012">
        <v>240</v>
      </c>
      <c r="N1012">
        <v>2045.73</v>
      </c>
      <c r="O1012">
        <v>5.72</v>
      </c>
      <c r="P1012">
        <v>0.99</v>
      </c>
      <c r="Q1012">
        <v>495</v>
      </c>
      <c r="R1012">
        <v>0.73</v>
      </c>
      <c r="S1012" t="s">
        <v>30</v>
      </c>
      <c r="T1012" s="1">
        <v>45025</v>
      </c>
      <c r="U1012">
        <v>1</v>
      </c>
    </row>
    <row r="1013" spans="1:21" x14ac:dyDescent="0.25">
      <c r="A1013" t="s">
        <v>1060</v>
      </c>
      <c r="B1013">
        <v>22</v>
      </c>
      <c r="C1013" t="s">
        <v>30</v>
      </c>
      <c r="D1013" t="s">
        <v>41</v>
      </c>
      <c r="E1013" t="s">
        <v>31</v>
      </c>
      <c r="F1013" t="s">
        <v>52</v>
      </c>
      <c r="G1013">
        <v>2455.96</v>
      </c>
      <c r="H1013">
        <v>1888.28</v>
      </c>
      <c r="I1013">
        <v>5070.71</v>
      </c>
      <c r="J1013" t="s">
        <v>37</v>
      </c>
      <c r="K1013" t="s">
        <v>38</v>
      </c>
      <c r="L1013">
        <v>0</v>
      </c>
      <c r="M1013">
        <v>0</v>
      </c>
      <c r="N1013">
        <v>0</v>
      </c>
      <c r="O1013">
        <v>0</v>
      </c>
      <c r="P1013">
        <v>0</v>
      </c>
      <c r="Q1013">
        <v>829</v>
      </c>
      <c r="R1013">
        <v>0.17</v>
      </c>
      <c r="S1013" t="s">
        <v>30</v>
      </c>
      <c r="T1013" s="1">
        <v>45577</v>
      </c>
      <c r="U1013">
        <v>0</v>
      </c>
    </row>
    <row r="1014" spans="1:21" x14ac:dyDescent="0.25">
      <c r="A1014" t="s">
        <v>1061</v>
      </c>
      <c r="B1014">
        <v>54</v>
      </c>
      <c r="C1014" t="s">
        <v>21</v>
      </c>
      <c r="D1014" t="s">
        <v>22</v>
      </c>
      <c r="E1014" t="s">
        <v>31</v>
      </c>
      <c r="F1014" t="s">
        <v>36</v>
      </c>
      <c r="G1014">
        <v>1758.1</v>
      </c>
      <c r="H1014">
        <v>736.52</v>
      </c>
      <c r="I1014">
        <v>19964.86</v>
      </c>
      <c r="J1014" t="s">
        <v>25</v>
      </c>
      <c r="K1014" t="s">
        <v>45</v>
      </c>
      <c r="L1014">
        <v>100353.84</v>
      </c>
      <c r="M1014">
        <v>180</v>
      </c>
      <c r="N1014">
        <v>2509.8000000000002</v>
      </c>
      <c r="O1014">
        <v>29.64</v>
      </c>
      <c r="P1014">
        <v>1.43</v>
      </c>
      <c r="Q1014">
        <v>391</v>
      </c>
      <c r="R1014">
        <v>0.95</v>
      </c>
      <c r="S1014" t="s">
        <v>27</v>
      </c>
      <c r="T1014" s="1">
        <v>44519</v>
      </c>
      <c r="U1014">
        <v>1</v>
      </c>
    </row>
    <row r="1015" spans="1:21" x14ac:dyDescent="0.25">
      <c r="A1015" t="s">
        <v>1062</v>
      </c>
      <c r="B1015">
        <v>36</v>
      </c>
      <c r="C1015" t="s">
        <v>29</v>
      </c>
      <c r="D1015" t="s">
        <v>41</v>
      </c>
      <c r="E1015" t="s">
        <v>31</v>
      </c>
      <c r="F1015" t="s">
        <v>52</v>
      </c>
      <c r="G1015">
        <v>3252.8</v>
      </c>
      <c r="H1015">
        <v>1236.06</v>
      </c>
      <c r="I1015">
        <v>15963.87</v>
      </c>
      <c r="J1015" t="s">
        <v>37</v>
      </c>
      <c r="K1015" t="s">
        <v>38</v>
      </c>
      <c r="L1015">
        <v>0</v>
      </c>
      <c r="M1015">
        <v>0</v>
      </c>
      <c r="N1015">
        <v>0</v>
      </c>
      <c r="O1015">
        <v>0</v>
      </c>
      <c r="P1015">
        <v>0</v>
      </c>
      <c r="Q1015">
        <v>536</v>
      </c>
      <c r="R1015">
        <v>0.41</v>
      </c>
      <c r="S1015" t="s">
        <v>30</v>
      </c>
      <c r="T1015" s="1">
        <v>44502</v>
      </c>
      <c r="U1015">
        <v>0</v>
      </c>
    </row>
    <row r="1016" spans="1:21" x14ac:dyDescent="0.25">
      <c r="A1016" t="s">
        <v>1063</v>
      </c>
      <c r="B1016">
        <v>31</v>
      </c>
      <c r="C1016" t="s">
        <v>29</v>
      </c>
      <c r="D1016" t="s">
        <v>35</v>
      </c>
      <c r="E1016" t="s">
        <v>31</v>
      </c>
      <c r="F1016" t="s">
        <v>23</v>
      </c>
      <c r="G1016">
        <v>2320.23</v>
      </c>
      <c r="H1016">
        <v>1776.81</v>
      </c>
      <c r="I1016">
        <v>16028.69</v>
      </c>
      <c r="J1016" t="s">
        <v>37</v>
      </c>
      <c r="K1016" t="s">
        <v>38</v>
      </c>
      <c r="L1016">
        <v>0</v>
      </c>
      <c r="M1016">
        <v>0</v>
      </c>
      <c r="N1016">
        <v>0</v>
      </c>
      <c r="O1016">
        <v>0</v>
      </c>
      <c r="P1016">
        <v>0</v>
      </c>
      <c r="Q1016">
        <v>430</v>
      </c>
      <c r="R1016">
        <v>0.57999999999999996</v>
      </c>
      <c r="S1016" t="s">
        <v>47</v>
      </c>
      <c r="T1016" s="1">
        <v>45487</v>
      </c>
      <c r="U1016">
        <v>0</v>
      </c>
    </row>
    <row r="1017" spans="1:21" x14ac:dyDescent="0.25">
      <c r="A1017" t="s">
        <v>1064</v>
      </c>
      <c r="B1017">
        <v>63</v>
      </c>
      <c r="C1017" t="s">
        <v>21</v>
      </c>
      <c r="D1017" t="s">
        <v>22</v>
      </c>
      <c r="E1017" t="s">
        <v>31</v>
      </c>
      <c r="F1017" t="s">
        <v>52</v>
      </c>
      <c r="G1017">
        <v>4767.22</v>
      </c>
      <c r="H1017">
        <v>3779.95</v>
      </c>
      <c r="I1017">
        <v>36744.42</v>
      </c>
      <c r="J1017" t="s">
        <v>37</v>
      </c>
      <c r="K1017" t="s">
        <v>38</v>
      </c>
      <c r="L1017">
        <v>0</v>
      </c>
      <c r="M1017">
        <v>0</v>
      </c>
      <c r="N1017">
        <v>0</v>
      </c>
      <c r="O1017">
        <v>0</v>
      </c>
      <c r="P1017">
        <v>0</v>
      </c>
      <c r="Q1017">
        <v>577</v>
      </c>
      <c r="R1017">
        <v>0.64</v>
      </c>
      <c r="S1017" t="s">
        <v>27</v>
      </c>
      <c r="T1017" s="1">
        <v>44659</v>
      </c>
      <c r="U1017">
        <v>0</v>
      </c>
    </row>
    <row r="1018" spans="1:21" x14ac:dyDescent="0.25">
      <c r="A1018" t="s">
        <v>1065</v>
      </c>
      <c r="B1018">
        <v>30</v>
      </c>
      <c r="C1018" t="s">
        <v>29</v>
      </c>
      <c r="D1018" t="s">
        <v>41</v>
      </c>
      <c r="E1018" t="s">
        <v>31</v>
      </c>
      <c r="F1018" t="s">
        <v>23</v>
      </c>
      <c r="G1018">
        <v>5673.6</v>
      </c>
      <c r="H1018">
        <v>4175.34</v>
      </c>
      <c r="I1018">
        <v>48755.18</v>
      </c>
      <c r="J1018" t="s">
        <v>25</v>
      </c>
      <c r="K1018" t="s">
        <v>26</v>
      </c>
      <c r="L1018">
        <v>300431.2</v>
      </c>
      <c r="M1018">
        <v>60</v>
      </c>
      <c r="N1018">
        <v>8860.3799999999992</v>
      </c>
      <c r="O1018">
        <v>25.24</v>
      </c>
      <c r="P1018">
        <v>1.56</v>
      </c>
      <c r="Q1018">
        <v>715</v>
      </c>
      <c r="R1018">
        <v>0.72</v>
      </c>
      <c r="S1018" t="s">
        <v>39</v>
      </c>
      <c r="T1018" s="1">
        <v>45287</v>
      </c>
      <c r="U1018">
        <v>1</v>
      </c>
    </row>
    <row r="1019" spans="1:21" x14ac:dyDescent="0.25">
      <c r="A1019" t="s">
        <v>1066</v>
      </c>
      <c r="B1019">
        <v>26</v>
      </c>
      <c r="C1019" t="s">
        <v>30</v>
      </c>
      <c r="D1019" t="s">
        <v>22</v>
      </c>
      <c r="E1019" t="s">
        <v>31</v>
      </c>
      <c r="F1019" t="s">
        <v>36</v>
      </c>
      <c r="G1019">
        <v>4994.41</v>
      </c>
      <c r="H1019">
        <v>1550.98</v>
      </c>
      <c r="I1019">
        <v>51989.85</v>
      </c>
      <c r="J1019" t="s">
        <v>37</v>
      </c>
      <c r="K1019" t="s">
        <v>38</v>
      </c>
      <c r="L1019">
        <v>0</v>
      </c>
      <c r="M1019">
        <v>0</v>
      </c>
      <c r="N1019">
        <v>0</v>
      </c>
      <c r="O1019">
        <v>0</v>
      </c>
      <c r="P1019">
        <v>0</v>
      </c>
      <c r="Q1019">
        <v>685</v>
      </c>
      <c r="R1019">
        <v>0.87</v>
      </c>
      <c r="S1019" t="s">
        <v>39</v>
      </c>
      <c r="T1019" s="1">
        <v>45483</v>
      </c>
      <c r="U1019">
        <v>0</v>
      </c>
    </row>
    <row r="1020" spans="1:21" x14ac:dyDescent="0.25">
      <c r="A1020" t="s">
        <v>1067</v>
      </c>
      <c r="B1020">
        <v>40</v>
      </c>
      <c r="C1020" t="s">
        <v>21</v>
      </c>
      <c r="D1020" t="s">
        <v>41</v>
      </c>
      <c r="E1020" t="s">
        <v>51</v>
      </c>
      <c r="F1020" t="s">
        <v>44</v>
      </c>
      <c r="G1020">
        <v>2675.34</v>
      </c>
      <c r="H1020">
        <v>1233.42</v>
      </c>
      <c r="I1020">
        <v>9966.4699999999993</v>
      </c>
      <c r="J1020" t="s">
        <v>37</v>
      </c>
      <c r="K1020" t="s">
        <v>38</v>
      </c>
      <c r="L1020">
        <v>0</v>
      </c>
      <c r="M1020">
        <v>0</v>
      </c>
      <c r="N1020">
        <v>0</v>
      </c>
      <c r="O1020">
        <v>0</v>
      </c>
      <c r="P1020">
        <v>0</v>
      </c>
      <c r="Q1020">
        <v>841</v>
      </c>
      <c r="R1020">
        <v>0.31</v>
      </c>
      <c r="S1020" t="s">
        <v>30</v>
      </c>
      <c r="T1020" s="1">
        <v>45799</v>
      </c>
      <c r="U1020">
        <v>0</v>
      </c>
    </row>
    <row r="1021" spans="1:21" x14ac:dyDescent="0.25">
      <c r="A1021" t="s">
        <v>1068</v>
      </c>
      <c r="B1021">
        <v>21</v>
      </c>
      <c r="C1021" t="s">
        <v>29</v>
      </c>
      <c r="D1021" t="s">
        <v>41</v>
      </c>
      <c r="E1021" t="s">
        <v>51</v>
      </c>
      <c r="F1021" t="s">
        <v>32</v>
      </c>
      <c r="G1021">
        <v>2839.15</v>
      </c>
      <c r="H1021">
        <v>2547.4</v>
      </c>
      <c r="I1021">
        <v>5336.19</v>
      </c>
      <c r="J1021" t="s">
        <v>37</v>
      </c>
      <c r="K1021" t="s">
        <v>38</v>
      </c>
      <c r="L1021">
        <v>0</v>
      </c>
      <c r="M1021">
        <v>0</v>
      </c>
      <c r="N1021">
        <v>0</v>
      </c>
      <c r="O1021">
        <v>0</v>
      </c>
      <c r="P1021">
        <v>0</v>
      </c>
      <c r="Q1021">
        <v>827</v>
      </c>
      <c r="R1021">
        <v>0.16</v>
      </c>
      <c r="S1021" t="s">
        <v>47</v>
      </c>
      <c r="T1021" s="1">
        <v>44843</v>
      </c>
      <c r="U1021">
        <v>0</v>
      </c>
    </row>
    <row r="1022" spans="1:21" x14ac:dyDescent="0.25">
      <c r="A1022" t="s">
        <v>1069</v>
      </c>
      <c r="B1022">
        <v>44</v>
      </c>
      <c r="C1022" t="s">
        <v>30</v>
      </c>
      <c r="D1022" t="s">
        <v>35</v>
      </c>
      <c r="E1022" t="s">
        <v>31</v>
      </c>
      <c r="F1022" t="s">
        <v>36</v>
      </c>
      <c r="G1022">
        <v>4693.3100000000004</v>
      </c>
      <c r="H1022">
        <v>3305.32</v>
      </c>
      <c r="I1022">
        <v>35195.050000000003</v>
      </c>
      <c r="J1022" t="s">
        <v>25</v>
      </c>
      <c r="K1022" t="s">
        <v>54</v>
      </c>
      <c r="L1022">
        <v>10919.89</v>
      </c>
      <c r="M1022">
        <v>300</v>
      </c>
      <c r="N1022">
        <v>90.07</v>
      </c>
      <c r="O1022">
        <v>8.7899999999999991</v>
      </c>
      <c r="P1022">
        <v>0.02</v>
      </c>
      <c r="Q1022">
        <v>837</v>
      </c>
      <c r="R1022">
        <v>0.62</v>
      </c>
      <c r="S1022" t="s">
        <v>72</v>
      </c>
      <c r="T1022" s="1">
        <v>45091</v>
      </c>
      <c r="U1022">
        <v>0</v>
      </c>
    </row>
    <row r="1023" spans="1:21" x14ac:dyDescent="0.25">
      <c r="A1023" t="s">
        <v>1070</v>
      </c>
      <c r="B1023">
        <v>31</v>
      </c>
      <c r="C1023" t="s">
        <v>21</v>
      </c>
      <c r="D1023" t="s">
        <v>35</v>
      </c>
      <c r="E1023" t="s">
        <v>31</v>
      </c>
      <c r="F1023" t="s">
        <v>42</v>
      </c>
      <c r="G1023">
        <v>4883.5600000000004</v>
      </c>
      <c r="H1023">
        <v>2102.98</v>
      </c>
      <c r="I1023">
        <v>31360.59</v>
      </c>
      <c r="J1023" t="s">
        <v>37</v>
      </c>
      <c r="K1023" t="s">
        <v>38</v>
      </c>
      <c r="L1023">
        <v>0</v>
      </c>
      <c r="M1023">
        <v>0</v>
      </c>
      <c r="N1023">
        <v>0</v>
      </c>
      <c r="O1023">
        <v>0</v>
      </c>
      <c r="P1023">
        <v>0</v>
      </c>
      <c r="Q1023">
        <v>753</v>
      </c>
      <c r="R1023">
        <v>0.54</v>
      </c>
      <c r="S1023" t="s">
        <v>30</v>
      </c>
      <c r="T1023" s="1">
        <v>44471</v>
      </c>
      <c r="U1023">
        <v>0</v>
      </c>
    </row>
    <row r="1024" spans="1:21" x14ac:dyDescent="0.25">
      <c r="A1024" t="s">
        <v>1071</v>
      </c>
      <c r="B1024">
        <v>47</v>
      </c>
      <c r="C1024" t="s">
        <v>29</v>
      </c>
      <c r="D1024" t="s">
        <v>41</v>
      </c>
      <c r="E1024" t="s">
        <v>31</v>
      </c>
      <c r="F1024" t="s">
        <v>23</v>
      </c>
      <c r="G1024">
        <v>500</v>
      </c>
      <c r="H1024">
        <v>400.51</v>
      </c>
      <c r="I1024">
        <v>5632.77</v>
      </c>
      <c r="J1024" t="s">
        <v>37</v>
      </c>
      <c r="K1024" t="s">
        <v>38</v>
      </c>
      <c r="L1024">
        <v>0</v>
      </c>
      <c r="M1024">
        <v>0</v>
      </c>
      <c r="N1024">
        <v>0</v>
      </c>
      <c r="O1024">
        <v>0</v>
      </c>
      <c r="P1024">
        <v>0</v>
      </c>
      <c r="Q1024">
        <v>579</v>
      </c>
      <c r="R1024">
        <v>0.94</v>
      </c>
      <c r="S1024" t="s">
        <v>47</v>
      </c>
      <c r="T1024" s="1">
        <v>44683</v>
      </c>
      <c r="U1024">
        <v>0</v>
      </c>
    </row>
    <row r="1025" spans="1:21" x14ac:dyDescent="0.25">
      <c r="A1025" t="s">
        <v>1072</v>
      </c>
      <c r="B1025">
        <v>45</v>
      </c>
      <c r="C1025" t="s">
        <v>21</v>
      </c>
      <c r="D1025" t="s">
        <v>35</v>
      </c>
      <c r="E1025" t="s">
        <v>31</v>
      </c>
      <c r="F1025" t="s">
        <v>32</v>
      </c>
      <c r="G1025">
        <v>2367.4</v>
      </c>
      <c r="H1025">
        <v>1417.29</v>
      </c>
      <c r="I1025">
        <v>17943.86</v>
      </c>
      <c r="J1025" t="s">
        <v>25</v>
      </c>
      <c r="K1025" t="s">
        <v>33</v>
      </c>
      <c r="L1025">
        <v>62101.11</v>
      </c>
      <c r="M1025">
        <v>36</v>
      </c>
      <c r="N1025">
        <v>2253.84</v>
      </c>
      <c r="O1025">
        <v>18.28</v>
      </c>
      <c r="P1025">
        <v>0.95</v>
      </c>
      <c r="Q1025">
        <v>763</v>
      </c>
      <c r="R1025">
        <v>0.63</v>
      </c>
      <c r="S1025" t="s">
        <v>47</v>
      </c>
      <c r="T1025" s="1">
        <v>45427</v>
      </c>
      <c r="U1025">
        <v>1</v>
      </c>
    </row>
    <row r="1026" spans="1:21" x14ac:dyDescent="0.25">
      <c r="A1026" t="s">
        <v>1073</v>
      </c>
      <c r="B1026">
        <v>28</v>
      </c>
      <c r="C1026" t="s">
        <v>29</v>
      </c>
      <c r="D1026" t="s">
        <v>35</v>
      </c>
      <c r="E1026" t="s">
        <v>23</v>
      </c>
      <c r="F1026" t="s">
        <v>32</v>
      </c>
      <c r="G1026">
        <v>3279.84</v>
      </c>
      <c r="H1026">
        <v>2727.27</v>
      </c>
      <c r="I1026">
        <v>28181.52</v>
      </c>
      <c r="J1026" t="s">
        <v>37</v>
      </c>
      <c r="K1026" t="s">
        <v>38</v>
      </c>
      <c r="L1026">
        <v>0</v>
      </c>
      <c r="M1026">
        <v>0</v>
      </c>
      <c r="N1026">
        <v>0</v>
      </c>
      <c r="O1026">
        <v>0</v>
      </c>
      <c r="P1026">
        <v>0</v>
      </c>
      <c r="Q1026">
        <v>397</v>
      </c>
      <c r="R1026">
        <v>0.72</v>
      </c>
      <c r="S1026" t="s">
        <v>30</v>
      </c>
      <c r="T1026" s="1">
        <v>45097</v>
      </c>
      <c r="U1026">
        <v>0</v>
      </c>
    </row>
    <row r="1027" spans="1:21" x14ac:dyDescent="0.25">
      <c r="A1027" t="s">
        <v>1074</v>
      </c>
      <c r="B1027">
        <v>68</v>
      </c>
      <c r="C1027" t="s">
        <v>29</v>
      </c>
      <c r="D1027" t="s">
        <v>41</v>
      </c>
      <c r="E1027" t="s">
        <v>51</v>
      </c>
      <c r="F1027" t="s">
        <v>63</v>
      </c>
      <c r="G1027">
        <v>3539.91</v>
      </c>
      <c r="H1027">
        <v>2183.63</v>
      </c>
      <c r="I1027">
        <v>30906.94</v>
      </c>
      <c r="J1027" t="s">
        <v>37</v>
      </c>
      <c r="K1027" t="s">
        <v>38</v>
      </c>
      <c r="L1027">
        <v>0</v>
      </c>
      <c r="M1027">
        <v>0</v>
      </c>
      <c r="N1027">
        <v>0</v>
      </c>
      <c r="O1027">
        <v>0</v>
      </c>
      <c r="P1027">
        <v>0</v>
      </c>
      <c r="Q1027">
        <v>340</v>
      </c>
      <c r="R1027">
        <v>0.73</v>
      </c>
      <c r="S1027" t="s">
        <v>72</v>
      </c>
      <c r="T1027" s="1">
        <v>44951</v>
      </c>
      <c r="U1027">
        <v>0</v>
      </c>
    </row>
    <row r="1028" spans="1:21" x14ac:dyDescent="0.25">
      <c r="A1028" t="s">
        <v>1075</v>
      </c>
      <c r="B1028">
        <v>29</v>
      </c>
      <c r="C1028" t="s">
        <v>21</v>
      </c>
      <c r="D1028" t="s">
        <v>41</v>
      </c>
      <c r="E1028" t="s">
        <v>31</v>
      </c>
      <c r="F1028" t="s">
        <v>24</v>
      </c>
      <c r="G1028">
        <v>1667.03</v>
      </c>
      <c r="H1028">
        <v>1122.56</v>
      </c>
      <c r="I1028">
        <v>15100.8</v>
      </c>
      <c r="J1028" t="s">
        <v>37</v>
      </c>
      <c r="K1028" t="s">
        <v>38</v>
      </c>
      <c r="L1028">
        <v>0</v>
      </c>
      <c r="M1028">
        <v>0</v>
      </c>
      <c r="N1028">
        <v>0</v>
      </c>
      <c r="O1028">
        <v>0</v>
      </c>
      <c r="P1028">
        <v>0</v>
      </c>
      <c r="Q1028">
        <v>447</v>
      </c>
      <c r="R1028">
        <v>0.75</v>
      </c>
      <c r="S1028" t="s">
        <v>72</v>
      </c>
      <c r="T1028" s="1">
        <v>45056</v>
      </c>
      <c r="U1028">
        <v>0</v>
      </c>
    </row>
    <row r="1029" spans="1:21" x14ac:dyDescent="0.25">
      <c r="A1029" t="s">
        <v>1076</v>
      </c>
      <c r="B1029">
        <v>37</v>
      </c>
      <c r="C1029" t="s">
        <v>21</v>
      </c>
      <c r="D1029" t="s">
        <v>35</v>
      </c>
      <c r="E1029" t="s">
        <v>31</v>
      </c>
      <c r="F1029" t="s">
        <v>52</v>
      </c>
      <c r="G1029">
        <v>3177.65</v>
      </c>
      <c r="H1029">
        <v>1146.02</v>
      </c>
      <c r="I1029">
        <v>6550.78</v>
      </c>
      <c r="J1029" t="s">
        <v>37</v>
      </c>
      <c r="K1029" t="s">
        <v>38</v>
      </c>
      <c r="L1029">
        <v>0</v>
      </c>
      <c r="M1029">
        <v>0</v>
      </c>
      <c r="N1029">
        <v>0</v>
      </c>
      <c r="O1029">
        <v>0</v>
      </c>
      <c r="P1029">
        <v>0</v>
      </c>
      <c r="Q1029">
        <v>750</v>
      </c>
      <c r="R1029">
        <v>0.17</v>
      </c>
      <c r="S1029" t="s">
        <v>47</v>
      </c>
      <c r="T1029" s="1">
        <v>45153</v>
      </c>
      <c r="U1029">
        <v>0</v>
      </c>
    </row>
    <row r="1030" spans="1:21" x14ac:dyDescent="0.25">
      <c r="A1030" t="s">
        <v>1077</v>
      </c>
      <c r="B1030">
        <v>61</v>
      </c>
      <c r="C1030" t="s">
        <v>21</v>
      </c>
      <c r="D1030" t="s">
        <v>35</v>
      </c>
      <c r="E1030" t="s">
        <v>49</v>
      </c>
      <c r="F1030" t="s">
        <v>63</v>
      </c>
      <c r="G1030">
        <v>3624.55</v>
      </c>
      <c r="H1030">
        <v>2398.29</v>
      </c>
      <c r="I1030">
        <v>32658.14</v>
      </c>
      <c r="J1030" t="s">
        <v>37</v>
      </c>
      <c r="K1030" t="s">
        <v>38</v>
      </c>
      <c r="L1030">
        <v>0</v>
      </c>
      <c r="M1030">
        <v>0</v>
      </c>
      <c r="N1030">
        <v>0</v>
      </c>
      <c r="O1030">
        <v>0</v>
      </c>
      <c r="P1030">
        <v>0</v>
      </c>
      <c r="Q1030">
        <v>503</v>
      </c>
      <c r="R1030">
        <v>0.75</v>
      </c>
      <c r="S1030" t="s">
        <v>27</v>
      </c>
      <c r="T1030" s="1">
        <v>44872</v>
      </c>
      <c r="U1030">
        <v>0</v>
      </c>
    </row>
    <row r="1031" spans="1:21" x14ac:dyDescent="0.25">
      <c r="A1031" t="s">
        <v>1078</v>
      </c>
      <c r="B1031">
        <v>52</v>
      </c>
      <c r="C1031" t="s">
        <v>21</v>
      </c>
      <c r="D1031" t="s">
        <v>41</v>
      </c>
      <c r="E1031" t="s">
        <v>49</v>
      </c>
      <c r="F1031" t="s">
        <v>44</v>
      </c>
      <c r="G1031">
        <v>3022.86</v>
      </c>
      <c r="H1031">
        <v>2308.96</v>
      </c>
      <c r="I1031">
        <v>9414.33</v>
      </c>
      <c r="J1031" t="s">
        <v>37</v>
      </c>
      <c r="K1031" t="s">
        <v>38</v>
      </c>
      <c r="L1031">
        <v>0</v>
      </c>
      <c r="M1031">
        <v>0</v>
      </c>
      <c r="N1031">
        <v>0</v>
      </c>
      <c r="O1031">
        <v>0</v>
      </c>
      <c r="P1031">
        <v>0</v>
      </c>
      <c r="Q1031">
        <v>747</v>
      </c>
      <c r="R1031">
        <v>0.26</v>
      </c>
      <c r="S1031" t="s">
        <v>39</v>
      </c>
      <c r="T1031" s="1">
        <v>45852</v>
      </c>
      <c r="U1031">
        <v>0</v>
      </c>
    </row>
    <row r="1032" spans="1:21" x14ac:dyDescent="0.25">
      <c r="A1032" t="s">
        <v>1079</v>
      </c>
      <c r="B1032">
        <v>49</v>
      </c>
      <c r="C1032" t="s">
        <v>21</v>
      </c>
      <c r="D1032" t="s">
        <v>35</v>
      </c>
      <c r="E1032" t="s">
        <v>31</v>
      </c>
      <c r="F1032" t="s">
        <v>36</v>
      </c>
      <c r="G1032">
        <v>3926.97</v>
      </c>
      <c r="H1032">
        <v>2768.39</v>
      </c>
      <c r="I1032">
        <v>31296.75</v>
      </c>
      <c r="J1032" t="s">
        <v>37</v>
      </c>
      <c r="K1032" t="s">
        <v>38</v>
      </c>
      <c r="L1032">
        <v>0</v>
      </c>
      <c r="M1032">
        <v>0</v>
      </c>
      <c r="N1032">
        <v>0</v>
      </c>
      <c r="O1032">
        <v>0</v>
      </c>
      <c r="P1032">
        <v>0</v>
      </c>
      <c r="Q1032">
        <v>661</v>
      </c>
      <c r="R1032">
        <v>0.66</v>
      </c>
      <c r="S1032" t="s">
        <v>39</v>
      </c>
      <c r="T1032" s="1">
        <v>44983</v>
      </c>
      <c r="U1032">
        <v>0</v>
      </c>
    </row>
    <row r="1033" spans="1:21" x14ac:dyDescent="0.25">
      <c r="A1033" t="s">
        <v>1080</v>
      </c>
      <c r="B1033">
        <v>22</v>
      </c>
      <c r="C1033" t="s">
        <v>29</v>
      </c>
      <c r="D1033" t="s">
        <v>22</v>
      </c>
      <c r="E1033" t="s">
        <v>31</v>
      </c>
      <c r="F1033" t="s">
        <v>63</v>
      </c>
      <c r="G1033">
        <v>2793.88</v>
      </c>
      <c r="H1033">
        <v>1730.45</v>
      </c>
      <c r="I1033">
        <v>25419.57</v>
      </c>
      <c r="J1033" t="s">
        <v>37</v>
      </c>
      <c r="K1033" t="s">
        <v>38</v>
      </c>
      <c r="L1033">
        <v>0</v>
      </c>
      <c r="M1033">
        <v>0</v>
      </c>
      <c r="N1033">
        <v>0</v>
      </c>
      <c r="O1033">
        <v>0</v>
      </c>
      <c r="P1033">
        <v>0</v>
      </c>
      <c r="Q1033">
        <v>458</v>
      </c>
      <c r="R1033">
        <v>0.76</v>
      </c>
      <c r="S1033" t="s">
        <v>30</v>
      </c>
      <c r="T1033" s="1">
        <v>44718</v>
      </c>
      <c r="U1033">
        <v>0</v>
      </c>
    </row>
    <row r="1034" spans="1:21" x14ac:dyDescent="0.25">
      <c r="A1034" t="s">
        <v>1081</v>
      </c>
      <c r="B1034">
        <v>33</v>
      </c>
      <c r="C1034" t="s">
        <v>21</v>
      </c>
      <c r="D1034" t="s">
        <v>22</v>
      </c>
      <c r="E1034" t="s">
        <v>31</v>
      </c>
      <c r="F1034" t="s">
        <v>23</v>
      </c>
      <c r="G1034">
        <v>5143.1099999999997</v>
      </c>
      <c r="H1034">
        <v>4347.6400000000003</v>
      </c>
      <c r="I1034">
        <v>8612.19</v>
      </c>
      <c r="J1034" t="s">
        <v>37</v>
      </c>
      <c r="K1034" t="s">
        <v>38</v>
      </c>
      <c r="L1034">
        <v>0</v>
      </c>
      <c r="M1034">
        <v>0</v>
      </c>
      <c r="N1034">
        <v>0</v>
      </c>
      <c r="O1034">
        <v>0</v>
      </c>
      <c r="P1034">
        <v>0</v>
      </c>
      <c r="Q1034">
        <v>604</v>
      </c>
      <c r="R1034">
        <v>0.14000000000000001</v>
      </c>
      <c r="S1034" t="s">
        <v>39</v>
      </c>
      <c r="T1034" s="1">
        <v>44526</v>
      </c>
      <c r="U1034">
        <v>0</v>
      </c>
    </row>
    <row r="1035" spans="1:21" x14ac:dyDescent="0.25">
      <c r="A1035" t="s">
        <v>1082</v>
      </c>
      <c r="B1035">
        <v>19</v>
      </c>
      <c r="C1035" t="s">
        <v>21</v>
      </c>
      <c r="D1035" t="s">
        <v>41</v>
      </c>
      <c r="E1035" t="s">
        <v>51</v>
      </c>
      <c r="F1035" t="s">
        <v>63</v>
      </c>
      <c r="G1035">
        <v>2813.29</v>
      </c>
      <c r="H1035">
        <v>2411.11</v>
      </c>
      <c r="I1035">
        <v>16712.400000000001</v>
      </c>
      <c r="J1035" t="s">
        <v>37</v>
      </c>
      <c r="K1035" t="s">
        <v>38</v>
      </c>
      <c r="L1035">
        <v>0</v>
      </c>
      <c r="M1035">
        <v>0</v>
      </c>
      <c r="N1035">
        <v>0</v>
      </c>
      <c r="O1035">
        <v>0</v>
      </c>
      <c r="P1035">
        <v>0</v>
      </c>
      <c r="Q1035">
        <v>651</v>
      </c>
      <c r="R1035">
        <v>0.5</v>
      </c>
      <c r="S1035" t="s">
        <v>47</v>
      </c>
      <c r="T1035" s="1">
        <v>45544</v>
      </c>
      <c r="U1035">
        <v>0</v>
      </c>
    </row>
    <row r="1036" spans="1:21" x14ac:dyDescent="0.25">
      <c r="A1036" t="s">
        <v>1083</v>
      </c>
      <c r="B1036">
        <v>26</v>
      </c>
      <c r="C1036" t="s">
        <v>21</v>
      </c>
      <c r="D1036" t="s">
        <v>22</v>
      </c>
      <c r="E1036" t="s">
        <v>31</v>
      </c>
      <c r="F1036" t="s">
        <v>32</v>
      </c>
      <c r="G1036">
        <v>4197.75</v>
      </c>
      <c r="H1036">
        <v>3024.98</v>
      </c>
      <c r="I1036">
        <v>41913.449999999997</v>
      </c>
      <c r="J1036" t="s">
        <v>25</v>
      </c>
      <c r="K1036" t="s">
        <v>54</v>
      </c>
      <c r="L1036">
        <v>117440.89</v>
      </c>
      <c r="M1036">
        <v>180</v>
      </c>
      <c r="N1036">
        <v>1515.4</v>
      </c>
      <c r="O1036">
        <v>13.38</v>
      </c>
      <c r="P1036">
        <v>0.36</v>
      </c>
      <c r="Q1036">
        <v>795</v>
      </c>
      <c r="R1036">
        <v>0.83</v>
      </c>
      <c r="S1036" t="s">
        <v>27</v>
      </c>
      <c r="T1036" s="1">
        <v>45779</v>
      </c>
      <c r="U1036">
        <v>0</v>
      </c>
    </row>
    <row r="1037" spans="1:21" x14ac:dyDescent="0.25">
      <c r="A1037" t="s">
        <v>1084</v>
      </c>
      <c r="B1037">
        <v>46</v>
      </c>
      <c r="C1037" t="s">
        <v>21</v>
      </c>
      <c r="D1037" t="s">
        <v>41</v>
      </c>
      <c r="E1037" t="s">
        <v>31</v>
      </c>
      <c r="F1037" t="s">
        <v>36</v>
      </c>
      <c r="G1037">
        <v>3236.71</v>
      </c>
      <c r="H1037">
        <v>1557.19</v>
      </c>
      <c r="I1037">
        <v>6899.56</v>
      </c>
      <c r="J1037" t="s">
        <v>37</v>
      </c>
      <c r="K1037" t="s">
        <v>38</v>
      </c>
      <c r="L1037">
        <v>0</v>
      </c>
      <c r="M1037">
        <v>0</v>
      </c>
      <c r="N1037">
        <v>0</v>
      </c>
      <c r="O1037">
        <v>0</v>
      </c>
      <c r="P1037">
        <v>0</v>
      </c>
      <c r="Q1037">
        <v>351</v>
      </c>
      <c r="R1037">
        <v>0.18</v>
      </c>
      <c r="S1037" t="s">
        <v>27</v>
      </c>
      <c r="T1037" s="1">
        <v>45211</v>
      </c>
      <c r="U1037">
        <v>0</v>
      </c>
    </row>
    <row r="1038" spans="1:21" x14ac:dyDescent="0.25">
      <c r="A1038" t="s">
        <v>1085</v>
      </c>
      <c r="B1038">
        <v>40</v>
      </c>
      <c r="C1038" t="s">
        <v>21</v>
      </c>
      <c r="D1038" t="s">
        <v>22</v>
      </c>
      <c r="E1038" t="s">
        <v>51</v>
      </c>
      <c r="F1038" t="s">
        <v>23</v>
      </c>
      <c r="G1038">
        <v>2363.02</v>
      </c>
      <c r="H1038">
        <v>1909.94</v>
      </c>
      <c r="I1038">
        <v>22857.62</v>
      </c>
      <c r="J1038" t="s">
        <v>37</v>
      </c>
      <c r="K1038" t="s">
        <v>38</v>
      </c>
      <c r="L1038">
        <v>0</v>
      </c>
      <c r="M1038">
        <v>0</v>
      </c>
      <c r="N1038">
        <v>0</v>
      </c>
      <c r="O1038">
        <v>0</v>
      </c>
      <c r="P1038">
        <v>0</v>
      </c>
      <c r="Q1038">
        <v>397</v>
      </c>
      <c r="R1038">
        <v>0.81</v>
      </c>
      <c r="S1038" t="s">
        <v>72</v>
      </c>
      <c r="T1038" s="1">
        <v>45114</v>
      </c>
      <c r="U1038">
        <v>0</v>
      </c>
    </row>
    <row r="1039" spans="1:21" x14ac:dyDescent="0.25">
      <c r="A1039" t="s">
        <v>1086</v>
      </c>
      <c r="B1039">
        <v>37</v>
      </c>
      <c r="C1039" t="s">
        <v>29</v>
      </c>
      <c r="D1039" t="s">
        <v>56</v>
      </c>
      <c r="E1039" t="s">
        <v>31</v>
      </c>
      <c r="F1039" t="s">
        <v>36</v>
      </c>
      <c r="G1039">
        <v>685.35</v>
      </c>
      <c r="H1039">
        <v>604.09</v>
      </c>
      <c r="I1039">
        <v>2773.13</v>
      </c>
      <c r="J1039" t="s">
        <v>37</v>
      </c>
      <c r="K1039" t="s">
        <v>38</v>
      </c>
      <c r="L1039">
        <v>0</v>
      </c>
      <c r="M1039">
        <v>0</v>
      </c>
      <c r="N1039">
        <v>0</v>
      </c>
      <c r="O1039">
        <v>0</v>
      </c>
      <c r="P1039">
        <v>0</v>
      </c>
      <c r="Q1039">
        <v>725</v>
      </c>
      <c r="R1039">
        <v>0.34</v>
      </c>
      <c r="S1039" t="s">
        <v>47</v>
      </c>
      <c r="T1039" s="1">
        <v>44596</v>
      </c>
      <c r="U1039">
        <v>0</v>
      </c>
    </row>
    <row r="1040" spans="1:21" x14ac:dyDescent="0.25">
      <c r="A1040" t="s">
        <v>1087</v>
      </c>
      <c r="B1040">
        <v>55</v>
      </c>
      <c r="C1040" t="s">
        <v>21</v>
      </c>
      <c r="D1040" t="s">
        <v>41</v>
      </c>
      <c r="E1040" t="s">
        <v>51</v>
      </c>
      <c r="F1040" t="s">
        <v>44</v>
      </c>
      <c r="G1040">
        <v>2826.3</v>
      </c>
      <c r="H1040">
        <v>997.8</v>
      </c>
      <c r="I1040">
        <v>20963.3</v>
      </c>
      <c r="J1040" t="s">
        <v>25</v>
      </c>
      <c r="K1040" t="s">
        <v>26</v>
      </c>
      <c r="L1040">
        <v>85862.3</v>
      </c>
      <c r="M1040">
        <v>300</v>
      </c>
      <c r="N1040">
        <v>924.69</v>
      </c>
      <c r="O1040">
        <v>12.32</v>
      </c>
      <c r="P1040">
        <v>0.33</v>
      </c>
      <c r="Q1040">
        <v>512</v>
      </c>
      <c r="R1040">
        <v>0.62</v>
      </c>
      <c r="S1040" t="s">
        <v>30</v>
      </c>
      <c r="T1040" s="1">
        <v>45475</v>
      </c>
      <c r="U1040">
        <v>0</v>
      </c>
    </row>
    <row r="1041" spans="1:21" x14ac:dyDescent="0.25">
      <c r="A1041" t="s">
        <v>1088</v>
      </c>
      <c r="B1041">
        <v>32</v>
      </c>
      <c r="C1041" t="s">
        <v>21</v>
      </c>
      <c r="D1041" t="s">
        <v>41</v>
      </c>
      <c r="E1041" t="s">
        <v>31</v>
      </c>
      <c r="F1041" t="s">
        <v>36</v>
      </c>
      <c r="G1041">
        <v>5300.95</v>
      </c>
      <c r="H1041">
        <v>2816.98</v>
      </c>
      <c r="I1041">
        <v>13508.03</v>
      </c>
      <c r="J1041" t="s">
        <v>37</v>
      </c>
      <c r="K1041" t="s">
        <v>38</v>
      </c>
      <c r="L1041">
        <v>0</v>
      </c>
      <c r="M1041">
        <v>0</v>
      </c>
      <c r="N1041">
        <v>0</v>
      </c>
      <c r="O1041">
        <v>0</v>
      </c>
      <c r="P1041">
        <v>0</v>
      </c>
      <c r="Q1041">
        <v>728</v>
      </c>
      <c r="R1041">
        <v>0.21</v>
      </c>
      <c r="S1041" t="s">
        <v>47</v>
      </c>
      <c r="T1041" s="1">
        <v>45702</v>
      </c>
      <c r="U1041">
        <v>0</v>
      </c>
    </row>
    <row r="1042" spans="1:21" x14ac:dyDescent="0.25">
      <c r="A1042" t="s">
        <v>1089</v>
      </c>
      <c r="B1042">
        <v>34</v>
      </c>
      <c r="C1042" t="s">
        <v>21</v>
      </c>
      <c r="D1042" t="s">
        <v>22</v>
      </c>
      <c r="E1042" t="s">
        <v>31</v>
      </c>
      <c r="F1042" t="s">
        <v>24</v>
      </c>
      <c r="G1042">
        <v>2894.26</v>
      </c>
      <c r="H1042">
        <v>1999.22</v>
      </c>
      <c r="I1042">
        <v>20404.21</v>
      </c>
      <c r="J1042" t="s">
        <v>37</v>
      </c>
      <c r="K1042" t="s">
        <v>38</v>
      </c>
      <c r="L1042">
        <v>0</v>
      </c>
      <c r="M1042">
        <v>0</v>
      </c>
      <c r="N1042">
        <v>0</v>
      </c>
      <c r="O1042">
        <v>0</v>
      </c>
      <c r="P1042">
        <v>0</v>
      </c>
      <c r="Q1042">
        <v>751</v>
      </c>
      <c r="R1042">
        <v>0.59</v>
      </c>
      <c r="S1042" t="s">
        <v>27</v>
      </c>
      <c r="T1042" s="1">
        <v>44977</v>
      </c>
      <c r="U1042">
        <v>0</v>
      </c>
    </row>
    <row r="1043" spans="1:21" x14ac:dyDescent="0.25">
      <c r="A1043" t="s">
        <v>1090</v>
      </c>
      <c r="B1043">
        <v>32</v>
      </c>
      <c r="C1043" t="s">
        <v>21</v>
      </c>
      <c r="D1043" t="s">
        <v>35</v>
      </c>
      <c r="E1043" t="s">
        <v>23</v>
      </c>
      <c r="F1043" t="s">
        <v>42</v>
      </c>
      <c r="G1043">
        <v>3089.63</v>
      </c>
      <c r="H1043">
        <v>2455.33</v>
      </c>
      <c r="I1043">
        <v>33746.699999999997</v>
      </c>
      <c r="J1043" t="s">
        <v>37</v>
      </c>
      <c r="K1043" t="s">
        <v>38</v>
      </c>
      <c r="L1043">
        <v>0</v>
      </c>
      <c r="M1043">
        <v>0</v>
      </c>
      <c r="N1043">
        <v>0</v>
      </c>
      <c r="O1043">
        <v>0</v>
      </c>
      <c r="P1043">
        <v>0</v>
      </c>
      <c r="Q1043">
        <v>354</v>
      </c>
      <c r="R1043">
        <v>0.91</v>
      </c>
      <c r="S1043" t="s">
        <v>30</v>
      </c>
      <c r="T1043" s="1">
        <v>44734</v>
      </c>
      <c r="U1043">
        <v>0</v>
      </c>
    </row>
    <row r="1044" spans="1:21" x14ac:dyDescent="0.25">
      <c r="A1044" t="s">
        <v>1091</v>
      </c>
      <c r="B1044">
        <v>50</v>
      </c>
      <c r="C1044" t="s">
        <v>30</v>
      </c>
      <c r="D1044" t="s">
        <v>22</v>
      </c>
      <c r="E1044" t="s">
        <v>31</v>
      </c>
      <c r="F1044" t="s">
        <v>24</v>
      </c>
      <c r="G1044">
        <v>6895.16</v>
      </c>
      <c r="H1044">
        <v>2602.21</v>
      </c>
      <c r="I1044">
        <v>66633.2</v>
      </c>
      <c r="J1044" t="s">
        <v>25</v>
      </c>
      <c r="K1044" t="s">
        <v>26</v>
      </c>
      <c r="L1044">
        <v>181114.64</v>
      </c>
      <c r="M1044">
        <v>300</v>
      </c>
      <c r="N1044">
        <v>4411.88</v>
      </c>
      <c r="O1044">
        <v>29.21</v>
      </c>
      <c r="P1044">
        <v>0.64</v>
      </c>
      <c r="Q1044">
        <v>767</v>
      </c>
      <c r="R1044">
        <v>0.81</v>
      </c>
      <c r="S1044" t="s">
        <v>27</v>
      </c>
      <c r="T1044" s="1">
        <v>45056</v>
      </c>
      <c r="U1044">
        <v>1</v>
      </c>
    </row>
    <row r="1045" spans="1:21" x14ac:dyDescent="0.25">
      <c r="A1045" t="s">
        <v>1092</v>
      </c>
      <c r="B1045">
        <v>38</v>
      </c>
      <c r="C1045" t="s">
        <v>29</v>
      </c>
      <c r="D1045" t="s">
        <v>22</v>
      </c>
      <c r="E1045" t="s">
        <v>31</v>
      </c>
      <c r="F1045" t="s">
        <v>23</v>
      </c>
      <c r="G1045">
        <v>4720.32</v>
      </c>
      <c r="H1045">
        <v>1484.66</v>
      </c>
      <c r="I1045">
        <v>44044.13</v>
      </c>
      <c r="J1045" t="s">
        <v>37</v>
      </c>
      <c r="K1045" t="s">
        <v>38</v>
      </c>
      <c r="L1045">
        <v>0</v>
      </c>
      <c r="M1045">
        <v>0</v>
      </c>
      <c r="N1045">
        <v>0</v>
      </c>
      <c r="O1045">
        <v>0</v>
      </c>
      <c r="P1045">
        <v>0</v>
      </c>
      <c r="Q1045">
        <v>469</v>
      </c>
      <c r="R1045">
        <v>0.78</v>
      </c>
      <c r="S1045" t="s">
        <v>47</v>
      </c>
      <c r="T1045" s="1">
        <v>44804</v>
      </c>
      <c r="U1045">
        <v>0</v>
      </c>
    </row>
    <row r="1046" spans="1:21" x14ac:dyDescent="0.25">
      <c r="A1046" t="s">
        <v>1093</v>
      </c>
      <c r="B1046">
        <v>19</v>
      </c>
      <c r="C1046" t="s">
        <v>29</v>
      </c>
      <c r="D1046" t="s">
        <v>30</v>
      </c>
      <c r="E1046" t="s">
        <v>31</v>
      </c>
      <c r="F1046" t="s">
        <v>44</v>
      </c>
      <c r="G1046">
        <v>6508.73</v>
      </c>
      <c r="H1046">
        <v>5342.99</v>
      </c>
      <c r="I1046">
        <v>16561.13</v>
      </c>
      <c r="J1046" t="s">
        <v>37</v>
      </c>
      <c r="K1046" t="s">
        <v>38</v>
      </c>
      <c r="L1046">
        <v>0</v>
      </c>
      <c r="M1046">
        <v>0</v>
      </c>
      <c r="N1046">
        <v>0</v>
      </c>
      <c r="O1046">
        <v>0</v>
      </c>
      <c r="P1046">
        <v>0</v>
      </c>
      <c r="Q1046">
        <v>663</v>
      </c>
      <c r="R1046">
        <v>0.21</v>
      </c>
      <c r="S1046" t="s">
        <v>47</v>
      </c>
      <c r="T1046" s="1">
        <v>45023</v>
      </c>
      <c r="U1046">
        <v>0</v>
      </c>
    </row>
    <row r="1047" spans="1:21" x14ac:dyDescent="0.25">
      <c r="A1047" t="s">
        <v>1094</v>
      </c>
      <c r="B1047">
        <v>42</v>
      </c>
      <c r="C1047" t="s">
        <v>29</v>
      </c>
      <c r="D1047" t="s">
        <v>41</v>
      </c>
      <c r="E1047" t="s">
        <v>31</v>
      </c>
      <c r="F1047" t="s">
        <v>49</v>
      </c>
      <c r="G1047">
        <v>6943.53</v>
      </c>
      <c r="H1047">
        <v>3940.05</v>
      </c>
      <c r="I1047">
        <v>68579.429999999993</v>
      </c>
      <c r="J1047" t="s">
        <v>37</v>
      </c>
      <c r="K1047" t="s">
        <v>38</v>
      </c>
      <c r="L1047">
        <v>0</v>
      </c>
      <c r="M1047">
        <v>0</v>
      </c>
      <c r="N1047">
        <v>0</v>
      </c>
      <c r="O1047">
        <v>0</v>
      </c>
      <c r="P1047">
        <v>0</v>
      </c>
      <c r="Q1047">
        <v>771</v>
      </c>
      <c r="R1047">
        <v>0.82</v>
      </c>
      <c r="S1047" t="s">
        <v>72</v>
      </c>
      <c r="T1047" s="1">
        <v>44917</v>
      </c>
      <c r="U1047">
        <v>0</v>
      </c>
    </row>
    <row r="1048" spans="1:21" x14ac:dyDescent="0.25">
      <c r="A1048" t="s">
        <v>1095</v>
      </c>
      <c r="B1048">
        <v>53</v>
      </c>
      <c r="C1048" t="s">
        <v>29</v>
      </c>
      <c r="D1048" t="s">
        <v>30</v>
      </c>
      <c r="E1048" t="s">
        <v>31</v>
      </c>
      <c r="F1048" t="s">
        <v>23</v>
      </c>
      <c r="G1048">
        <v>1592.53</v>
      </c>
      <c r="H1048">
        <v>1184.45</v>
      </c>
      <c r="I1048">
        <v>10978.49</v>
      </c>
      <c r="J1048" t="s">
        <v>25</v>
      </c>
      <c r="K1048" t="s">
        <v>54</v>
      </c>
      <c r="L1048">
        <v>241006.25</v>
      </c>
      <c r="M1048">
        <v>300</v>
      </c>
      <c r="N1048">
        <v>1720.33</v>
      </c>
      <c r="O1048">
        <v>7.11</v>
      </c>
      <c r="P1048">
        <v>1.08</v>
      </c>
      <c r="Q1048">
        <v>308</v>
      </c>
      <c r="R1048">
        <v>0.56999999999999995</v>
      </c>
      <c r="S1048" t="s">
        <v>30</v>
      </c>
      <c r="T1048" s="1">
        <v>44844</v>
      </c>
      <c r="U1048">
        <v>1</v>
      </c>
    </row>
    <row r="1049" spans="1:21" x14ac:dyDescent="0.25">
      <c r="A1049" t="s">
        <v>1096</v>
      </c>
      <c r="B1049">
        <v>66</v>
      </c>
      <c r="C1049" t="s">
        <v>29</v>
      </c>
      <c r="D1049" t="s">
        <v>41</v>
      </c>
      <c r="E1049" t="s">
        <v>31</v>
      </c>
      <c r="F1049" t="s">
        <v>52</v>
      </c>
      <c r="G1049">
        <v>5746.68</v>
      </c>
      <c r="H1049">
        <v>3122.84</v>
      </c>
      <c r="I1049">
        <v>53447.18</v>
      </c>
      <c r="J1049" t="s">
        <v>37</v>
      </c>
      <c r="K1049" t="s">
        <v>38</v>
      </c>
      <c r="L1049">
        <v>0</v>
      </c>
      <c r="M1049">
        <v>0</v>
      </c>
      <c r="N1049">
        <v>0</v>
      </c>
      <c r="O1049">
        <v>0</v>
      </c>
      <c r="P1049">
        <v>0</v>
      </c>
      <c r="Q1049">
        <v>726</v>
      </c>
      <c r="R1049">
        <v>0.78</v>
      </c>
      <c r="S1049" t="s">
        <v>30</v>
      </c>
      <c r="T1049" s="1">
        <v>45629</v>
      </c>
      <c r="U1049">
        <v>0</v>
      </c>
    </row>
    <row r="1050" spans="1:21" x14ac:dyDescent="0.25">
      <c r="A1050" t="s">
        <v>1097</v>
      </c>
      <c r="B1050">
        <v>51</v>
      </c>
      <c r="C1050" t="s">
        <v>21</v>
      </c>
      <c r="D1050" t="s">
        <v>41</v>
      </c>
      <c r="E1050" t="s">
        <v>51</v>
      </c>
      <c r="F1050" t="s">
        <v>24</v>
      </c>
      <c r="G1050">
        <v>2056.65</v>
      </c>
      <c r="H1050">
        <v>1707.08</v>
      </c>
      <c r="I1050">
        <v>11331.94</v>
      </c>
      <c r="J1050" t="s">
        <v>37</v>
      </c>
      <c r="K1050" t="s">
        <v>38</v>
      </c>
      <c r="L1050">
        <v>0</v>
      </c>
      <c r="M1050">
        <v>0</v>
      </c>
      <c r="N1050">
        <v>0</v>
      </c>
      <c r="O1050">
        <v>0</v>
      </c>
      <c r="P1050">
        <v>0</v>
      </c>
      <c r="Q1050">
        <v>754</v>
      </c>
      <c r="R1050">
        <v>0.46</v>
      </c>
      <c r="S1050" t="s">
        <v>39</v>
      </c>
      <c r="T1050" s="1">
        <v>45772</v>
      </c>
      <c r="U1050">
        <v>0</v>
      </c>
    </row>
    <row r="1051" spans="1:21" x14ac:dyDescent="0.25">
      <c r="A1051" t="s">
        <v>1098</v>
      </c>
      <c r="B1051">
        <v>46</v>
      </c>
      <c r="C1051" t="s">
        <v>29</v>
      </c>
      <c r="D1051" t="s">
        <v>41</v>
      </c>
      <c r="E1051" t="s">
        <v>51</v>
      </c>
      <c r="F1051" t="s">
        <v>32</v>
      </c>
      <c r="G1051">
        <v>5203.1499999999996</v>
      </c>
      <c r="H1051">
        <v>3131.16</v>
      </c>
      <c r="I1051">
        <v>29690.66</v>
      </c>
      <c r="J1051" t="s">
        <v>37</v>
      </c>
      <c r="K1051" t="s">
        <v>38</v>
      </c>
      <c r="L1051">
        <v>0</v>
      </c>
      <c r="M1051">
        <v>0</v>
      </c>
      <c r="N1051">
        <v>0</v>
      </c>
      <c r="O1051">
        <v>0</v>
      </c>
      <c r="P1051">
        <v>0</v>
      </c>
      <c r="Q1051">
        <v>840</v>
      </c>
      <c r="R1051">
        <v>0.48</v>
      </c>
      <c r="S1051" t="s">
        <v>27</v>
      </c>
      <c r="T1051" s="1">
        <v>45465</v>
      </c>
      <c r="U1051">
        <v>0</v>
      </c>
    </row>
    <row r="1052" spans="1:21" x14ac:dyDescent="0.25">
      <c r="A1052" t="s">
        <v>1099</v>
      </c>
      <c r="B1052">
        <v>69</v>
      </c>
      <c r="C1052" t="s">
        <v>29</v>
      </c>
      <c r="D1052" t="s">
        <v>41</v>
      </c>
      <c r="E1052" t="s">
        <v>31</v>
      </c>
      <c r="F1052" t="s">
        <v>49</v>
      </c>
      <c r="G1052">
        <v>1288.02</v>
      </c>
      <c r="H1052">
        <v>725.85</v>
      </c>
      <c r="I1052">
        <v>9720.6200000000008</v>
      </c>
      <c r="J1052" t="s">
        <v>25</v>
      </c>
      <c r="K1052" t="s">
        <v>33</v>
      </c>
      <c r="L1052">
        <v>100120.72</v>
      </c>
      <c r="M1052">
        <v>180</v>
      </c>
      <c r="N1052">
        <v>1581.49</v>
      </c>
      <c r="O1052">
        <v>17.57</v>
      </c>
      <c r="P1052">
        <v>1.23</v>
      </c>
      <c r="Q1052">
        <v>437</v>
      </c>
      <c r="R1052">
        <v>0.63</v>
      </c>
      <c r="S1052" t="s">
        <v>39</v>
      </c>
      <c r="T1052" s="1">
        <v>45499</v>
      </c>
      <c r="U1052">
        <v>1</v>
      </c>
    </row>
    <row r="1053" spans="1:21" x14ac:dyDescent="0.25">
      <c r="A1053" t="s">
        <v>1100</v>
      </c>
      <c r="B1053">
        <v>69</v>
      </c>
      <c r="C1053" t="s">
        <v>21</v>
      </c>
      <c r="D1053" t="s">
        <v>35</v>
      </c>
      <c r="E1053" t="s">
        <v>31</v>
      </c>
      <c r="F1053" t="s">
        <v>63</v>
      </c>
      <c r="G1053">
        <v>5679.54</v>
      </c>
      <c r="H1053">
        <v>2671.35</v>
      </c>
      <c r="I1053">
        <v>60941.53</v>
      </c>
      <c r="J1053" t="s">
        <v>37</v>
      </c>
      <c r="K1053" t="s">
        <v>38</v>
      </c>
      <c r="L1053">
        <v>0</v>
      </c>
      <c r="M1053">
        <v>0</v>
      </c>
      <c r="N1053">
        <v>0</v>
      </c>
      <c r="O1053">
        <v>0</v>
      </c>
      <c r="P1053">
        <v>0</v>
      </c>
      <c r="Q1053">
        <v>818</v>
      </c>
      <c r="R1053">
        <v>0.89</v>
      </c>
      <c r="S1053" t="s">
        <v>72</v>
      </c>
      <c r="T1053" s="1">
        <v>45175</v>
      </c>
      <c r="U1053">
        <v>0</v>
      </c>
    </row>
    <row r="1054" spans="1:21" x14ac:dyDescent="0.25">
      <c r="A1054" t="s">
        <v>1101</v>
      </c>
      <c r="B1054">
        <v>40</v>
      </c>
      <c r="C1054" t="s">
        <v>29</v>
      </c>
      <c r="D1054" t="s">
        <v>35</v>
      </c>
      <c r="E1054" t="s">
        <v>31</v>
      </c>
      <c r="F1054" t="s">
        <v>63</v>
      </c>
      <c r="G1054">
        <v>6602.57</v>
      </c>
      <c r="H1054">
        <v>5501.1</v>
      </c>
      <c r="I1054">
        <v>16606.03</v>
      </c>
      <c r="J1054" t="s">
        <v>37</v>
      </c>
      <c r="K1054" t="s">
        <v>38</v>
      </c>
      <c r="L1054">
        <v>0</v>
      </c>
      <c r="M1054">
        <v>0</v>
      </c>
      <c r="N1054">
        <v>0</v>
      </c>
      <c r="O1054">
        <v>0</v>
      </c>
      <c r="P1054">
        <v>0</v>
      </c>
      <c r="Q1054">
        <v>413</v>
      </c>
      <c r="R1054">
        <v>0.21</v>
      </c>
      <c r="S1054" t="s">
        <v>30</v>
      </c>
      <c r="T1054" s="1">
        <v>45520</v>
      </c>
      <c r="U1054">
        <v>0</v>
      </c>
    </row>
    <row r="1055" spans="1:21" x14ac:dyDescent="0.25">
      <c r="A1055" t="s">
        <v>1102</v>
      </c>
      <c r="B1055">
        <v>56</v>
      </c>
      <c r="C1055" t="s">
        <v>29</v>
      </c>
      <c r="D1055" t="s">
        <v>35</v>
      </c>
      <c r="E1055" t="s">
        <v>31</v>
      </c>
      <c r="F1055" t="s">
        <v>32</v>
      </c>
      <c r="G1055">
        <v>7444.28</v>
      </c>
      <c r="H1055">
        <v>5042.3100000000004</v>
      </c>
      <c r="I1055">
        <v>70836.36</v>
      </c>
      <c r="J1055" t="s">
        <v>37</v>
      </c>
      <c r="K1055" t="s">
        <v>38</v>
      </c>
      <c r="L1055">
        <v>0</v>
      </c>
      <c r="M1055">
        <v>0</v>
      </c>
      <c r="N1055">
        <v>0</v>
      </c>
      <c r="O1055">
        <v>0</v>
      </c>
      <c r="P1055">
        <v>0</v>
      </c>
      <c r="Q1055">
        <v>545</v>
      </c>
      <c r="R1055">
        <v>0.79</v>
      </c>
      <c r="S1055" t="s">
        <v>30</v>
      </c>
      <c r="T1055" s="1">
        <v>44595</v>
      </c>
      <c r="U1055">
        <v>0</v>
      </c>
    </row>
    <row r="1056" spans="1:21" x14ac:dyDescent="0.25">
      <c r="A1056" t="s">
        <v>1103</v>
      </c>
      <c r="B1056">
        <v>55</v>
      </c>
      <c r="C1056" t="s">
        <v>21</v>
      </c>
      <c r="D1056" t="s">
        <v>35</v>
      </c>
      <c r="E1056" t="s">
        <v>31</v>
      </c>
      <c r="F1056" t="s">
        <v>49</v>
      </c>
      <c r="G1056">
        <v>3920.29</v>
      </c>
      <c r="H1056">
        <v>1513.65</v>
      </c>
      <c r="I1056">
        <v>10522.51</v>
      </c>
      <c r="J1056" t="s">
        <v>37</v>
      </c>
      <c r="K1056" t="s">
        <v>38</v>
      </c>
      <c r="L1056">
        <v>0</v>
      </c>
      <c r="M1056">
        <v>0</v>
      </c>
      <c r="N1056">
        <v>0</v>
      </c>
      <c r="O1056">
        <v>0</v>
      </c>
      <c r="P1056">
        <v>0</v>
      </c>
      <c r="Q1056">
        <v>667</v>
      </c>
      <c r="R1056">
        <v>0.22</v>
      </c>
      <c r="S1056" t="s">
        <v>30</v>
      </c>
      <c r="T1056" s="1">
        <v>45282</v>
      </c>
      <c r="U1056">
        <v>0</v>
      </c>
    </row>
    <row r="1057" spans="1:21" x14ac:dyDescent="0.25">
      <c r="A1057" t="s">
        <v>1104</v>
      </c>
      <c r="B1057">
        <v>42</v>
      </c>
      <c r="C1057" t="s">
        <v>29</v>
      </c>
      <c r="D1057" t="s">
        <v>41</v>
      </c>
      <c r="E1057" t="s">
        <v>49</v>
      </c>
      <c r="F1057" t="s">
        <v>42</v>
      </c>
      <c r="G1057">
        <v>5330.15</v>
      </c>
      <c r="H1057">
        <v>1836.88</v>
      </c>
      <c r="I1057">
        <v>62121.08</v>
      </c>
      <c r="J1057" t="s">
        <v>37</v>
      </c>
      <c r="K1057" t="s">
        <v>38</v>
      </c>
      <c r="L1057">
        <v>0</v>
      </c>
      <c r="M1057">
        <v>0</v>
      </c>
      <c r="N1057">
        <v>0</v>
      </c>
      <c r="O1057">
        <v>0</v>
      </c>
      <c r="P1057">
        <v>0</v>
      </c>
      <c r="Q1057">
        <v>786</v>
      </c>
      <c r="R1057">
        <v>0.97</v>
      </c>
      <c r="S1057" t="s">
        <v>47</v>
      </c>
      <c r="T1057" s="1">
        <v>45585</v>
      </c>
      <c r="U1057">
        <v>0</v>
      </c>
    </row>
    <row r="1058" spans="1:21" x14ac:dyDescent="0.25">
      <c r="A1058" t="s">
        <v>1105</v>
      </c>
      <c r="B1058">
        <v>46</v>
      </c>
      <c r="C1058" t="s">
        <v>21</v>
      </c>
      <c r="D1058" t="s">
        <v>41</v>
      </c>
      <c r="E1058" t="s">
        <v>31</v>
      </c>
      <c r="F1058" t="s">
        <v>44</v>
      </c>
      <c r="G1058">
        <v>2744.99</v>
      </c>
      <c r="H1058">
        <v>1701.05</v>
      </c>
      <c r="I1058">
        <v>23342.69</v>
      </c>
      <c r="J1058" t="s">
        <v>37</v>
      </c>
      <c r="K1058" t="s">
        <v>38</v>
      </c>
      <c r="L1058">
        <v>0</v>
      </c>
      <c r="M1058">
        <v>0</v>
      </c>
      <c r="N1058">
        <v>0</v>
      </c>
      <c r="O1058">
        <v>0</v>
      </c>
      <c r="P1058">
        <v>0</v>
      </c>
      <c r="Q1058">
        <v>448</v>
      </c>
      <c r="R1058">
        <v>0.71</v>
      </c>
      <c r="S1058" t="s">
        <v>39</v>
      </c>
      <c r="T1058" s="1">
        <v>44925</v>
      </c>
      <c r="U1058">
        <v>0</v>
      </c>
    </row>
    <row r="1059" spans="1:21" x14ac:dyDescent="0.25">
      <c r="A1059" t="s">
        <v>1106</v>
      </c>
      <c r="B1059">
        <v>27</v>
      </c>
      <c r="C1059" t="s">
        <v>30</v>
      </c>
      <c r="D1059" t="s">
        <v>35</v>
      </c>
      <c r="E1059" t="s">
        <v>31</v>
      </c>
      <c r="F1059" t="s">
        <v>24</v>
      </c>
      <c r="G1059">
        <v>6676.44</v>
      </c>
      <c r="H1059">
        <v>3573.15</v>
      </c>
      <c r="I1059">
        <v>44925.65</v>
      </c>
      <c r="J1059" t="s">
        <v>37</v>
      </c>
      <c r="K1059" t="s">
        <v>38</v>
      </c>
      <c r="L1059">
        <v>0</v>
      </c>
      <c r="M1059">
        <v>0</v>
      </c>
      <c r="N1059">
        <v>0</v>
      </c>
      <c r="O1059">
        <v>0</v>
      </c>
      <c r="P1059">
        <v>0</v>
      </c>
      <c r="Q1059">
        <v>507</v>
      </c>
      <c r="R1059">
        <v>0.56000000000000005</v>
      </c>
      <c r="S1059" t="s">
        <v>72</v>
      </c>
      <c r="T1059" s="1">
        <v>45400</v>
      </c>
      <c r="U1059">
        <v>0</v>
      </c>
    </row>
    <row r="1060" spans="1:21" x14ac:dyDescent="0.25">
      <c r="A1060" t="s">
        <v>1107</v>
      </c>
      <c r="B1060">
        <v>22</v>
      </c>
      <c r="C1060" t="s">
        <v>21</v>
      </c>
      <c r="D1060" t="s">
        <v>41</v>
      </c>
      <c r="E1060" t="s">
        <v>51</v>
      </c>
      <c r="F1060" t="s">
        <v>24</v>
      </c>
      <c r="G1060">
        <v>500</v>
      </c>
      <c r="H1060">
        <v>340.76</v>
      </c>
      <c r="I1060">
        <v>2300.2800000000002</v>
      </c>
      <c r="J1060" t="s">
        <v>37</v>
      </c>
      <c r="K1060" t="s">
        <v>38</v>
      </c>
      <c r="L1060">
        <v>0</v>
      </c>
      <c r="M1060">
        <v>0</v>
      </c>
      <c r="N1060">
        <v>0</v>
      </c>
      <c r="O1060">
        <v>0</v>
      </c>
      <c r="P1060">
        <v>0</v>
      </c>
      <c r="Q1060">
        <v>464</v>
      </c>
      <c r="R1060">
        <v>0.38</v>
      </c>
      <c r="S1060" t="s">
        <v>30</v>
      </c>
      <c r="T1060" s="1">
        <v>45493</v>
      </c>
      <c r="U1060">
        <v>0</v>
      </c>
    </row>
    <row r="1061" spans="1:21" x14ac:dyDescent="0.25">
      <c r="A1061" t="s">
        <v>1108</v>
      </c>
      <c r="B1061">
        <v>54</v>
      </c>
      <c r="C1061" t="s">
        <v>21</v>
      </c>
      <c r="D1061" t="s">
        <v>41</v>
      </c>
      <c r="E1061" t="s">
        <v>31</v>
      </c>
      <c r="F1061" t="s">
        <v>49</v>
      </c>
      <c r="G1061">
        <v>2003.72</v>
      </c>
      <c r="H1061">
        <v>1457.02</v>
      </c>
      <c r="I1061">
        <v>23436.93</v>
      </c>
      <c r="J1061" t="s">
        <v>25</v>
      </c>
      <c r="K1061" t="s">
        <v>45</v>
      </c>
      <c r="L1061">
        <v>165151.39000000001</v>
      </c>
      <c r="M1061">
        <v>60</v>
      </c>
      <c r="N1061">
        <v>3659.53</v>
      </c>
      <c r="O1061">
        <v>11.83</v>
      </c>
      <c r="P1061">
        <v>1.83</v>
      </c>
      <c r="Q1061">
        <v>505</v>
      </c>
      <c r="R1061">
        <v>0.97</v>
      </c>
      <c r="S1061" t="s">
        <v>30</v>
      </c>
      <c r="T1061" s="1">
        <v>45742</v>
      </c>
      <c r="U1061">
        <v>1</v>
      </c>
    </row>
    <row r="1062" spans="1:21" x14ac:dyDescent="0.25">
      <c r="A1062" t="s">
        <v>1109</v>
      </c>
      <c r="B1062">
        <v>22</v>
      </c>
      <c r="C1062" t="s">
        <v>21</v>
      </c>
      <c r="D1062" t="s">
        <v>41</v>
      </c>
      <c r="E1062" t="s">
        <v>49</v>
      </c>
      <c r="F1062" t="s">
        <v>24</v>
      </c>
      <c r="G1062">
        <v>1380.96</v>
      </c>
      <c r="H1062">
        <v>628.78</v>
      </c>
      <c r="I1062">
        <v>7848.4</v>
      </c>
      <c r="J1062" t="s">
        <v>37</v>
      </c>
      <c r="K1062" t="s">
        <v>38</v>
      </c>
      <c r="L1062">
        <v>0</v>
      </c>
      <c r="M1062">
        <v>0</v>
      </c>
      <c r="N1062">
        <v>0</v>
      </c>
      <c r="O1062">
        <v>0</v>
      </c>
      <c r="P1062">
        <v>0</v>
      </c>
      <c r="Q1062">
        <v>794</v>
      </c>
      <c r="R1062">
        <v>0.47</v>
      </c>
      <c r="S1062" t="s">
        <v>39</v>
      </c>
      <c r="T1062" s="1">
        <v>44965</v>
      </c>
      <c r="U1062">
        <v>0</v>
      </c>
    </row>
    <row r="1063" spans="1:21" x14ac:dyDescent="0.25">
      <c r="A1063" t="s">
        <v>1110</v>
      </c>
      <c r="B1063">
        <v>37</v>
      </c>
      <c r="C1063" t="s">
        <v>21</v>
      </c>
      <c r="D1063" t="s">
        <v>35</v>
      </c>
      <c r="E1063" t="s">
        <v>31</v>
      </c>
      <c r="F1063" t="s">
        <v>49</v>
      </c>
      <c r="G1063">
        <v>3202.22</v>
      </c>
      <c r="H1063">
        <v>1195.8699999999999</v>
      </c>
      <c r="I1063">
        <v>19006.12</v>
      </c>
      <c r="J1063" t="s">
        <v>37</v>
      </c>
      <c r="K1063" t="s">
        <v>38</v>
      </c>
      <c r="L1063">
        <v>0</v>
      </c>
      <c r="M1063">
        <v>0</v>
      </c>
      <c r="N1063">
        <v>0</v>
      </c>
      <c r="O1063">
        <v>0</v>
      </c>
      <c r="P1063">
        <v>0</v>
      </c>
      <c r="Q1063">
        <v>357</v>
      </c>
      <c r="R1063">
        <v>0.49</v>
      </c>
      <c r="S1063" t="s">
        <v>47</v>
      </c>
      <c r="T1063" s="1">
        <v>45797</v>
      </c>
      <c r="U1063">
        <v>0</v>
      </c>
    </row>
    <row r="1064" spans="1:21" x14ac:dyDescent="0.25">
      <c r="A1064" t="s">
        <v>1111</v>
      </c>
      <c r="B1064">
        <v>20</v>
      </c>
      <c r="C1064" t="s">
        <v>21</v>
      </c>
      <c r="D1064" t="s">
        <v>22</v>
      </c>
      <c r="E1064" t="s">
        <v>31</v>
      </c>
      <c r="F1064" t="s">
        <v>23</v>
      </c>
      <c r="G1064">
        <v>4516.6099999999997</v>
      </c>
      <c r="H1064">
        <v>2793.52</v>
      </c>
      <c r="I1064">
        <v>33365.339999999997</v>
      </c>
      <c r="J1064" t="s">
        <v>25</v>
      </c>
      <c r="K1064" t="s">
        <v>33</v>
      </c>
      <c r="L1064">
        <v>394725.26</v>
      </c>
      <c r="M1064">
        <v>360</v>
      </c>
      <c r="N1064">
        <v>5041.62</v>
      </c>
      <c r="O1064">
        <v>15.16</v>
      </c>
      <c r="P1064">
        <v>1.1200000000000001</v>
      </c>
      <c r="Q1064">
        <v>427</v>
      </c>
      <c r="R1064">
        <v>0.62</v>
      </c>
      <c r="S1064" t="s">
        <v>39</v>
      </c>
      <c r="T1064" s="1">
        <v>45260</v>
      </c>
      <c r="U1064">
        <v>1</v>
      </c>
    </row>
    <row r="1065" spans="1:21" x14ac:dyDescent="0.25">
      <c r="A1065" t="s">
        <v>1112</v>
      </c>
      <c r="B1065">
        <v>59</v>
      </c>
      <c r="C1065" t="s">
        <v>21</v>
      </c>
      <c r="D1065" t="s">
        <v>22</v>
      </c>
      <c r="E1065" t="s">
        <v>31</v>
      </c>
      <c r="F1065" t="s">
        <v>23</v>
      </c>
      <c r="G1065">
        <v>5407.02</v>
      </c>
      <c r="H1065">
        <v>1959.75</v>
      </c>
      <c r="I1065">
        <v>32543.81</v>
      </c>
      <c r="J1065" t="s">
        <v>37</v>
      </c>
      <c r="K1065" t="s">
        <v>38</v>
      </c>
      <c r="L1065">
        <v>0</v>
      </c>
      <c r="M1065">
        <v>0</v>
      </c>
      <c r="N1065">
        <v>0</v>
      </c>
      <c r="O1065">
        <v>0</v>
      </c>
      <c r="P1065">
        <v>0</v>
      </c>
      <c r="Q1065">
        <v>615</v>
      </c>
      <c r="R1065">
        <v>0.5</v>
      </c>
      <c r="S1065" t="s">
        <v>72</v>
      </c>
      <c r="T1065" s="1">
        <v>45226</v>
      </c>
      <c r="U1065">
        <v>0</v>
      </c>
    </row>
    <row r="1066" spans="1:21" x14ac:dyDescent="0.25">
      <c r="A1066" t="s">
        <v>1113</v>
      </c>
      <c r="B1066">
        <v>28</v>
      </c>
      <c r="C1066" t="s">
        <v>21</v>
      </c>
      <c r="D1066" t="s">
        <v>22</v>
      </c>
      <c r="E1066" t="s">
        <v>31</v>
      </c>
      <c r="F1066" t="s">
        <v>36</v>
      </c>
      <c r="G1066">
        <v>4805.95</v>
      </c>
      <c r="H1066">
        <v>2228.33</v>
      </c>
      <c r="I1066">
        <v>24354.1</v>
      </c>
      <c r="J1066" t="s">
        <v>25</v>
      </c>
      <c r="K1066" t="s">
        <v>54</v>
      </c>
      <c r="L1066">
        <v>441930.58</v>
      </c>
      <c r="M1066">
        <v>240</v>
      </c>
      <c r="N1066">
        <v>6261.39</v>
      </c>
      <c r="O1066">
        <v>16.34</v>
      </c>
      <c r="P1066">
        <v>1.3</v>
      </c>
      <c r="Q1066">
        <v>817</v>
      </c>
      <c r="R1066">
        <v>0.42</v>
      </c>
      <c r="S1066" t="s">
        <v>27</v>
      </c>
      <c r="T1066" s="1">
        <v>44435</v>
      </c>
      <c r="U1066">
        <v>1</v>
      </c>
    </row>
    <row r="1067" spans="1:21" x14ac:dyDescent="0.25">
      <c r="A1067" t="s">
        <v>1114</v>
      </c>
      <c r="B1067">
        <v>63</v>
      </c>
      <c r="C1067" t="s">
        <v>21</v>
      </c>
      <c r="D1067" t="s">
        <v>35</v>
      </c>
      <c r="E1067" t="s">
        <v>31</v>
      </c>
      <c r="F1067" t="s">
        <v>24</v>
      </c>
      <c r="G1067">
        <v>4370.28</v>
      </c>
      <c r="H1067">
        <v>1926.62</v>
      </c>
      <c r="I1067">
        <v>26836.18</v>
      </c>
      <c r="J1067" t="s">
        <v>37</v>
      </c>
      <c r="K1067" t="s">
        <v>38</v>
      </c>
      <c r="L1067">
        <v>0</v>
      </c>
      <c r="M1067">
        <v>0</v>
      </c>
      <c r="N1067">
        <v>0</v>
      </c>
      <c r="O1067">
        <v>0</v>
      </c>
      <c r="P1067">
        <v>0</v>
      </c>
      <c r="Q1067">
        <v>646</v>
      </c>
      <c r="R1067">
        <v>0.51</v>
      </c>
      <c r="S1067" t="s">
        <v>30</v>
      </c>
      <c r="T1067" s="1">
        <v>45608</v>
      </c>
      <c r="U1067">
        <v>0</v>
      </c>
    </row>
    <row r="1068" spans="1:21" x14ac:dyDescent="0.25">
      <c r="A1068" t="s">
        <v>1115</v>
      </c>
      <c r="B1068">
        <v>45</v>
      </c>
      <c r="C1068" t="s">
        <v>21</v>
      </c>
      <c r="D1068" t="s">
        <v>22</v>
      </c>
      <c r="E1068" t="s">
        <v>31</v>
      </c>
      <c r="F1068" t="s">
        <v>52</v>
      </c>
      <c r="G1068">
        <v>2099.5300000000002</v>
      </c>
      <c r="H1068">
        <v>1137.4100000000001</v>
      </c>
      <c r="I1068">
        <v>18719.21</v>
      </c>
      <c r="J1068" t="s">
        <v>37</v>
      </c>
      <c r="K1068" t="s">
        <v>38</v>
      </c>
      <c r="L1068">
        <v>0</v>
      </c>
      <c r="M1068">
        <v>0</v>
      </c>
      <c r="N1068">
        <v>0</v>
      </c>
      <c r="O1068">
        <v>0</v>
      </c>
      <c r="P1068">
        <v>0</v>
      </c>
      <c r="Q1068">
        <v>577</v>
      </c>
      <c r="R1068">
        <v>0.74</v>
      </c>
      <c r="S1068" t="s">
        <v>30</v>
      </c>
      <c r="T1068" s="1">
        <v>44983</v>
      </c>
      <c r="U1068">
        <v>0</v>
      </c>
    </row>
    <row r="1069" spans="1:21" x14ac:dyDescent="0.25">
      <c r="A1069" t="s">
        <v>1116</v>
      </c>
      <c r="B1069">
        <v>24</v>
      </c>
      <c r="C1069" t="s">
        <v>29</v>
      </c>
      <c r="D1069" t="s">
        <v>22</v>
      </c>
      <c r="E1069" t="s">
        <v>49</v>
      </c>
      <c r="F1069" t="s">
        <v>63</v>
      </c>
      <c r="G1069">
        <v>2486.67</v>
      </c>
      <c r="H1069">
        <v>1242.6099999999999</v>
      </c>
      <c r="I1069">
        <v>22120.53</v>
      </c>
      <c r="J1069" t="s">
        <v>37</v>
      </c>
      <c r="K1069" t="s">
        <v>38</v>
      </c>
      <c r="L1069">
        <v>0</v>
      </c>
      <c r="M1069">
        <v>0</v>
      </c>
      <c r="N1069">
        <v>0</v>
      </c>
      <c r="O1069">
        <v>0</v>
      </c>
      <c r="P1069">
        <v>0</v>
      </c>
      <c r="Q1069">
        <v>785</v>
      </c>
      <c r="R1069">
        <v>0.74</v>
      </c>
      <c r="S1069" t="s">
        <v>27</v>
      </c>
      <c r="T1069" s="1">
        <v>44490</v>
      </c>
      <c r="U1069">
        <v>0</v>
      </c>
    </row>
    <row r="1070" spans="1:21" x14ac:dyDescent="0.25">
      <c r="A1070" t="s">
        <v>1117</v>
      </c>
      <c r="B1070">
        <v>25</v>
      </c>
      <c r="C1070" t="s">
        <v>21</v>
      </c>
      <c r="D1070" t="s">
        <v>41</v>
      </c>
      <c r="E1070" t="s">
        <v>31</v>
      </c>
      <c r="F1070" t="s">
        <v>63</v>
      </c>
      <c r="G1070">
        <v>3751.26</v>
      </c>
      <c r="H1070">
        <v>2563.9899999999998</v>
      </c>
      <c r="I1070">
        <v>5353.93</v>
      </c>
      <c r="J1070" t="s">
        <v>37</v>
      </c>
      <c r="K1070" t="s">
        <v>38</v>
      </c>
      <c r="L1070">
        <v>0</v>
      </c>
      <c r="M1070">
        <v>0</v>
      </c>
      <c r="N1070">
        <v>0</v>
      </c>
      <c r="O1070">
        <v>0</v>
      </c>
      <c r="P1070">
        <v>0</v>
      </c>
      <c r="Q1070">
        <v>483</v>
      </c>
      <c r="R1070">
        <v>0.12</v>
      </c>
      <c r="S1070" t="s">
        <v>72</v>
      </c>
      <c r="T1070" s="1">
        <v>45726</v>
      </c>
      <c r="U1070">
        <v>0</v>
      </c>
    </row>
    <row r="1071" spans="1:21" x14ac:dyDescent="0.25">
      <c r="A1071" t="s">
        <v>1118</v>
      </c>
      <c r="B1071">
        <v>69</v>
      </c>
      <c r="C1071" t="s">
        <v>21</v>
      </c>
      <c r="D1071" t="s">
        <v>41</v>
      </c>
      <c r="E1071" t="s">
        <v>51</v>
      </c>
      <c r="F1071" t="s">
        <v>44</v>
      </c>
      <c r="G1071">
        <v>4698.66</v>
      </c>
      <c r="H1071">
        <v>3913.08</v>
      </c>
      <c r="I1071">
        <v>29741.81</v>
      </c>
      <c r="J1071" t="s">
        <v>37</v>
      </c>
      <c r="K1071" t="s">
        <v>38</v>
      </c>
      <c r="L1071">
        <v>0</v>
      </c>
      <c r="M1071">
        <v>0</v>
      </c>
      <c r="N1071">
        <v>0</v>
      </c>
      <c r="O1071">
        <v>0</v>
      </c>
      <c r="P1071">
        <v>0</v>
      </c>
      <c r="Q1071">
        <v>597</v>
      </c>
      <c r="R1071">
        <v>0.53</v>
      </c>
      <c r="S1071" t="s">
        <v>47</v>
      </c>
      <c r="T1071" s="1">
        <v>44412</v>
      </c>
      <c r="U1071">
        <v>0</v>
      </c>
    </row>
    <row r="1072" spans="1:21" x14ac:dyDescent="0.25">
      <c r="A1072" t="s">
        <v>1119</v>
      </c>
      <c r="B1072">
        <v>34</v>
      </c>
      <c r="C1072" t="s">
        <v>29</v>
      </c>
      <c r="D1072" t="s">
        <v>30</v>
      </c>
      <c r="E1072" t="s">
        <v>49</v>
      </c>
      <c r="F1072" t="s">
        <v>36</v>
      </c>
      <c r="G1072">
        <v>6514.27</v>
      </c>
      <c r="H1072">
        <v>2384.61</v>
      </c>
      <c r="I1072">
        <v>52016.2</v>
      </c>
      <c r="J1072" t="s">
        <v>37</v>
      </c>
      <c r="K1072" t="s">
        <v>38</v>
      </c>
      <c r="L1072">
        <v>0</v>
      </c>
      <c r="M1072">
        <v>0</v>
      </c>
      <c r="N1072">
        <v>0</v>
      </c>
      <c r="O1072">
        <v>0</v>
      </c>
      <c r="P1072">
        <v>0</v>
      </c>
      <c r="Q1072">
        <v>769</v>
      </c>
      <c r="R1072">
        <v>0.67</v>
      </c>
      <c r="S1072" t="s">
        <v>47</v>
      </c>
      <c r="T1072" s="1">
        <v>44998</v>
      </c>
      <c r="U1072">
        <v>0</v>
      </c>
    </row>
    <row r="1073" spans="1:21" x14ac:dyDescent="0.25">
      <c r="A1073" t="s">
        <v>1120</v>
      </c>
      <c r="B1073">
        <v>45</v>
      </c>
      <c r="C1073" t="s">
        <v>29</v>
      </c>
      <c r="D1073" t="s">
        <v>41</v>
      </c>
      <c r="E1073" t="s">
        <v>23</v>
      </c>
      <c r="F1073" t="s">
        <v>49</v>
      </c>
      <c r="G1073">
        <v>500</v>
      </c>
      <c r="H1073">
        <v>357.42</v>
      </c>
      <c r="I1073">
        <v>3220</v>
      </c>
      <c r="J1073" t="s">
        <v>37</v>
      </c>
      <c r="K1073" t="s">
        <v>38</v>
      </c>
      <c r="L1073">
        <v>0</v>
      </c>
      <c r="M1073">
        <v>0</v>
      </c>
      <c r="N1073">
        <v>0</v>
      </c>
      <c r="O1073">
        <v>0</v>
      </c>
      <c r="P1073">
        <v>0</v>
      </c>
      <c r="Q1073">
        <v>337</v>
      </c>
      <c r="R1073">
        <v>0.54</v>
      </c>
      <c r="S1073" t="s">
        <v>30</v>
      </c>
      <c r="T1073" s="1">
        <v>45355</v>
      </c>
      <c r="U1073">
        <v>0</v>
      </c>
    </row>
    <row r="1074" spans="1:21" x14ac:dyDescent="0.25">
      <c r="A1074" t="s">
        <v>1121</v>
      </c>
      <c r="B1074">
        <v>56</v>
      </c>
      <c r="C1074" t="s">
        <v>29</v>
      </c>
      <c r="D1074" t="s">
        <v>22</v>
      </c>
      <c r="E1074" t="s">
        <v>31</v>
      </c>
      <c r="F1074" t="s">
        <v>24</v>
      </c>
      <c r="G1074">
        <v>3739.29</v>
      </c>
      <c r="H1074">
        <v>3301.26</v>
      </c>
      <c r="I1074">
        <v>28138.86</v>
      </c>
      <c r="J1074" t="s">
        <v>37</v>
      </c>
      <c r="K1074" t="s">
        <v>38</v>
      </c>
      <c r="L1074">
        <v>0</v>
      </c>
      <c r="M1074">
        <v>0</v>
      </c>
      <c r="N1074">
        <v>0</v>
      </c>
      <c r="O1074">
        <v>0</v>
      </c>
      <c r="P1074">
        <v>0</v>
      </c>
      <c r="Q1074">
        <v>696</v>
      </c>
      <c r="R1074">
        <v>0.63</v>
      </c>
      <c r="S1074" t="s">
        <v>30</v>
      </c>
      <c r="T1074" s="1">
        <v>44420</v>
      </c>
      <c r="U1074">
        <v>0</v>
      </c>
    </row>
    <row r="1075" spans="1:21" x14ac:dyDescent="0.25">
      <c r="A1075" t="s">
        <v>1122</v>
      </c>
      <c r="B1075">
        <v>49</v>
      </c>
      <c r="C1075" t="s">
        <v>29</v>
      </c>
      <c r="D1075" t="s">
        <v>41</v>
      </c>
      <c r="E1075" t="s">
        <v>31</v>
      </c>
      <c r="F1075" t="s">
        <v>32</v>
      </c>
      <c r="G1075">
        <v>6568.5</v>
      </c>
      <c r="H1075">
        <v>5252.89</v>
      </c>
      <c r="I1075">
        <v>12653.91</v>
      </c>
      <c r="J1075" t="s">
        <v>37</v>
      </c>
      <c r="K1075" t="s">
        <v>38</v>
      </c>
      <c r="L1075">
        <v>0</v>
      </c>
      <c r="M1075">
        <v>0</v>
      </c>
      <c r="N1075">
        <v>0</v>
      </c>
      <c r="O1075">
        <v>0</v>
      </c>
      <c r="P1075">
        <v>0</v>
      </c>
      <c r="Q1075">
        <v>591</v>
      </c>
      <c r="R1075">
        <v>0.16</v>
      </c>
      <c r="S1075" t="s">
        <v>72</v>
      </c>
      <c r="T1075" s="1">
        <v>45684</v>
      </c>
      <c r="U1075">
        <v>0</v>
      </c>
    </row>
    <row r="1076" spans="1:21" x14ac:dyDescent="0.25">
      <c r="A1076" t="s">
        <v>1123</v>
      </c>
      <c r="B1076">
        <v>29</v>
      </c>
      <c r="C1076" t="s">
        <v>29</v>
      </c>
      <c r="D1076" t="s">
        <v>35</v>
      </c>
      <c r="E1076" t="s">
        <v>23</v>
      </c>
      <c r="F1076" t="s">
        <v>24</v>
      </c>
      <c r="G1076">
        <v>7319.09</v>
      </c>
      <c r="H1076">
        <v>4562.55</v>
      </c>
      <c r="I1076">
        <v>19418.689999999999</v>
      </c>
      <c r="J1076" t="s">
        <v>25</v>
      </c>
      <c r="K1076" t="s">
        <v>33</v>
      </c>
      <c r="L1076">
        <v>266054.73</v>
      </c>
      <c r="M1076">
        <v>360</v>
      </c>
      <c r="N1076">
        <v>4072.69</v>
      </c>
      <c r="O1076">
        <v>18.29</v>
      </c>
      <c r="P1076">
        <v>0.56000000000000005</v>
      </c>
      <c r="Q1076">
        <v>819</v>
      </c>
      <c r="R1076">
        <v>0.22</v>
      </c>
      <c r="S1076" t="s">
        <v>27</v>
      </c>
      <c r="T1076" s="1">
        <v>45536</v>
      </c>
      <c r="U1076">
        <v>1</v>
      </c>
    </row>
    <row r="1077" spans="1:21" x14ac:dyDescent="0.25">
      <c r="A1077" t="s">
        <v>1124</v>
      </c>
      <c r="B1077">
        <v>50</v>
      </c>
      <c r="C1077" t="s">
        <v>29</v>
      </c>
      <c r="D1077" t="s">
        <v>41</v>
      </c>
      <c r="E1077" t="s">
        <v>51</v>
      </c>
      <c r="F1077" t="s">
        <v>42</v>
      </c>
      <c r="G1077">
        <v>4090.3</v>
      </c>
      <c r="H1077">
        <v>3573.88</v>
      </c>
      <c r="I1077">
        <v>19421.349999999999</v>
      </c>
      <c r="J1077" t="s">
        <v>37</v>
      </c>
      <c r="K1077" t="s">
        <v>38</v>
      </c>
      <c r="L1077">
        <v>0</v>
      </c>
      <c r="M1077">
        <v>0</v>
      </c>
      <c r="N1077">
        <v>0</v>
      </c>
      <c r="O1077">
        <v>0</v>
      </c>
      <c r="P1077">
        <v>0</v>
      </c>
      <c r="Q1077">
        <v>305</v>
      </c>
      <c r="R1077">
        <v>0.4</v>
      </c>
      <c r="S1077" t="s">
        <v>72</v>
      </c>
      <c r="T1077" s="1">
        <v>44774</v>
      </c>
      <c r="U1077">
        <v>0</v>
      </c>
    </row>
    <row r="1078" spans="1:21" x14ac:dyDescent="0.25">
      <c r="A1078" t="s">
        <v>1125</v>
      </c>
      <c r="B1078">
        <v>55</v>
      </c>
      <c r="C1078" t="s">
        <v>29</v>
      </c>
      <c r="D1078" t="s">
        <v>35</v>
      </c>
      <c r="E1078" t="s">
        <v>51</v>
      </c>
      <c r="F1078" t="s">
        <v>52</v>
      </c>
      <c r="G1078">
        <v>6230.77</v>
      </c>
      <c r="H1078">
        <v>3418.99</v>
      </c>
      <c r="I1078">
        <v>37269.599999999999</v>
      </c>
      <c r="J1078" t="s">
        <v>37</v>
      </c>
      <c r="K1078" t="s">
        <v>38</v>
      </c>
      <c r="L1078">
        <v>0</v>
      </c>
      <c r="M1078">
        <v>0</v>
      </c>
      <c r="N1078">
        <v>0</v>
      </c>
      <c r="O1078">
        <v>0</v>
      </c>
      <c r="P1078">
        <v>0</v>
      </c>
      <c r="Q1078">
        <v>651</v>
      </c>
      <c r="R1078">
        <v>0.5</v>
      </c>
      <c r="S1078" t="s">
        <v>47</v>
      </c>
      <c r="T1078" s="1">
        <v>45801</v>
      </c>
      <c r="U1078">
        <v>0</v>
      </c>
    </row>
    <row r="1079" spans="1:21" x14ac:dyDescent="0.25">
      <c r="A1079" t="s">
        <v>1126</v>
      </c>
      <c r="B1079">
        <v>18</v>
      </c>
      <c r="C1079" t="s">
        <v>29</v>
      </c>
      <c r="D1079" t="s">
        <v>22</v>
      </c>
      <c r="E1079" t="s">
        <v>31</v>
      </c>
      <c r="F1079" t="s">
        <v>49</v>
      </c>
      <c r="G1079">
        <v>4139.7700000000004</v>
      </c>
      <c r="H1079">
        <v>3175.23</v>
      </c>
      <c r="I1079">
        <v>37568</v>
      </c>
      <c r="J1079" t="s">
        <v>37</v>
      </c>
      <c r="K1079" t="s">
        <v>38</v>
      </c>
      <c r="L1079">
        <v>0</v>
      </c>
      <c r="M1079">
        <v>0</v>
      </c>
      <c r="N1079">
        <v>0</v>
      </c>
      <c r="O1079">
        <v>0</v>
      </c>
      <c r="P1079">
        <v>0</v>
      </c>
      <c r="Q1079">
        <v>460</v>
      </c>
      <c r="R1079">
        <v>0.76</v>
      </c>
      <c r="S1079" t="s">
        <v>39</v>
      </c>
      <c r="T1079" s="1">
        <v>44533</v>
      </c>
      <c r="U1079">
        <v>0</v>
      </c>
    </row>
    <row r="1080" spans="1:21" x14ac:dyDescent="0.25">
      <c r="A1080" t="s">
        <v>1127</v>
      </c>
      <c r="B1080">
        <v>61</v>
      </c>
      <c r="C1080" t="s">
        <v>21</v>
      </c>
      <c r="D1080" t="s">
        <v>41</v>
      </c>
      <c r="E1080" t="s">
        <v>31</v>
      </c>
      <c r="F1080" t="s">
        <v>24</v>
      </c>
      <c r="G1080">
        <v>2845.9</v>
      </c>
      <c r="H1080">
        <v>929.06</v>
      </c>
      <c r="I1080">
        <v>12628.39</v>
      </c>
      <c r="J1080" t="s">
        <v>37</v>
      </c>
      <c r="K1080" t="s">
        <v>38</v>
      </c>
      <c r="L1080">
        <v>0</v>
      </c>
      <c r="M1080">
        <v>0</v>
      </c>
      <c r="N1080">
        <v>0</v>
      </c>
      <c r="O1080">
        <v>0</v>
      </c>
      <c r="P1080">
        <v>0</v>
      </c>
      <c r="Q1080">
        <v>613</v>
      </c>
      <c r="R1080">
        <v>0.37</v>
      </c>
      <c r="S1080" t="s">
        <v>27</v>
      </c>
      <c r="T1080" s="1">
        <v>45678</v>
      </c>
      <c r="U1080">
        <v>0</v>
      </c>
    </row>
    <row r="1081" spans="1:21" x14ac:dyDescent="0.25">
      <c r="A1081" t="s">
        <v>1128</v>
      </c>
      <c r="B1081">
        <v>62</v>
      </c>
      <c r="C1081" t="s">
        <v>29</v>
      </c>
      <c r="D1081" t="s">
        <v>41</v>
      </c>
      <c r="E1081" t="s">
        <v>31</v>
      </c>
      <c r="F1081" t="s">
        <v>24</v>
      </c>
      <c r="G1081">
        <v>6608.95</v>
      </c>
      <c r="H1081">
        <v>5667.44</v>
      </c>
      <c r="I1081">
        <v>72089.009999999995</v>
      </c>
      <c r="J1081" t="s">
        <v>37</v>
      </c>
      <c r="K1081" t="s">
        <v>38</v>
      </c>
      <c r="L1081">
        <v>0</v>
      </c>
      <c r="M1081">
        <v>0</v>
      </c>
      <c r="N1081">
        <v>0</v>
      </c>
      <c r="O1081">
        <v>0</v>
      </c>
      <c r="P1081">
        <v>0</v>
      </c>
      <c r="Q1081">
        <v>598</v>
      </c>
      <c r="R1081">
        <v>0.91</v>
      </c>
      <c r="S1081" t="s">
        <v>30</v>
      </c>
      <c r="T1081" s="1">
        <v>45479</v>
      </c>
      <c r="U1081">
        <v>0</v>
      </c>
    </row>
    <row r="1082" spans="1:21" x14ac:dyDescent="0.25">
      <c r="A1082" t="s">
        <v>1129</v>
      </c>
      <c r="B1082">
        <v>55</v>
      </c>
      <c r="C1082" t="s">
        <v>21</v>
      </c>
      <c r="D1082" t="s">
        <v>30</v>
      </c>
      <c r="E1082" t="s">
        <v>31</v>
      </c>
      <c r="F1082" t="s">
        <v>63</v>
      </c>
      <c r="G1082">
        <v>1478.71</v>
      </c>
      <c r="H1082">
        <v>565.99</v>
      </c>
      <c r="I1082">
        <v>7329.9</v>
      </c>
      <c r="J1082" t="s">
        <v>25</v>
      </c>
      <c r="K1082" t="s">
        <v>54</v>
      </c>
      <c r="L1082">
        <v>89121.01</v>
      </c>
      <c r="M1082">
        <v>60</v>
      </c>
      <c r="N1082">
        <v>1691.64</v>
      </c>
      <c r="O1082">
        <v>5.24</v>
      </c>
      <c r="P1082">
        <v>1.1399999999999999</v>
      </c>
      <c r="Q1082">
        <v>546</v>
      </c>
      <c r="R1082">
        <v>0.41</v>
      </c>
      <c r="S1082" t="s">
        <v>72</v>
      </c>
      <c r="T1082" s="1">
        <v>45299</v>
      </c>
      <c r="U1082">
        <v>1</v>
      </c>
    </row>
    <row r="1083" spans="1:21" x14ac:dyDescent="0.25">
      <c r="A1083" t="s">
        <v>1130</v>
      </c>
      <c r="B1083">
        <v>20</v>
      </c>
      <c r="C1083" t="s">
        <v>29</v>
      </c>
      <c r="D1083" t="s">
        <v>56</v>
      </c>
      <c r="E1083" t="s">
        <v>31</v>
      </c>
      <c r="F1083" t="s">
        <v>32</v>
      </c>
      <c r="G1083">
        <v>6663.17</v>
      </c>
      <c r="H1083">
        <v>3029.51</v>
      </c>
      <c r="I1083">
        <v>29907.73</v>
      </c>
      <c r="J1083" t="s">
        <v>37</v>
      </c>
      <c r="K1083" t="s">
        <v>38</v>
      </c>
      <c r="L1083">
        <v>0</v>
      </c>
      <c r="M1083">
        <v>0</v>
      </c>
      <c r="N1083">
        <v>0</v>
      </c>
      <c r="O1083">
        <v>0</v>
      </c>
      <c r="P1083">
        <v>0</v>
      </c>
      <c r="Q1083">
        <v>396</v>
      </c>
      <c r="R1083">
        <v>0.37</v>
      </c>
      <c r="S1083" t="s">
        <v>39</v>
      </c>
      <c r="T1083" s="1">
        <v>45524</v>
      </c>
      <c r="U1083">
        <v>0</v>
      </c>
    </row>
    <row r="1084" spans="1:21" x14ac:dyDescent="0.25">
      <c r="A1084" t="s">
        <v>1131</v>
      </c>
      <c r="B1084">
        <v>28</v>
      </c>
      <c r="C1084" t="s">
        <v>29</v>
      </c>
      <c r="D1084" t="s">
        <v>41</v>
      </c>
      <c r="E1084" t="s">
        <v>31</v>
      </c>
      <c r="F1084" t="s">
        <v>36</v>
      </c>
      <c r="G1084">
        <v>6619.34</v>
      </c>
      <c r="H1084">
        <v>3360.75</v>
      </c>
      <c r="I1084">
        <v>39048.22</v>
      </c>
      <c r="J1084" t="s">
        <v>25</v>
      </c>
      <c r="K1084" t="s">
        <v>45</v>
      </c>
      <c r="L1084">
        <v>237083.41</v>
      </c>
      <c r="M1084">
        <v>360</v>
      </c>
      <c r="N1084">
        <v>3068.05</v>
      </c>
      <c r="O1084">
        <v>15.37</v>
      </c>
      <c r="P1084">
        <v>0.46</v>
      </c>
      <c r="Q1084">
        <v>794</v>
      </c>
      <c r="R1084">
        <v>0.49</v>
      </c>
      <c r="S1084" t="s">
        <v>39</v>
      </c>
      <c r="T1084" s="1">
        <v>44730</v>
      </c>
      <c r="U1084">
        <v>1</v>
      </c>
    </row>
    <row r="1085" spans="1:21" x14ac:dyDescent="0.25">
      <c r="A1085" t="s">
        <v>1132</v>
      </c>
      <c r="B1085">
        <v>56</v>
      </c>
      <c r="C1085" t="s">
        <v>29</v>
      </c>
      <c r="D1085" t="s">
        <v>35</v>
      </c>
      <c r="E1085" t="s">
        <v>31</v>
      </c>
      <c r="F1085" t="s">
        <v>36</v>
      </c>
      <c r="G1085">
        <v>5460.85</v>
      </c>
      <c r="H1085">
        <v>2664.31</v>
      </c>
      <c r="I1085">
        <v>11677.43</v>
      </c>
      <c r="J1085" t="s">
        <v>37</v>
      </c>
      <c r="K1085" t="s">
        <v>38</v>
      </c>
      <c r="L1085">
        <v>0</v>
      </c>
      <c r="M1085">
        <v>0</v>
      </c>
      <c r="N1085">
        <v>0</v>
      </c>
      <c r="O1085">
        <v>0</v>
      </c>
      <c r="P1085">
        <v>0</v>
      </c>
      <c r="Q1085">
        <v>441</v>
      </c>
      <c r="R1085">
        <v>0.18</v>
      </c>
      <c r="S1085" t="s">
        <v>27</v>
      </c>
      <c r="T1085" s="1">
        <v>45816</v>
      </c>
      <c r="U1085">
        <v>0</v>
      </c>
    </row>
    <row r="1086" spans="1:21" x14ac:dyDescent="0.25">
      <c r="A1086" t="s">
        <v>1133</v>
      </c>
      <c r="B1086">
        <v>56</v>
      </c>
      <c r="C1086" t="s">
        <v>21</v>
      </c>
      <c r="D1086" t="s">
        <v>41</v>
      </c>
      <c r="E1086" t="s">
        <v>51</v>
      </c>
      <c r="F1086" t="s">
        <v>42</v>
      </c>
      <c r="G1086">
        <v>2557.88</v>
      </c>
      <c r="H1086">
        <v>1843.96</v>
      </c>
      <c r="I1086">
        <v>14104.18</v>
      </c>
      <c r="J1086" t="s">
        <v>37</v>
      </c>
      <c r="K1086" t="s">
        <v>38</v>
      </c>
      <c r="L1086">
        <v>0</v>
      </c>
      <c r="M1086">
        <v>0</v>
      </c>
      <c r="N1086">
        <v>0</v>
      </c>
      <c r="O1086">
        <v>0</v>
      </c>
      <c r="P1086">
        <v>0</v>
      </c>
      <c r="Q1086">
        <v>510</v>
      </c>
      <c r="R1086">
        <v>0.46</v>
      </c>
      <c r="S1086" t="s">
        <v>72</v>
      </c>
      <c r="T1086" s="1">
        <v>45664</v>
      </c>
      <c r="U1086">
        <v>0</v>
      </c>
    </row>
    <row r="1087" spans="1:21" x14ac:dyDescent="0.25">
      <c r="A1087" t="s">
        <v>1134</v>
      </c>
      <c r="B1087">
        <v>64</v>
      </c>
      <c r="C1087" t="s">
        <v>29</v>
      </c>
      <c r="D1087" t="s">
        <v>22</v>
      </c>
      <c r="E1087" t="s">
        <v>31</v>
      </c>
      <c r="F1087" t="s">
        <v>24</v>
      </c>
      <c r="G1087">
        <v>1022.61</v>
      </c>
      <c r="H1087">
        <v>445.59</v>
      </c>
      <c r="I1087">
        <v>4193.32</v>
      </c>
      <c r="J1087" t="s">
        <v>37</v>
      </c>
      <c r="K1087" t="s">
        <v>38</v>
      </c>
      <c r="L1087">
        <v>0</v>
      </c>
      <c r="M1087">
        <v>0</v>
      </c>
      <c r="N1087">
        <v>0</v>
      </c>
      <c r="O1087">
        <v>0</v>
      </c>
      <c r="P1087">
        <v>0</v>
      </c>
      <c r="Q1087">
        <v>389</v>
      </c>
      <c r="R1087">
        <v>0.34</v>
      </c>
      <c r="S1087" t="s">
        <v>47</v>
      </c>
      <c r="T1087" s="1">
        <v>44854</v>
      </c>
      <c r="U1087">
        <v>0</v>
      </c>
    </row>
    <row r="1088" spans="1:21" x14ac:dyDescent="0.25">
      <c r="A1088" t="s">
        <v>1135</v>
      </c>
      <c r="B1088">
        <v>67</v>
      </c>
      <c r="C1088" t="s">
        <v>21</v>
      </c>
      <c r="D1088" t="s">
        <v>35</v>
      </c>
      <c r="E1088" t="s">
        <v>51</v>
      </c>
      <c r="F1088" t="s">
        <v>44</v>
      </c>
      <c r="G1088">
        <v>6066.29</v>
      </c>
      <c r="H1088">
        <v>3566.6</v>
      </c>
      <c r="I1088">
        <v>17689.48</v>
      </c>
      <c r="J1088" t="s">
        <v>25</v>
      </c>
      <c r="K1088" t="s">
        <v>45</v>
      </c>
      <c r="L1088">
        <v>243039.98</v>
      </c>
      <c r="M1088">
        <v>60</v>
      </c>
      <c r="N1088">
        <v>7486.81</v>
      </c>
      <c r="O1088">
        <v>27.45</v>
      </c>
      <c r="P1088">
        <v>1.23</v>
      </c>
      <c r="Q1088">
        <v>541</v>
      </c>
      <c r="R1088">
        <v>0.24</v>
      </c>
      <c r="S1088" t="s">
        <v>39</v>
      </c>
      <c r="T1088" s="1">
        <v>44784</v>
      </c>
      <c r="U1088">
        <v>1</v>
      </c>
    </row>
    <row r="1089" spans="1:21" x14ac:dyDescent="0.25">
      <c r="A1089" t="s">
        <v>1136</v>
      </c>
      <c r="B1089">
        <v>67</v>
      </c>
      <c r="C1089" t="s">
        <v>21</v>
      </c>
      <c r="D1089" t="s">
        <v>22</v>
      </c>
      <c r="E1089" t="s">
        <v>31</v>
      </c>
      <c r="F1089" t="s">
        <v>23</v>
      </c>
      <c r="G1089">
        <v>4384.91</v>
      </c>
      <c r="H1089">
        <v>2723.15</v>
      </c>
      <c r="I1089">
        <v>8170.44</v>
      </c>
      <c r="J1089" t="s">
        <v>25</v>
      </c>
      <c r="K1089" t="s">
        <v>26</v>
      </c>
      <c r="L1089">
        <v>474433.24</v>
      </c>
      <c r="M1089">
        <v>360</v>
      </c>
      <c r="N1089">
        <v>5400.64</v>
      </c>
      <c r="O1089">
        <v>13.41</v>
      </c>
      <c r="P1089">
        <v>1.23</v>
      </c>
      <c r="Q1089">
        <v>536</v>
      </c>
      <c r="R1089">
        <v>0.16</v>
      </c>
      <c r="S1089" t="s">
        <v>30</v>
      </c>
      <c r="T1089" s="1">
        <v>44863</v>
      </c>
      <c r="U1089">
        <v>1</v>
      </c>
    </row>
    <row r="1090" spans="1:21" x14ac:dyDescent="0.25">
      <c r="A1090" t="s">
        <v>1137</v>
      </c>
      <c r="B1090">
        <v>40</v>
      </c>
      <c r="C1090" t="s">
        <v>29</v>
      </c>
      <c r="D1090" t="s">
        <v>35</v>
      </c>
      <c r="E1090" t="s">
        <v>31</v>
      </c>
      <c r="F1090" t="s">
        <v>42</v>
      </c>
      <c r="G1090">
        <v>3568.68</v>
      </c>
      <c r="H1090">
        <v>1508.95</v>
      </c>
      <c r="I1090">
        <v>12973.85</v>
      </c>
      <c r="J1090" t="s">
        <v>37</v>
      </c>
      <c r="K1090" t="s">
        <v>38</v>
      </c>
      <c r="L1090">
        <v>0</v>
      </c>
      <c r="M1090">
        <v>0</v>
      </c>
      <c r="N1090">
        <v>0</v>
      </c>
      <c r="O1090">
        <v>0</v>
      </c>
      <c r="P1090">
        <v>0</v>
      </c>
      <c r="Q1090">
        <v>822</v>
      </c>
      <c r="R1090">
        <v>0.3</v>
      </c>
      <c r="S1090" t="s">
        <v>72</v>
      </c>
      <c r="T1090" s="1">
        <v>45344</v>
      </c>
      <c r="U1090">
        <v>0</v>
      </c>
    </row>
    <row r="1091" spans="1:21" x14ac:dyDescent="0.25">
      <c r="A1091" t="s">
        <v>1138</v>
      </c>
      <c r="B1091">
        <v>51</v>
      </c>
      <c r="C1091" t="s">
        <v>29</v>
      </c>
      <c r="D1091" t="s">
        <v>22</v>
      </c>
      <c r="E1091" t="s">
        <v>31</v>
      </c>
      <c r="F1091" t="s">
        <v>63</v>
      </c>
      <c r="G1091">
        <v>8062.74</v>
      </c>
      <c r="H1091">
        <v>4337.63</v>
      </c>
      <c r="I1091">
        <v>26487.279999999999</v>
      </c>
      <c r="J1091" t="s">
        <v>25</v>
      </c>
      <c r="K1091" t="s">
        <v>45</v>
      </c>
      <c r="L1091">
        <v>402398.93</v>
      </c>
      <c r="M1091">
        <v>180</v>
      </c>
      <c r="N1091">
        <v>3899.15</v>
      </c>
      <c r="O1091">
        <v>8.23</v>
      </c>
      <c r="P1091">
        <v>0.48</v>
      </c>
      <c r="Q1091">
        <v>401</v>
      </c>
      <c r="R1091">
        <v>0.27</v>
      </c>
      <c r="S1091" t="s">
        <v>30</v>
      </c>
      <c r="T1091" s="1">
        <v>45052</v>
      </c>
      <c r="U1091">
        <v>1</v>
      </c>
    </row>
    <row r="1092" spans="1:21" x14ac:dyDescent="0.25">
      <c r="A1092" t="s">
        <v>1139</v>
      </c>
      <c r="B1092">
        <v>48</v>
      </c>
      <c r="C1092" t="s">
        <v>29</v>
      </c>
      <c r="D1092" t="s">
        <v>41</v>
      </c>
      <c r="E1092" t="s">
        <v>51</v>
      </c>
      <c r="F1092" t="s">
        <v>24</v>
      </c>
      <c r="G1092">
        <v>4368.97</v>
      </c>
      <c r="H1092">
        <v>2008.98</v>
      </c>
      <c r="I1092">
        <v>22723.82</v>
      </c>
      <c r="J1092" t="s">
        <v>37</v>
      </c>
      <c r="K1092" t="s">
        <v>38</v>
      </c>
      <c r="L1092">
        <v>0</v>
      </c>
      <c r="M1092">
        <v>0</v>
      </c>
      <c r="N1092">
        <v>0</v>
      </c>
      <c r="O1092">
        <v>0</v>
      </c>
      <c r="P1092">
        <v>0</v>
      </c>
      <c r="Q1092">
        <v>600</v>
      </c>
      <c r="R1092">
        <v>0.43</v>
      </c>
      <c r="S1092" t="s">
        <v>72</v>
      </c>
      <c r="T1092" s="1">
        <v>45747</v>
      </c>
      <c r="U1092">
        <v>0</v>
      </c>
    </row>
    <row r="1093" spans="1:21" x14ac:dyDescent="0.25">
      <c r="A1093" t="s">
        <v>1140</v>
      </c>
      <c r="B1093">
        <v>39</v>
      </c>
      <c r="C1093" t="s">
        <v>21</v>
      </c>
      <c r="D1093" t="s">
        <v>41</v>
      </c>
      <c r="E1093" t="s">
        <v>31</v>
      </c>
      <c r="F1093" t="s">
        <v>32</v>
      </c>
      <c r="G1093">
        <v>1664.12</v>
      </c>
      <c r="H1093">
        <v>1161.74</v>
      </c>
      <c r="I1093">
        <v>4242.8500000000004</v>
      </c>
      <c r="J1093" t="s">
        <v>37</v>
      </c>
      <c r="K1093" t="s">
        <v>38</v>
      </c>
      <c r="L1093">
        <v>0</v>
      </c>
      <c r="M1093">
        <v>0</v>
      </c>
      <c r="N1093">
        <v>0</v>
      </c>
      <c r="O1093">
        <v>0</v>
      </c>
      <c r="P1093">
        <v>0</v>
      </c>
      <c r="Q1093">
        <v>380</v>
      </c>
      <c r="R1093">
        <v>0.21</v>
      </c>
      <c r="S1093" t="s">
        <v>30</v>
      </c>
      <c r="T1093" s="1">
        <v>45711</v>
      </c>
      <c r="U1093">
        <v>0</v>
      </c>
    </row>
    <row r="1094" spans="1:21" x14ac:dyDescent="0.25">
      <c r="A1094" t="s">
        <v>1141</v>
      </c>
      <c r="B1094">
        <v>53</v>
      </c>
      <c r="C1094" t="s">
        <v>21</v>
      </c>
      <c r="D1094" t="s">
        <v>22</v>
      </c>
      <c r="E1094" t="s">
        <v>49</v>
      </c>
      <c r="F1094" t="s">
        <v>32</v>
      </c>
      <c r="G1094">
        <v>2696.01</v>
      </c>
      <c r="H1094">
        <v>1053.23</v>
      </c>
      <c r="I1094">
        <v>21046.07</v>
      </c>
      <c r="J1094" t="s">
        <v>37</v>
      </c>
      <c r="K1094" t="s">
        <v>38</v>
      </c>
      <c r="L1094">
        <v>0</v>
      </c>
      <c r="M1094">
        <v>0</v>
      </c>
      <c r="N1094">
        <v>0</v>
      </c>
      <c r="O1094">
        <v>0</v>
      </c>
      <c r="P1094">
        <v>0</v>
      </c>
      <c r="Q1094">
        <v>462</v>
      </c>
      <c r="R1094">
        <v>0.65</v>
      </c>
      <c r="S1094" t="s">
        <v>47</v>
      </c>
      <c r="T1094" s="1">
        <v>45618</v>
      </c>
      <c r="U1094">
        <v>0</v>
      </c>
    </row>
    <row r="1095" spans="1:21" x14ac:dyDescent="0.25">
      <c r="A1095" t="s">
        <v>1142</v>
      </c>
      <c r="B1095">
        <v>21</v>
      </c>
      <c r="C1095" t="s">
        <v>21</v>
      </c>
      <c r="D1095" t="s">
        <v>22</v>
      </c>
      <c r="E1095" t="s">
        <v>49</v>
      </c>
      <c r="F1095" t="s">
        <v>49</v>
      </c>
      <c r="G1095">
        <v>6111.56</v>
      </c>
      <c r="H1095">
        <v>3306.19</v>
      </c>
      <c r="I1095">
        <v>63874.85</v>
      </c>
      <c r="J1095" t="s">
        <v>37</v>
      </c>
      <c r="K1095" t="s">
        <v>38</v>
      </c>
      <c r="L1095">
        <v>0</v>
      </c>
      <c r="M1095">
        <v>0</v>
      </c>
      <c r="N1095">
        <v>0</v>
      </c>
      <c r="O1095">
        <v>0</v>
      </c>
      <c r="P1095">
        <v>0</v>
      </c>
      <c r="Q1095">
        <v>789</v>
      </c>
      <c r="R1095">
        <v>0.87</v>
      </c>
      <c r="S1095" t="s">
        <v>30</v>
      </c>
      <c r="T1095" s="1">
        <v>44566</v>
      </c>
      <c r="U1095">
        <v>0</v>
      </c>
    </row>
    <row r="1096" spans="1:21" x14ac:dyDescent="0.25">
      <c r="A1096" t="s">
        <v>1143</v>
      </c>
      <c r="B1096">
        <v>66</v>
      </c>
      <c r="C1096" t="s">
        <v>29</v>
      </c>
      <c r="D1096" t="s">
        <v>35</v>
      </c>
      <c r="E1096" t="s">
        <v>49</v>
      </c>
      <c r="F1096" t="s">
        <v>42</v>
      </c>
      <c r="G1096">
        <v>7001.06</v>
      </c>
      <c r="H1096">
        <v>3740.31</v>
      </c>
      <c r="I1096">
        <v>73239</v>
      </c>
      <c r="J1096" t="s">
        <v>37</v>
      </c>
      <c r="K1096" t="s">
        <v>38</v>
      </c>
      <c r="L1096">
        <v>0</v>
      </c>
      <c r="M1096">
        <v>0</v>
      </c>
      <c r="N1096">
        <v>0</v>
      </c>
      <c r="O1096">
        <v>0</v>
      </c>
      <c r="P1096">
        <v>0</v>
      </c>
      <c r="Q1096">
        <v>657</v>
      </c>
      <c r="R1096">
        <v>0.87</v>
      </c>
      <c r="S1096" t="s">
        <v>30</v>
      </c>
      <c r="T1096" s="1">
        <v>44550</v>
      </c>
      <c r="U1096">
        <v>0</v>
      </c>
    </row>
    <row r="1097" spans="1:21" x14ac:dyDescent="0.25">
      <c r="A1097" t="s">
        <v>1144</v>
      </c>
      <c r="B1097">
        <v>35</v>
      </c>
      <c r="C1097" t="s">
        <v>21</v>
      </c>
      <c r="D1097" t="s">
        <v>22</v>
      </c>
      <c r="E1097" t="s">
        <v>31</v>
      </c>
      <c r="F1097" t="s">
        <v>36</v>
      </c>
      <c r="G1097">
        <v>5514.29</v>
      </c>
      <c r="H1097">
        <v>4852.03</v>
      </c>
      <c r="I1097">
        <v>9370.5499999999993</v>
      </c>
      <c r="J1097" t="s">
        <v>37</v>
      </c>
      <c r="K1097" t="s">
        <v>38</v>
      </c>
      <c r="L1097">
        <v>0</v>
      </c>
      <c r="M1097">
        <v>0</v>
      </c>
      <c r="N1097">
        <v>0</v>
      </c>
      <c r="O1097">
        <v>0</v>
      </c>
      <c r="P1097">
        <v>0</v>
      </c>
      <c r="Q1097">
        <v>502</v>
      </c>
      <c r="R1097">
        <v>0.14000000000000001</v>
      </c>
      <c r="S1097" t="s">
        <v>72</v>
      </c>
      <c r="T1097" s="1">
        <v>45161</v>
      </c>
      <c r="U1097">
        <v>0</v>
      </c>
    </row>
    <row r="1098" spans="1:21" x14ac:dyDescent="0.25">
      <c r="A1098" t="s">
        <v>1145</v>
      </c>
      <c r="B1098">
        <v>68</v>
      </c>
      <c r="C1098" t="s">
        <v>21</v>
      </c>
      <c r="D1098" t="s">
        <v>35</v>
      </c>
      <c r="E1098" t="s">
        <v>23</v>
      </c>
      <c r="F1098" t="s">
        <v>23</v>
      </c>
      <c r="G1098">
        <v>4203.33</v>
      </c>
      <c r="H1098">
        <v>2421.81</v>
      </c>
      <c r="I1098">
        <v>39853.83</v>
      </c>
      <c r="J1098" t="s">
        <v>25</v>
      </c>
      <c r="K1098" t="s">
        <v>45</v>
      </c>
      <c r="L1098">
        <v>110847.45</v>
      </c>
      <c r="M1098">
        <v>120</v>
      </c>
      <c r="N1098">
        <v>1822.45</v>
      </c>
      <c r="O1098">
        <v>15.5</v>
      </c>
      <c r="P1098">
        <v>0.43</v>
      </c>
      <c r="Q1098">
        <v>683</v>
      </c>
      <c r="R1098">
        <v>0.79</v>
      </c>
      <c r="S1098" t="s">
        <v>27</v>
      </c>
      <c r="T1098" s="1">
        <v>44982</v>
      </c>
      <c r="U1098">
        <v>1</v>
      </c>
    </row>
    <row r="1099" spans="1:21" x14ac:dyDescent="0.25">
      <c r="A1099" t="s">
        <v>1146</v>
      </c>
      <c r="B1099">
        <v>56</v>
      </c>
      <c r="C1099" t="s">
        <v>21</v>
      </c>
      <c r="D1099" t="s">
        <v>41</v>
      </c>
      <c r="E1099" t="s">
        <v>51</v>
      </c>
      <c r="F1099" t="s">
        <v>44</v>
      </c>
      <c r="G1099">
        <v>7070.74</v>
      </c>
      <c r="H1099">
        <v>3169.12</v>
      </c>
      <c r="I1099">
        <v>75937.19</v>
      </c>
      <c r="J1099" t="s">
        <v>25</v>
      </c>
      <c r="K1099" t="s">
        <v>26</v>
      </c>
      <c r="L1099">
        <v>108506.43</v>
      </c>
      <c r="M1099">
        <v>12</v>
      </c>
      <c r="N1099">
        <v>9484.02</v>
      </c>
      <c r="O1099">
        <v>8.9</v>
      </c>
      <c r="P1099">
        <v>1.34</v>
      </c>
      <c r="Q1099">
        <v>786</v>
      </c>
      <c r="R1099">
        <v>0.89</v>
      </c>
      <c r="S1099" t="s">
        <v>72</v>
      </c>
      <c r="T1099" s="1">
        <v>44504</v>
      </c>
      <c r="U1099">
        <v>1</v>
      </c>
    </row>
    <row r="1100" spans="1:21" x14ac:dyDescent="0.25">
      <c r="A1100" t="s">
        <v>1147</v>
      </c>
      <c r="B1100">
        <v>26</v>
      </c>
      <c r="C1100" t="s">
        <v>21</v>
      </c>
      <c r="D1100" t="s">
        <v>41</v>
      </c>
      <c r="E1100" t="s">
        <v>31</v>
      </c>
      <c r="F1100" t="s">
        <v>63</v>
      </c>
      <c r="G1100">
        <v>4744.17</v>
      </c>
      <c r="H1100">
        <v>3772.88</v>
      </c>
      <c r="I1100">
        <v>50468.51</v>
      </c>
      <c r="J1100" t="s">
        <v>37</v>
      </c>
      <c r="K1100" t="s">
        <v>38</v>
      </c>
      <c r="L1100">
        <v>0</v>
      </c>
      <c r="M1100">
        <v>0</v>
      </c>
      <c r="N1100">
        <v>0</v>
      </c>
      <c r="O1100">
        <v>0</v>
      </c>
      <c r="P1100">
        <v>0</v>
      </c>
      <c r="Q1100">
        <v>336</v>
      </c>
      <c r="R1100">
        <v>0.89</v>
      </c>
      <c r="S1100" t="s">
        <v>72</v>
      </c>
      <c r="T1100" s="1">
        <v>45342</v>
      </c>
      <c r="U1100">
        <v>0</v>
      </c>
    </row>
    <row r="1101" spans="1:21" x14ac:dyDescent="0.25">
      <c r="A1101" t="s">
        <v>1148</v>
      </c>
      <c r="B1101">
        <v>36</v>
      </c>
      <c r="C1101" t="s">
        <v>21</v>
      </c>
      <c r="D1101" t="s">
        <v>56</v>
      </c>
      <c r="E1101" t="s">
        <v>51</v>
      </c>
      <c r="F1101" t="s">
        <v>44</v>
      </c>
      <c r="G1101">
        <v>4393.75</v>
      </c>
      <c r="H1101">
        <v>3742.74</v>
      </c>
      <c r="I1101">
        <v>32597.69</v>
      </c>
      <c r="J1101" t="s">
        <v>37</v>
      </c>
      <c r="K1101" t="s">
        <v>38</v>
      </c>
      <c r="L1101">
        <v>0</v>
      </c>
      <c r="M1101">
        <v>0</v>
      </c>
      <c r="N1101">
        <v>0</v>
      </c>
      <c r="O1101">
        <v>0</v>
      </c>
      <c r="P1101">
        <v>0</v>
      </c>
      <c r="Q1101">
        <v>392</v>
      </c>
      <c r="R1101">
        <v>0.62</v>
      </c>
      <c r="S1101" t="s">
        <v>47</v>
      </c>
      <c r="T1101" s="1">
        <v>44862</v>
      </c>
      <c r="U1101">
        <v>0</v>
      </c>
    </row>
    <row r="1102" spans="1:21" x14ac:dyDescent="0.25">
      <c r="A1102" t="s">
        <v>1149</v>
      </c>
      <c r="B1102">
        <v>68</v>
      </c>
      <c r="C1102" t="s">
        <v>29</v>
      </c>
      <c r="D1102" t="s">
        <v>22</v>
      </c>
      <c r="E1102" t="s">
        <v>31</v>
      </c>
      <c r="F1102" t="s">
        <v>44</v>
      </c>
      <c r="G1102">
        <v>2731.64</v>
      </c>
      <c r="H1102">
        <v>2256.64</v>
      </c>
      <c r="I1102">
        <v>16223.56</v>
      </c>
      <c r="J1102" t="s">
        <v>37</v>
      </c>
      <c r="K1102" t="s">
        <v>38</v>
      </c>
      <c r="L1102">
        <v>0</v>
      </c>
      <c r="M1102">
        <v>0</v>
      </c>
      <c r="N1102">
        <v>0</v>
      </c>
      <c r="O1102">
        <v>0</v>
      </c>
      <c r="P1102">
        <v>0</v>
      </c>
      <c r="Q1102">
        <v>362</v>
      </c>
      <c r="R1102">
        <v>0.49</v>
      </c>
      <c r="S1102" t="s">
        <v>27</v>
      </c>
      <c r="T1102" s="1">
        <v>45805</v>
      </c>
      <c r="U1102">
        <v>0</v>
      </c>
    </row>
    <row r="1103" spans="1:21" x14ac:dyDescent="0.25">
      <c r="A1103" t="s">
        <v>1150</v>
      </c>
      <c r="B1103">
        <v>20</v>
      </c>
      <c r="C1103" t="s">
        <v>21</v>
      </c>
      <c r="D1103" t="s">
        <v>41</v>
      </c>
      <c r="E1103" t="s">
        <v>31</v>
      </c>
      <c r="F1103" t="s">
        <v>32</v>
      </c>
      <c r="G1103">
        <v>8758.52</v>
      </c>
      <c r="H1103">
        <v>6948.2</v>
      </c>
      <c r="I1103">
        <v>102245.3</v>
      </c>
      <c r="J1103" t="s">
        <v>37</v>
      </c>
      <c r="K1103" t="s">
        <v>38</v>
      </c>
      <c r="L1103">
        <v>0</v>
      </c>
      <c r="M1103">
        <v>0</v>
      </c>
      <c r="N1103">
        <v>0</v>
      </c>
      <c r="O1103">
        <v>0</v>
      </c>
      <c r="P1103">
        <v>0</v>
      </c>
      <c r="Q1103">
        <v>715</v>
      </c>
      <c r="R1103">
        <v>0.97</v>
      </c>
      <c r="S1103" t="s">
        <v>72</v>
      </c>
      <c r="T1103" s="1">
        <v>44858</v>
      </c>
      <c r="U1103">
        <v>0</v>
      </c>
    </row>
    <row r="1104" spans="1:21" x14ac:dyDescent="0.25">
      <c r="A1104" t="s">
        <v>1151</v>
      </c>
      <c r="B1104">
        <v>52</v>
      </c>
      <c r="C1104" t="s">
        <v>21</v>
      </c>
      <c r="D1104" t="s">
        <v>22</v>
      </c>
      <c r="E1104" t="s">
        <v>31</v>
      </c>
      <c r="F1104" t="s">
        <v>44</v>
      </c>
      <c r="G1104">
        <v>6431.09</v>
      </c>
      <c r="H1104">
        <v>2207.9699999999998</v>
      </c>
      <c r="I1104">
        <v>57115.83</v>
      </c>
      <c r="J1104" t="s">
        <v>37</v>
      </c>
      <c r="K1104" t="s">
        <v>38</v>
      </c>
      <c r="L1104">
        <v>0</v>
      </c>
      <c r="M1104">
        <v>0</v>
      </c>
      <c r="N1104">
        <v>0</v>
      </c>
      <c r="O1104">
        <v>0</v>
      </c>
      <c r="P1104">
        <v>0</v>
      </c>
      <c r="Q1104">
        <v>305</v>
      </c>
      <c r="R1104">
        <v>0.74</v>
      </c>
      <c r="S1104" t="s">
        <v>27</v>
      </c>
      <c r="T1104" s="1">
        <v>45718</v>
      </c>
      <c r="U1104">
        <v>0</v>
      </c>
    </row>
    <row r="1105" spans="1:21" x14ac:dyDescent="0.25">
      <c r="A1105" t="s">
        <v>1152</v>
      </c>
      <c r="B1105">
        <v>27</v>
      </c>
      <c r="C1105" t="s">
        <v>21</v>
      </c>
      <c r="D1105" t="s">
        <v>22</v>
      </c>
      <c r="E1105" t="s">
        <v>51</v>
      </c>
      <c r="F1105" t="s">
        <v>63</v>
      </c>
      <c r="G1105">
        <v>3038.97</v>
      </c>
      <c r="H1105">
        <v>2730.88</v>
      </c>
      <c r="I1105">
        <v>21784.22</v>
      </c>
      <c r="J1105" t="s">
        <v>37</v>
      </c>
      <c r="K1105" t="s">
        <v>38</v>
      </c>
      <c r="L1105">
        <v>0</v>
      </c>
      <c r="M1105">
        <v>0</v>
      </c>
      <c r="N1105">
        <v>0</v>
      </c>
      <c r="O1105">
        <v>0</v>
      </c>
      <c r="P1105">
        <v>0</v>
      </c>
      <c r="Q1105">
        <v>433</v>
      </c>
      <c r="R1105">
        <v>0.6</v>
      </c>
      <c r="S1105" t="s">
        <v>30</v>
      </c>
      <c r="T1105" s="1">
        <v>45852</v>
      </c>
      <c r="U1105">
        <v>0</v>
      </c>
    </row>
    <row r="1106" spans="1:21" x14ac:dyDescent="0.25">
      <c r="A1106" t="s">
        <v>1153</v>
      </c>
      <c r="B1106">
        <v>18</v>
      </c>
      <c r="C1106" t="s">
        <v>21</v>
      </c>
      <c r="D1106" t="s">
        <v>41</v>
      </c>
      <c r="E1106" t="s">
        <v>51</v>
      </c>
      <c r="F1106" t="s">
        <v>63</v>
      </c>
      <c r="G1106">
        <v>6028.49</v>
      </c>
      <c r="H1106">
        <v>3149.54</v>
      </c>
      <c r="I1106">
        <v>10549.37</v>
      </c>
      <c r="J1106" t="s">
        <v>37</v>
      </c>
      <c r="K1106" t="s">
        <v>38</v>
      </c>
      <c r="L1106">
        <v>0</v>
      </c>
      <c r="M1106">
        <v>0</v>
      </c>
      <c r="N1106">
        <v>0</v>
      </c>
      <c r="O1106">
        <v>0</v>
      </c>
      <c r="P1106">
        <v>0</v>
      </c>
      <c r="Q1106">
        <v>634</v>
      </c>
      <c r="R1106">
        <v>0.15</v>
      </c>
      <c r="S1106" t="s">
        <v>27</v>
      </c>
      <c r="T1106" s="1">
        <v>45393</v>
      </c>
      <c r="U1106">
        <v>0</v>
      </c>
    </row>
    <row r="1107" spans="1:21" x14ac:dyDescent="0.25">
      <c r="A1107" t="s">
        <v>1154</v>
      </c>
      <c r="B1107">
        <v>37</v>
      </c>
      <c r="C1107" t="s">
        <v>21</v>
      </c>
      <c r="D1107" t="s">
        <v>41</v>
      </c>
      <c r="E1107" t="s">
        <v>31</v>
      </c>
      <c r="F1107" t="s">
        <v>23</v>
      </c>
      <c r="G1107">
        <v>4640.63</v>
      </c>
      <c r="H1107">
        <v>2807.8</v>
      </c>
      <c r="I1107">
        <v>41218.589999999997</v>
      </c>
      <c r="J1107" t="s">
        <v>37</v>
      </c>
      <c r="K1107" t="s">
        <v>38</v>
      </c>
      <c r="L1107">
        <v>0</v>
      </c>
      <c r="M1107">
        <v>0</v>
      </c>
      <c r="N1107">
        <v>0</v>
      </c>
      <c r="O1107">
        <v>0</v>
      </c>
      <c r="P1107">
        <v>0</v>
      </c>
      <c r="Q1107">
        <v>730</v>
      </c>
      <c r="R1107">
        <v>0.74</v>
      </c>
      <c r="S1107" t="s">
        <v>27</v>
      </c>
      <c r="T1107" s="1">
        <v>45336</v>
      </c>
      <c r="U1107">
        <v>0</v>
      </c>
    </row>
    <row r="1108" spans="1:21" x14ac:dyDescent="0.25">
      <c r="A1108" t="s">
        <v>1155</v>
      </c>
      <c r="B1108">
        <v>51</v>
      </c>
      <c r="C1108" t="s">
        <v>21</v>
      </c>
      <c r="D1108" t="s">
        <v>30</v>
      </c>
      <c r="E1108" t="s">
        <v>31</v>
      </c>
      <c r="F1108" t="s">
        <v>49</v>
      </c>
      <c r="G1108">
        <v>5627.8</v>
      </c>
      <c r="H1108">
        <v>4238.28</v>
      </c>
      <c r="I1108">
        <v>64998.98</v>
      </c>
      <c r="J1108" t="s">
        <v>25</v>
      </c>
      <c r="K1108" t="s">
        <v>45</v>
      </c>
      <c r="L1108">
        <v>366412.63</v>
      </c>
      <c r="M1108">
        <v>180</v>
      </c>
      <c r="N1108">
        <v>6465.09</v>
      </c>
      <c r="O1108">
        <v>20.11</v>
      </c>
      <c r="P1108">
        <v>1.1499999999999999</v>
      </c>
      <c r="Q1108">
        <v>401</v>
      </c>
      <c r="R1108">
        <v>0.96</v>
      </c>
      <c r="S1108" t="s">
        <v>47</v>
      </c>
      <c r="T1108" s="1">
        <v>45164</v>
      </c>
      <c r="U1108">
        <v>1</v>
      </c>
    </row>
    <row r="1109" spans="1:21" x14ac:dyDescent="0.25">
      <c r="A1109" t="s">
        <v>1156</v>
      </c>
      <c r="B1109">
        <v>69</v>
      </c>
      <c r="C1109" t="s">
        <v>29</v>
      </c>
      <c r="D1109" t="s">
        <v>41</v>
      </c>
      <c r="E1109" t="s">
        <v>49</v>
      </c>
      <c r="F1109" t="s">
        <v>49</v>
      </c>
      <c r="G1109">
        <v>4310.3599999999997</v>
      </c>
      <c r="H1109">
        <v>3486.49</v>
      </c>
      <c r="I1109">
        <v>7896.88</v>
      </c>
      <c r="J1109" t="s">
        <v>25</v>
      </c>
      <c r="K1109" t="s">
        <v>45</v>
      </c>
      <c r="L1109">
        <v>164231.79999999999</v>
      </c>
      <c r="M1109">
        <v>300</v>
      </c>
      <c r="N1109">
        <v>3038.68</v>
      </c>
      <c r="O1109">
        <v>22.11</v>
      </c>
      <c r="P1109">
        <v>0.7</v>
      </c>
      <c r="Q1109">
        <v>658</v>
      </c>
      <c r="R1109">
        <v>0.15</v>
      </c>
      <c r="S1109" t="s">
        <v>72</v>
      </c>
      <c r="T1109" s="1">
        <v>45487</v>
      </c>
      <c r="U1109">
        <v>1</v>
      </c>
    </row>
    <row r="1110" spans="1:21" x14ac:dyDescent="0.25">
      <c r="A1110" t="s">
        <v>1157</v>
      </c>
      <c r="B1110">
        <v>39</v>
      </c>
      <c r="C1110" t="s">
        <v>29</v>
      </c>
      <c r="D1110" t="s">
        <v>22</v>
      </c>
      <c r="E1110" t="s">
        <v>51</v>
      </c>
      <c r="F1110" t="s">
        <v>36</v>
      </c>
      <c r="G1110">
        <v>5054.79</v>
      </c>
      <c r="H1110">
        <v>1796.09</v>
      </c>
      <c r="I1110">
        <v>16170.63</v>
      </c>
      <c r="J1110" t="s">
        <v>37</v>
      </c>
      <c r="K1110" t="s">
        <v>38</v>
      </c>
      <c r="L1110">
        <v>0</v>
      </c>
      <c r="M1110">
        <v>0</v>
      </c>
      <c r="N1110">
        <v>0</v>
      </c>
      <c r="O1110">
        <v>0</v>
      </c>
      <c r="P1110">
        <v>0</v>
      </c>
      <c r="Q1110">
        <v>714</v>
      </c>
      <c r="R1110">
        <v>0.27</v>
      </c>
      <c r="S1110" t="s">
        <v>39</v>
      </c>
      <c r="T1110" s="1">
        <v>44627</v>
      </c>
      <c r="U1110">
        <v>0</v>
      </c>
    </row>
    <row r="1111" spans="1:21" x14ac:dyDescent="0.25">
      <c r="A1111" t="s">
        <v>1158</v>
      </c>
      <c r="B1111">
        <v>59</v>
      </c>
      <c r="C1111" t="s">
        <v>21</v>
      </c>
      <c r="D1111" t="s">
        <v>56</v>
      </c>
      <c r="E1111" t="s">
        <v>31</v>
      </c>
      <c r="F1111" t="s">
        <v>63</v>
      </c>
      <c r="G1111">
        <v>3584.33</v>
      </c>
      <c r="H1111">
        <v>1915.64</v>
      </c>
      <c r="I1111">
        <v>8635.01</v>
      </c>
      <c r="J1111" t="s">
        <v>37</v>
      </c>
      <c r="K1111" t="s">
        <v>38</v>
      </c>
      <c r="L1111">
        <v>0</v>
      </c>
      <c r="M1111">
        <v>0</v>
      </c>
      <c r="N1111">
        <v>0</v>
      </c>
      <c r="O1111">
        <v>0</v>
      </c>
      <c r="P1111">
        <v>0</v>
      </c>
      <c r="Q1111">
        <v>659</v>
      </c>
      <c r="R1111">
        <v>0.2</v>
      </c>
      <c r="S1111" t="s">
        <v>30</v>
      </c>
      <c r="T1111" s="1">
        <v>44914</v>
      </c>
      <c r="U1111">
        <v>0</v>
      </c>
    </row>
    <row r="1112" spans="1:21" x14ac:dyDescent="0.25">
      <c r="A1112" t="s">
        <v>1159</v>
      </c>
      <c r="B1112">
        <v>22</v>
      </c>
      <c r="C1112" t="s">
        <v>29</v>
      </c>
      <c r="D1112" t="s">
        <v>56</v>
      </c>
      <c r="E1112" t="s">
        <v>31</v>
      </c>
      <c r="F1112" t="s">
        <v>42</v>
      </c>
      <c r="G1112">
        <v>1171.54</v>
      </c>
      <c r="H1112">
        <v>966.23</v>
      </c>
      <c r="I1112">
        <v>5905.85</v>
      </c>
      <c r="J1112" t="s">
        <v>37</v>
      </c>
      <c r="K1112" t="s">
        <v>38</v>
      </c>
      <c r="L1112">
        <v>0</v>
      </c>
      <c r="M1112">
        <v>0</v>
      </c>
      <c r="N1112">
        <v>0</v>
      </c>
      <c r="O1112">
        <v>0</v>
      </c>
      <c r="P1112">
        <v>0</v>
      </c>
      <c r="Q1112">
        <v>413</v>
      </c>
      <c r="R1112">
        <v>0.42</v>
      </c>
      <c r="S1112" t="s">
        <v>72</v>
      </c>
      <c r="T1112" s="1">
        <v>45373</v>
      </c>
      <c r="U1112">
        <v>0</v>
      </c>
    </row>
    <row r="1113" spans="1:21" x14ac:dyDescent="0.25">
      <c r="A1113" t="s">
        <v>1160</v>
      </c>
      <c r="B1113">
        <v>35</v>
      </c>
      <c r="C1113" t="s">
        <v>21</v>
      </c>
      <c r="D1113" t="s">
        <v>30</v>
      </c>
      <c r="E1113" t="s">
        <v>51</v>
      </c>
      <c r="F1113" t="s">
        <v>24</v>
      </c>
      <c r="G1113">
        <v>5773.72</v>
      </c>
      <c r="H1113">
        <v>3670.73</v>
      </c>
      <c r="I1113">
        <v>54177.120000000003</v>
      </c>
      <c r="J1113" t="s">
        <v>25</v>
      </c>
      <c r="K1113" t="s">
        <v>26</v>
      </c>
      <c r="L1113">
        <v>468007.05</v>
      </c>
      <c r="M1113">
        <v>360</v>
      </c>
      <c r="N1113">
        <v>6653.27</v>
      </c>
      <c r="O1113">
        <v>16.95</v>
      </c>
      <c r="P1113">
        <v>1.1499999999999999</v>
      </c>
      <c r="Q1113">
        <v>715</v>
      </c>
      <c r="R1113">
        <v>0.78</v>
      </c>
      <c r="S1113" t="s">
        <v>39</v>
      </c>
      <c r="T1113" s="1">
        <v>44483</v>
      </c>
      <c r="U1113">
        <v>1</v>
      </c>
    </row>
    <row r="1114" spans="1:21" x14ac:dyDescent="0.25">
      <c r="A1114" t="s">
        <v>1161</v>
      </c>
      <c r="B1114">
        <v>33</v>
      </c>
      <c r="C1114" t="s">
        <v>21</v>
      </c>
      <c r="D1114" t="s">
        <v>35</v>
      </c>
      <c r="E1114" t="s">
        <v>31</v>
      </c>
      <c r="F1114" t="s">
        <v>42</v>
      </c>
      <c r="G1114">
        <v>2917.23</v>
      </c>
      <c r="H1114">
        <v>2105.84</v>
      </c>
      <c r="I1114">
        <v>32349.84</v>
      </c>
      <c r="J1114" t="s">
        <v>37</v>
      </c>
      <c r="K1114" t="s">
        <v>38</v>
      </c>
      <c r="L1114">
        <v>0</v>
      </c>
      <c r="M1114">
        <v>0</v>
      </c>
      <c r="N1114">
        <v>0</v>
      </c>
      <c r="O1114">
        <v>0</v>
      </c>
      <c r="P1114">
        <v>0</v>
      </c>
      <c r="Q1114">
        <v>768</v>
      </c>
      <c r="R1114">
        <v>0.92</v>
      </c>
      <c r="S1114" t="s">
        <v>30</v>
      </c>
      <c r="T1114" s="1">
        <v>44879</v>
      </c>
      <c r="U1114">
        <v>0</v>
      </c>
    </row>
    <row r="1115" spans="1:21" x14ac:dyDescent="0.25">
      <c r="A1115" t="s">
        <v>1162</v>
      </c>
      <c r="B1115">
        <v>31</v>
      </c>
      <c r="C1115" t="s">
        <v>29</v>
      </c>
      <c r="D1115" t="s">
        <v>41</v>
      </c>
      <c r="E1115" t="s">
        <v>31</v>
      </c>
      <c r="F1115" t="s">
        <v>32</v>
      </c>
      <c r="G1115">
        <v>5462.35</v>
      </c>
      <c r="H1115">
        <v>3092.49</v>
      </c>
      <c r="I1115">
        <v>20190.87</v>
      </c>
      <c r="J1115" t="s">
        <v>37</v>
      </c>
      <c r="K1115" t="s">
        <v>38</v>
      </c>
      <c r="L1115">
        <v>0</v>
      </c>
      <c r="M1115">
        <v>0</v>
      </c>
      <c r="N1115">
        <v>0</v>
      </c>
      <c r="O1115">
        <v>0</v>
      </c>
      <c r="P1115">
        <v>0</v>
      </c>
      <c r="Q1115">
        <v>594</v>
      </c>
      <c r="R1115">
        <v>0.31</v>
      </c>
      <c r="S1115" t="s">
        <v>27</v>
      </c>
      <c r="T1115" s="1">
        <v>45399</v>
      </c>
      <c r="U1115">
        <v>0</v>
      </c>
    </row>
    <row r="1116" spans="1:21" x14ac:dyDescent="0.25">
      <c r="A1116" t="s">
        <v>1163</v>
      </c>
      <c r="B1116">
        <v>67</v>
      </c>
      <c r="C1116" t="s">
        <v>21</v>
      </c>
      <c r="D1116" t="s">
        <v>41</v>
      </c>
      <c r="E1116" t="s">
        <v>23</v>
      </c>
      <c r="F1116" t="s">
        <v>36</v>
      </c>
      <c r="G1116">
        <v>3230.17</v>
      </c>
      <c r="H1116">
        <v>2380.77</v>
      </c>
      <c r="I1116">
        <v>34640.35</v>
      </c>
      <c r="J1116" t="s">
        <v>37</v>
      </c>
      <c r="K1116" t="s">
        <v>38</v>
      </c>
      <c r="L1116">
        <v>0</v>
      </c>
      <c r="M1116">
        <v>0</v>
      </c>
      <c r="N1116">
        <v>0</v>
      </c>
      <c r="O1116">
        <v>0</v>
      </c>
      <c r="P1116">
        <v>0</v>
      </c>
      <c r="Q1116">
        <v>304</v>
      </c>
      <c r="R1116">
        <v>0.89</v>
      </c>
      <c r="S1116" t="s">
        <v>30</v>
      </c>
      <c r="T1116" s="1">
        <v>44566</v>
      </c>
      <c r="U1116">
        <v>0</v>
      </c>
    </row>
    <row r="1117" spans="1:21" x14ac:dyDescent="0.25">
      <c r="A1117" t="s">
        <v>1164</v>
      </c>
      <c r="B1117">
        <v>38</v>
      </c>
      <c r="C1117" t="s">
        <v>21</v>
      </c>
      <c r="D1117" t="s">
        <v>22</v>
      </c>
      <c r="E1117" t="s">
        <v>31</v>
      </c>
      <c r="F1117" t="s">
        <v>44</v>
      </c>
      <c r="G1117">
        <v>1431.18</v>
      </c>
      <c r="H1117">
        <v>886.34</v>
      </c>
      <c r="I1117">
        <v>11385.48</v>
      </c>
      <c r="J1117" t="s">
        <v>37</v>
      </c>
      <c r="K1117" t="s">
        <v>38</v>
      </c>
      <c r="L1117">
        <v>0</v>
      </c>
      <c r="M1117">
        <v>0</v>
      </c>
      <c r="N1117">
        <v>0</v>
      </c>
      <c r="O1117">
        <v>0</v>
      </c>
      <c r="P1117">
        <v>0</v>
      </c>
      <c r="Q1117">
        <v>597</v>
      </c>
      <c r="R1117">
        <v>0.66</v>
      </c>
      <c r="S1117" t="s">
        <v>39</v>
      </c>
      <c r="T1117" s="1">
        <v>45062</v>
      </c>
      <c r="U1117">
        <v>0</v>
      </c>
    </row>
    <row r="1118" spans="1:21" x14ac:dyDescent="0.25">
      <c r="A1118" t="s">
        <v>1165</v>
      </c>
      <c r="B1118">
        <v>62</v>
      </c>
      <c r="C1118" t="s">
        <v>21</v>
      </c>
      <c r="D1118" t="s">
        <v>22</v>
      </c>
      <c r="E1118" t="s">
        <v>31</v>
      </c>
      <c r="F1118" t="s">
        <v>24</v>
      </c>
      <c r="G1118">
        <v>5824.68</v>
      </c>
      <c r="H1118">
        <v>2348.21</v>
      </c>
      <c r="I1118">
        <v>30446.9</v>
      </c>
      <c r="J1118" t="s">
        <v>37</v>
      </c>
      <c r="K1118" t="s">
        <v>38</v>
      </c>
      <c r="L1118">
        <v>0</v>
      </c>
      <c r="M1118">
        <v>0</v>
      </c>
      <c r="N1118">
        <v>0</v>
      </c>
      <c r="O1118">
        <v>0</v>
      </c>
      <c r="P1118">
        <v>0</v>
      </c>
      <c r="Q1118">
        <v>359</v>
      </c>
      <c r="R1118">
        <v>0.44</v>
      </c>
      <c r="S1118" t="s">
        <v>27</v>
      </c>
      <c r="T1118" s="1">
        <v>44501</v>
      </c>
      <c r="U1118">
        <v>0</v>
      </c>
    </row>
    <row r="1119" spans="1:21" x14ac:dyDescent="0.25">
      <c r="A1119" t="s">
        <v>1166</v>
      </c>
      <c r="B1119">
        <v>22</v>
      </c>
      <c r="C1119" t="s">
        <v>21</v>
      </c>
      <c r="D1119" t="s">
        <v>41</v>
      </c>
      <c r="E1119" t="s">
        <v>31</v>
      </c>
      <c r="F1119" t="s">
        <v>24</v>
      </c>
      <c r="G1119">
        <v>2908.18</v>
      </c>
      <c r="H1119">
        <v>1070.67</v>
      </c>
      <c r="I1119">
        <v>33200.639999999999</v>
      </c>
      <c r="J1119" t="s">
        <v>37</v>
      </c>
      <c r="K1119" t="s">
        <v>38</v>
      </c>
      <c r="L1119">
        <v>0</v>
      </c>
      <c r="M1119">
        <v>0</v>
      </c>
      <c r="N1119">
        <v>0</v>
      </c>
      <c r="O1119">
        <v>0</v>
      </c>
      <c r="P1119">
        <v>0</v>
      </c>
      <c r="Q1119">
        <v>747</v>
      </c>
      <c r="R1119">
        <v>0.95</v>
      </c>
      <c r="S1119" t="s">
        <v>72</v>
      </c>
      <c r="T1119" s="1">
        <v>45290</v>
      </c>
      <c r="U1119">
        <v>0</v>
      </c>
    </row>
    <row r="1120" spans="1:21" x14ac:dyDescent="0.25">
      <c r="A1120" t="s">
        <v>1167</v>
      </c>
      <c r="B1120">
        <v>55</v>
      </c>
      <c r="C1120" t="s">
        <v>29</v>
      </c>
      <c r="D1120" t="s">
        <v>41</v>
      </c>
      <c r="E1120" t="s">
        <v>31</v>
      </c>
      <c r="F1120" t="s">
        <v>44</v>
      </c>
      <c r="G1120">
        <v>2717.35</v>
      </c>
      <c r="H1120">
        <v>914.97</v>
      </c>
      <c r="I1120">
        <v>4343.8</v>
      </c>
      <c r="J1120" t="s">
        <v>37</v>
      </c>
      <c r="K1120" t="s">
        <v>38</v>
      </c>
      <c r="L1120">
        <v>0</v>
      </c>
      <c r="M1120">
        <v>0</v>
      </c>
      <c r="N1120">
        <v>0</v>
      </c>
      <c r="O1120">
        <v>0</v>
      </c>
      <c r="P1120">
        <v>0</v>
      </c>
      <c r="Q1120">
        <v>831</v>
      </c>
      <c r="R1120">
        <v>0.13</v>
      </c>
      <c r="S1120" t="s">
        <v>39</v>
      </c>
      <c r="T1120" s="1">
        <v>45208</v>
      </c>
      <c r="U1120">
        <v>0</v>
      </c>
    </row>
    <row r="1121" spans="1:21" x14ac:dyDescent="0.25">
      <c r="A1121" t="s">
        <v>1168</v>
      </c>
      <c r="B1121">
        <v>30</v>
      </c>
      <c r="C1121" t="s">
        <v>29</v>
      </c>
      <c r="D1121" t="s">
        <v>35</v>
      </c>
      <c r="E1121" t="s">
        <v>31</v>
      </c>
      <c r="F1121" t="s">
        <v>24</v>
      </c>
      <c r="G1121">
        <v>4896.07</v>
      </c>
      <c r="H1121">
        <v>2424.6999999999998</v>
      </c>
      <c r="I1121">
        <v>47994.43</v>
      </c>
      <c r="J1121" t="s">
        <v>37</v>
      </c>
      <c r="K1121" t="s">
        <v>38</v>
      </c>
      <c r="L1121">
        <v>0</v>
      </c>
      <c r="M1121">
        <v>0</v>
      </c>
      <c r="N1121">
        <v>0</v>
      </c>
      <c r="O1121">
        <v>0</v>
      </c>
      <c r="P1121">
        <v>0</v>
      </c>
      <c r="Q1121">
        <v>762</v>
      </c>
      <c r="R1121">
        <v>0.82</v>
      </c>
      <c r="S1121" t="s">
        <v>47</v>
      </c>
      <c r="T1121" s="1">
        <v>45584</v>
      </c>
      <c r="U1121">
        <v>0</v>
      </c>
    </row>
    <row r="1122" spans="1:21" x14ac:dyDescent="0.25">
      <c r="A1122" t="s">
        <v>1169</v>
      </c>
      <c r="B1122">
        <v>29</v>
      </c>
      <c r="C1122" t="s">
        <v>21</v>
      </c>
      <c r="D1122" t="s">
        <v>22</v>
      </c>
      <c r="E1122" t="s">
        <v>31</v>
      </c>
      <c r="F1122" t="s">
        <v>52</v>
      </c>
      <c r="G1122">
        <v>5829.23</v>
      </c>
      <c r="H1122">
        <v>5227.08</v>
      </c>
      <c r="I1122">
        <v>53671.5</v>
      </c>
      <c r="J1122" t="s">
        <v>25</v>
      </c>
      <c r="K1122" t="s">
        <v>54</v>
      </c>
      <c r="L1122">
        <v>36475.660000000003</v>
      </c>
      <c r="M1122">
        <v>24</v>
      </c>
      <c r="N1122">
        <v>1669.73</v>
      </c>
      <c r="O1122">
        <v>9.1999999999999993</v>
      </c>
      <c r="P1122">
        <v>0.28999999999999998</v>
      </c>
      <c r="Q1122">
        <v>850</v>
      </c>
      <c r="R1122">
        <v>0.77</v>
      </c>
      <c r="S1122" t="s">
        <v>47</v>
      </c>
      <c r="T1122" s="1">
        <v>44435</v>
      </c>
      <c r="U1122">
        <v>0</v>
      </c>
    </row>
    <row r="1123" spans="1:21" x14ac:dyDescent="0.25">
      <c r="A1123" t="s">
        <v>1170</v>
      </c>
      <c r="B1123">
        <v>26</v>
      </c>
      <c r="C1123" t="s">
        <v>21</v>
      </c>
      <c r="D1123" t="s">
        <v>41</v>
      </c>
      <c r="E1123" t="s">
        <v>31</v>
      </c>
      <c r="F1123" t="s">
        <v>42</v>
      </c>
      <c r="G1123">
        <v>1562.78</v>
      </c>
      <c r="H1123">
        <v>1013.41</v>
      </c>
      <c r="I1123">
        <v>12000.55</v>
      </c>
      <c r="J1123" t="s">
        <v>37</v>
      </c>
      <c r="K1123" t="s">
        <v>38</v>
      </c>
      <c r="L1123">
        <v>0</v>
      </c>
      <c r="M1123">
        <v>0</v>
      </c>
      <c r="N1123">
        <v>0</v>
      </c>
      <c r="O1123">
        <v>0</v>
      </c>
      <c r="P1123">
        <v>0</v>
      </c>
      <c r="Q1123">
        <v>652</v>
      </c>
      <c r="R1123">
        <v>0.64</v>
      </c>
      <c r="S1123" t="s">
        <v>39</v>
      </c>
      <c r="T1123" s="1">
        <v>44464</v>
      </c>
      <c r="U1123">
        <v>0</v>
      </c>
    </row>
    <row r="1124" spans="1:21" x14ac:dyDescent="0.25">
      <c r="A1124" t="s">
        <v>1171</v>
      </c>
      <c r="B1124">
        <v>18</v>
      </c>
      <c r="C1124" t="s">
        <v>21</v>
      </c>
      <c r="D1124" t="s">
        <v>41</v>
      </c>
      <c r="E1124" t="s">
        <v>31</v>
      </c>
      <c r="F1124" t="s">
        <v>36</v>
      </c>
      <c r="G1124">
        <v>2806.79</v>
      </c>
      <c r="H1124">
        <v>1311.72</v>
      </c>
      <c r="I1124">
        <v>29665.96</v>
      </c>
      <c r="J1124" t="s">
        <v>37</v>
      </c>
      <c r="K1124" t="s">
        <v>38</v>
      </c>
      <c r="L1124">
        <v>0</v>
      </c>
      <c r="M1124">
        <v>0</v>
      </c>
      <c r="N1124">
        <v>0</v>
      </c>
      <c r="O1124">
        <v>0</v>
      </c>
      <c r="P1124">
        <v>0</v>
      </c>
      <c r="Q1124">
        <v>347</v>
      </c>
      <c r="R1124">
        <v>0.88</v>
      </c>
      <c r="S1124" t="s">
        <v>39</v>
      </c>
      <c r="T1124" s="1">
        <v>45030</v>
      </c>
      <c r="U1124">
        <v>0</v>
      </c>
    </row>
    <row r="1125" spans="1:21" x14ac:dyDescent="0.25">
      <c r="A1125" t="s">
        <v>1172</v>
      </c>
      <c r="B1125">
        <v>30</v>
      </c>
      <c r="C1125" t="s">
        <v>29</v>
      </c>
      <c r="D1125" t="s">
        <v>41</v>
      </c>
      <c r="E1125" t="s">
        <v>31</v>
      </c>
      <c r="F1125" t="s">
        <v>24</v>
      </c>
      <c r="G1125">
        <v>3890.91</v>
      </c>
      <c r="H1125">
        <v>1414.09</v>
      </c>
      <c r="I1125">
        <v>15690.67</v>
      </c>
      <c r="J1125" t="s">
        <v>25</v>
      </c>
      <c r="K1125" t="s">
        <v>54</v>
      </c>
      <c r="L1125">
        <v>153130.56</v>
      </c>
      <c r="M1125">
        <v>300</v>
      </c>
      <c r="N1125">
        <v>3605.77</v>
      </c>
      <c r="O1125">
        <v>28.23</v>
      </c>
      <c r="P1125">
        <v>0.93</v>
      </c>
      <c r="Q1125">
        <v>614</v>
      </c>
      <c r="R1125">
        <v>0.34</v>
      </c>
      <c r="S1125" t="s">
        <v>72</v>
      </c>
      <c r="T1125" s="1">
        <v>45671</v>
      </c>
      <c r="U1125">
        <v>1</v>
      </c>
    </row>
    <row r="1126" spans="1:21" x14ac:dyDescent="0.25">
      <c r="A1126" t="s">
        <v>1173</v>
      </c>
      <c r="B1126">
        <v>19</v>
      </c>
      <c r="C1126" t="s">
        <v>29</v>
      </c>
      <c r="D1126" t="s">
        <v>56</v>
      </c>
      <c r="E1126" t="s">
        <v>31</v>
      </c>
      <c r="F1126" t="s">
        <v>49</v>
      </c>
      <c r="G1126">
        <v>9840.4599999999991</v>
      </c>
      <c r="H1126">
        <v>3210.41</v>
      </c>
      <c r="I1126">
        <v>93743.91</v>
      </c>
      <c r="J1126" t="s">
        <v>25</v>
      </c>
      <c r="K1126" t="s">
        <v>54</v>
      </c>
      <c r="L1126">
        <v>476912.36</v>
      </c>
      <c r="M1126">
        <v>360</v>
      </c>
      <c r="N1126">
        <v>4751.95</v>
      </c>
      <c r="O1126">
        <v>11.58</v>
      </c>
      <c r="P1126">
        <v>0.48</v>
      </c>
      <c r="Q1126">
        <v>622</v>
      </c>
      <c r="R1126">
        <v>0.79</v>
      </c>
      <c r="S1126" t="s">
        <v>72</v>
      </c>
      <c r="T1126" s="1">
        <v>45592</v>
      </c>
      <c r="U1126">
        <v>1</v>
      </c>
    </row>
    <row r="1127" spans="1:21" x14ac:dyDescent="0.25">
      <c r="A1127" t="s">
        <v>1174</v>
      </c>
      <c r="B1127">
        <v>19</v>
      </c>
      <c r="C1127" t="s">
        <v>30</v>
      </c>
      <c r="D1127" t="s">
        <v>22</v>
      </c>
      <c r="E1127" t="s">
        <v>31</v>
      </c>
      <c r="F1127" t="s">
        <v>49</v>
      </c>
      <c r="G1127">
        <v>3733.34</v>
      </c>
      <c r="H1127">
        <v>1955.19</v>
      </c>
      <c r="I1127">
        <v>5239.8900000000003</v>
      </c>
      <c r="J1127" t="s">
        <v>25</v>
      </c>
      <c r="K1127" t="s">
        <v>54</v>
      </c>
      <c r="L1127">
        <v>331765.34999999998</v>
      </c>
      <c r="M1127">
        <v>360</v>
      </c>
      <c r="N1127">
        <v>4253.41</v>
      </c>
      <c r="O1127">
        <v>15.22</v>
      </c>
      <c r="P1127">
        <v>1.1399999999999999</v>
      </c>
      <c r="Q1127">
        <v>451</v>
      </c>
      <c r="R1127">
        <v>0.12</v>
      </c>
      <c r="S1127" t="s">
        <v>72</v>
      </c>
      <c r="T1127" s="1">
        <v>45557</v>
      </c>
      <c r="U1127">
        <v>1</v>
      </c>
    </row>
    <row r="1128" spans="1:21" x14ac:dyDescent="0.25">
      <c r="A1128" t="s">
        <v>1175</v>
      </c>
      <c r="B1128">
        <v>69</v>
      </c>
      <c r="C1128" t="s">
        <v>29</v>
      </c>
      <c r="D1128" t="s">
        <v>35</v>
      </c>
      <c r="E1128" t="s">
        <v>23</v>
      </c>
      <c r="F1128" t="s">
        <v>44</v>
      </c>
      <c r="G1128">
        <v>5116.76</v>
      </c>
      <c r="H1128">
        <v>3217.94</v>
      </c>
      <c r="I1128">
        <v>49180.92</v>
      </c>
      <c r="J1128" t="s">
        <v>37</v>
      </c>
      <c r="K1128" t="s">
        <v>38</v>
      </c>
      <c r="L1128">
        <v>0</v>
      </c>
      <c r="M1128">
        <v>0</v>
      </c>
      <c r="N1128">
        <v>0</v>
      </c>
      <c r="O1128">
        <v>0</v>
      </c>
      <c r="P1128">
        <v>0</v>
      </c>
      <c r="Q1128">
        <v>478</v>
      </c>
      <c r="R1128">
        <v>0.8</v>
      </c>
      <c r="S1128" t="s">
        <v>72</v>
      </c>
      <c r="T1128" s="1">
        <v>45725</v>
      </c>
      <c r="U1128">
        <v>0</v>
      </c>
    </row>
    <row r="1129" spans="1:21" x14ac:dyDescent="0.25">
      <c r="A1129" t="s">
        <v>1176</v>
      </c>
      <c r="B1129">
        <v>56</v>
      </c>
      <c r="C1129" t="s">
        <v>29</v>
      </c>
      <c r="D1129" t="s">
        <v>22</v>
      </c>
      <c r="E1129" t="s">
        <v>49</v>
      </c>
      <c r="F1129" t="s">
        <v>44</v>
      </c>
      <c r="G1129">
        <v>3817.71</v>
      </c>
      <c r="H1129">
        <v>2253.9899999999998</v>
      </c>
      <c r="I1129">
        <v>16105.07</v>
      </c>
      <c r="J1129" t="s">
        <v>25</v>
      </c>
      <c r="K1129" t="s">
        <v>54</v>
      </c>
      <c r="L1129">
        <v>296437.45</v>
      </c>
      <c r="M1129">
        <v>60</v>
      </c>
      <c r="N1129">
        <v>5382.1</v>
      </c>
      <c r="O1129">
        <v>3.42</v>
      </c>
      <c r="P1129">
        <v>1.41</v>
      </c>
      <c r="Q1129">
        <v>627</v>
      </c>
      <c r="R1129">
        <v>0.35</v>
      </c>
      <c r="S1129" t="s">
        <v>72</v>
      </c>
      <c r="T1129" s="1">
        <v>45795</v>
      </c>
      <c r="U1129">
        <v>1</v>
      </c>
    </row>
    <row r="1130" spans="1:21" x14ac:dyDescent="0.25">
      <c r="A1130" t="s">
        <v>1177</v>
      </c>
      <c r="B1130">
        <v>26</v>
      </c>
      <c r="C1130" t="s">
        <v>21</v>
      </c>
      <c r="D1130" t="s">
        <v>35</v>
      </c>
      <c r="E1130" t="s">
        <v>31</v>
      </c>
      <c r="F1130" t="s">
        <v>36</v>
      </c>
      <c r="G1130">
        <v>3832.72</v>
      </c>
      <c r="H1130">
        <v>2840.57</v>
      </c>
      <c r="I1130">
        <v>19567.95</v>
      </c>
      <c r="J1130" t="s">
        <v>25</v>
      </c>
      <c r="K1130" t="s">
        <v>54</v>
      </c>
      <c r="L1130">
        <v>464053.9</v>
      </c>
      <c r="M1130">
        <v>300</v>
      </c>
      <c r="N1130">
        <v>2975.74</v>
      </c>
      <c r="O1130">
        <v>5.95</v>
      </c>
      <c r="P1130">
        <v>0.78</v>
      </c>
      <c r="Q1130">
        <v>775</v>
      </c>
      <c r="R1130">
        <v>0.43</v>
      </c>
      <c r="S1130" t="s">
        <v>72</v>
      </c>
      <c r="T1130" s="1">
        <v>45604</v>
      </c>
      <c r="U1130">
        <v>1</v>
      </c>
    </row>
    <row r="1131" spans="1:21" x14ac:dyDescent="0.25">
      <c r="A1131" t="s">
        <v>1178</v>
      </c>
      <c r="B1131">
        <v>56</v>
      </c>
      <c r="C1131" t="s">
        <v>21</v>
      </c>
      <c r="D1131" t="s">
        <v>35</v>
      </c>
      <c r="E1131" t="s">
        <v>31</v>
      </c>
      <c r="F1131" t="s">
        <v>52</v>
      </c>
      <c r="G1131">
        <v>6451.27</v>
      </c>
      <c r="H1131">
        <v>4904.78</v>
      </c>
      <c r="I1131">
        <v>73684.42</v>
      </c>
      <c r="J1131" t="s">
        <v>25</v>
      </c>
      <c r="K1131" t="s">
        <v>26</v>
      </c>
      <c r="L1131">
        <v>49223.72</v>
      </c>
      <c r="M1131">
        <v>360</v>
      </c>
      <c r="N1131">
        <v>525.34</v>
      </c>
      <c r="O1131">
        <v>12.5</v>
      </c>
      <c r="P1131">
        <v>0.08</v>
      </c>
      <c r="Q1131">
        <v>368</v>
      </c>
      <c r="R1131">
        <v>0.95</v>
      </c>
      <c r="S1131" t="s">
        <v>30</v>
      </c>
      <c r="T1131" s="1">
        <v>45460</v>
      </c>
      <c r="U1131">
        <v>0</v>
      </c>
    </row>
    <row r="1132" spans="1:21" x14ac:dyDescent="0.25">
      <c r="A1132" t="s">
        <v>1179</v>
      </c>
      <c r="B1132">
        <v>63</v>
      </c>
      <c r="C1132" t="s">
        <v>21</v>
      </c>
      <c r="D1132" t="s">
        <v>41</v>
      </c>
      <c r="E1132" t="s">
        <v>31</v>
      </c>
      <c r="F1132" t="s">
        <v>52</v>
      </c>
      <c r="G1132">
        <v>4745.6899999999996</v>
      </c>
      <c r="H1132">
        <v>3146.94</v>
      </c>
      <c r="I1132">
        <v>26197.01</v>
      </c>
      <c r="J1132" t="s">
        <v>37</v>
      </c>
      <c r="K1132" t="s">
        <v>38</v>
      </c>
      <c r="L1132">
        <v>0</v>
      </c>
      <c r="M1132">
        <v>0</v>
      </c>
      <c r="N1132">
        <v>0</v>
      </c>
      <c r="O1132">
        <v>0</v>
      </c>
      <c r="P1132">
        <v>0</v>
      </c>
      <c r="Q1132">
        <v>330</v>
      </c>
      <c r="R1132">
        <v>0.46</v>
      </c>
      <c r="S1132" t="s">
        <v>30</v>
      </c>
      <c r="T1132" s="1">
        <v>44725</v>
      </c>
      <c r="U1132">
        <v>0</v>
      </c>
    </row>
    <row r="1133" spans="1:21" x14ac:dyDescent="0.25">
      <c r="A1133" t="s">
        <v>1180</v>
      </c>
      <c r="B1133">
        <v>24</v>
      </c>
      <c r="C1133" t="s">
        <v>29</v>
      </c>
      <c r="D1133" t="s">
        <v>22</v>
      </c>
      <c r="E1133" t="s">
        <v>31</v>
      </c>
      <c r="F1133" t="s">
        <v>63</v>
      </c>
      <c r="G1133">
        <v>6654.03</v>
      </c>
      <c r="H1133">
        <v>2638.32</v>
      </c>
      <c r="I1133">
        <v>26709.67</v>
      </c>
      <c r="J1133" t="s">
        <v>37</v>
      </c>
      <c r="K1133" t="s">
        <v>38</v>
      </c>
      <c r="L1133">
        <v>0</v>
      </c>
      <c r="M1133">
        <v>0</v>
      </c>
      <c r="N1133">
        <v>0</v>
      </c>
      <c r="O1133">
        <v>0</v>
      </c>
      <c r="P1133">
        <v>0</v>
      </c>
      <c r="Q1133">
        <v>693</v>
      </c>
      <c r="R1133">
        <v>0.33</v>
      </c>
      <c r="S1133" t="s">
        <v>47</v>
      </c>
      <c r="T1133" s="1">
        <v>44490</v>
      </c>
      <c r="U1133">
        <v>0</v>
      </c>
    </row>
    <row r="1134" spans="1:21" x14ac:dyDescent="0.25">
      <c r="A1134" t="s">
        <v>1181</v>
      </c>
      <c r="B1134">
        <v>55</v>
      </c>
      <c r="C1134" t="s">
        <v>29</v>
      </c>
      <c r="D1134" t="s">
        <v>35</v>
      </c>
      <c r="E1134" t="s">
        <v>31</v>
      </c>
      <c r="F1134" t="s">
        <v>36</v>
      </c>
      <c r="G1134">
        <v>3391.37</v>
      </c>
      <c r="H1134">
        <v>2986.36</v>
      </c>
      <c r="I1134">
        <v>9505.01</v>
      </c>
      <c r="J1134" t="s">
        <v>37</v>
      </c>
      <c r="K1134" t="s">
        <v>38</v>
      </c>
      <c r="L1134">
        <v>0</v>
      </c>
      <c r="M1134">
        <v>0</v>
      </c>
      <c r="N1134">
        <v>0</v>
      </c>
      <c r="O1134">
        <v>0</v>
      </c>
      <c r="P1134">
        <v>0</v>
      </c>
      <c r="Q1134">
        <v>705</v>
      </c>
      <c r="R1134">
        <v>0.23</v>
      </c>
      <c r="S1134" t="s">
        <v>72</v>
      </c>
      <c r="T1134" s="1">
        <v>45373</v>
      </c>
      <c r="U1134">
        <v>0</v>
      </c>
    </row>
    <row r="1135" spans="1:21" x14ac:dyDescent="0.25">
      <c r="A1135" t="s">
        <v>1182</v>
      </c>
      <c r="B1135">
        <v>69</v>
      </c>
      <c r="C1135" t="s">
        <v>21</v>
      </c>
      <c r="D1135" t="s">
        <v>41</v>
      </c>
      <c r="E1135" t="s">
        <v>31</v>
      </c>
      <c r="F1135" t="s">
        <v>44</v>
      </c>
      <c r="G1135">
        <v>4509.28</v>
      </c>
      <c r="H1135">
        <v>3243.78</v>
      </c>
      <c r="I1135">
        <v>32933.46</v>
      </c>
      <c r="J1135" t="s">
        <v>37</v>
      </c>
      <c r="K1135" t="s">
        <v>38</v>
      </c>
      <c r="L1135">
        <v>0</v>
      </c>
      <c r="M1135">
        <v>0</v>
      </c>
      <c r="N1135">
        <v>0</v>
      </c>
      <c r="O1135">
        <v>0</v>
      </c>
      <c r="P1135">
        <v>0</v>
      </c>
      <c r="Q1135">
        <v>563</v>
      </c>
      <c r="R1135">
        <v>0.61</v>
      </c>
      <c r="S1135" t="s">
        <v>30</v>
      </c>
      <c r="T1135" s="1">
        <v>45192</v>
      </c>
      <c r="U1135">
        <v>0</v>
      </c>
    </row>
    <row r="1136" spans="1:21" x14ac:dyDescent="0.25">
      <c r="A1136" t="s">
        <v>1183</v>
      </c>
      <c r="B1136">
        <v>61</v>
      </c>
      <c r="C1136" t="s">
        <v>21</v>
      </c>
      <c r="D1136" t="s">
        <v>41</v>
      </c>
      <c r="E1136" t="s">
        <v>23</v>
      </c>
      <c r="F1136" t="s">
        <v>32</v>
      </c>
      <c r="G1136">
        <v>8469.7999999999993</v>
      </c>
      <c r="H1136">
        <v>7548.64</v>
      </c>
      <c r="I1136">
        <v>86150.77</v>
      </c>
      <c r="J1136" t="s">
        <v>25</v>
      </c>
      <c r="K1136" t="s">
        <v>33</v>
      </c>
      <c r="L1136">
        <v>455602.3</v>
      </c>
      <c r="M1136">
        <v>300</v>
      </c>
      <c r="N1136">
        <v>7341.47</v>
      </c>
      <c r="O1136">
        <v>19.170000000000002</v>
      </c>
      <c r="P1136">
        <v>0.87</v>
      </c>
      <c r="Q1136">
        <v>735</v>
      </c>
      <c r="R1136">
        <v>0.85</v>
      </c>
      <c r="S1136" t="s">
        <v>72</v>
      </c>
      <c r="T1136" s="1">
        <v>45585</v>
      </c>
      <c r="U1136">
        <v>1</v>
      </c>
    </row>
    <row r="1137" spans="1:21" x14ac:dyDescent="0.25">
      <c r="A1137" t="s">
        <v>1184</v>
      </c>
      <c r="B1137">
        <v>64</v>
      </c>
      <c r="C1137" t="s">
        <v>21</v>
      </c>
      <c r="D1137" t="s">
        <v>22</v>
      </c>
      <c r="E1137" t="s">
        <v>51</v>
      </c>
      <c r="F1137" t="s">
        <v>63</v>
      </c>
      <c r="G1137">
        <v>2494.21</v>
      </c>
      <c r="H1137">
        <v>1269.0999999999999</v>
      </c>
      <c r="I1137">
        <v>25063.74</v>
      </c>
      <c r="J1137" t="s">
        <v>37</v>
      </c>
      <c r="K1137" t="s">
        <v>38</v>
      </c>
      <c r="L1137">
        <v>0</v>
      </c>
      <c r="M1137">
        <v>0</v>
      </c>
      <c r="N1137">
        <v>0</v>
      </c>
      <c r="O1137">
        <v>0</v>
      </c>
      <c r="P1137">
        <v>0</v>
      </c>
      <c r="Q1137">
        <v>673</v>
      </c>
      <c r="R1137">
        <v>0.84</v>
      </c>
      <c r="S1137" t="s">
        <v>30</v>
      </c>
      <c r="T1137" s="1">
        <v>44546</v>
      </c>
      <c r="U1137">
        <v>0</v>
      </c>
    </row>
    <row r="1138" spans="1:21" x14ac:dyDescent="0.25">
      <c r="A1138" t="s">
        <v>1185</v>
      </c>
      <c r="B1138">
        <v>60</v>
      </c>
      <c r="C1138" t="s">
        <v>29</v>
      </c>
      <c r="D1138" t="s">
        <v>41</v>
      </c>
      <c r="E1138" t="s">
        <v>31</v>
      </c>
      <c r="F1138" t="s">
        <v>44</v>
      </c>
      <c r="G1138">
        <v>3081.06</v>
      </c>
      <c r="H1138">
        <v>1843.82</v>
      </c>
      <c r="I1138">
        <v>12198.43</v>
      </c>
      <c r="J1138" t="s">
        <v>25</v>
      </c>
      <c r="K1138" t="s">
        <v>33</v>
      </c>
      <c r="L1138">
        <v>124668.82</v>
      </c>
      <c r="M1138">
        <v>300</v>
      </c>
      <c r="N1138">
        <v>1152.26</v>
      </c>
      <c r="O1138">
        <v>10.220000000000001</v>
      </c>
      <c r="P1138">
        <v>0.37</v>
      </c>
      <c r="Q1138">
        <v>422</v>
      </c>
      <c r="R1138">
        <v>0.33</v>
      </c>
      <c r="S1138" t="s">
        <v>27</v>
      </c>
      <c r="T1138" s="1">
        <v>44807</v>
      </c>
      <c r="U1138">
        <v>0</v>
      </c>
    </row>
    <row r="1139" spans="1:21" x14ac:dyDescent="0.25">
      <c r="A1139" t="s">
        <v>1186</v>
      </c>
      <c r="B1139">
        <v>39</v>
      </c>
      <c r="C1139" t="s">
        <v>21</v>
      </c>
      <c r="D1139" t="s">
        <v>41</v>
      </c>
      <c r="E1139" t="s">
        <v>31</v>
      </c>
      <c r="F1139" t="s">
        <v>42</v>
      </c>
      <c r="G1139">
        <v>6032.17</v>
      </c>
      <c r="H1139">
        <v>5276.42</v>
      </c>
      <c r="I1139">
        <v>42508.55</v>
      </c>
      <c r="J1139" t="s">
        <v>25</v>
      </c>
      <c r="K1139" t="s">
        <v>33</v>
      </c>
      <c r="L1139">
        <v>249515.86</v>
      </c>
      <c r="M1139">
        <v>360</v>
      </c>
      <c r="N1139">
        <v>4721.43</v>
      </c>
      <c r="O1139">
        <v>22.68</v>
      </c>
      <c r="P1139">
        <v>0.78</v>
      </c>
      <c r="Q1139">
        <v>320</v>
      </c>
      <c r="R1139">
        <v>0.59</v>
      </c>
      <c r="S1139" t="s">
        <v>39</v>
      </c>
      <c r="T1139" s="1">
        <v>44735</v>
      </c>
      <c r="U1139">
        <v>1</v>
      </c>
    </row>
    <row r="1140" spans="1:21" x14ac:dyDescent="0.25">
      <c r="A1140" t="s">
        <v>1187</v>
      </c>
      <c r="B1140">
        <v>63</v>
      </c>
      <c r="C1140" t="s">
        <v>21</v>
      </c>
      <c r="D1140" t="s">
        <v>22</v>
      </c>
      <c r="E1140" t="s">
        <v>31</v>
      </c>
      <c r="F1140" t="s">
        <v>42</v>
      </c>
      <c r="G1140">
        <v>3440.01</v>
      </c>
      <c r="H1140">
        <v>2128.7600000000002</v>
      </c>
      <c r="I1140">
        <v>25673.279999999999</v>
      </c>
      <c r="J1140" t="s">
        <v>25</v>
      </c>
      <c r="K1140" t="s">
        <v>54</v>
      </c>
      <c r="L1140">
        <v>310871.24</v>
      </c>
      <c r="M1140">
        <v>360</v>
      </c>
      <c r="N1140">
        <v>3024.09</v>
      </c>
      <c r="O1140">
        <v>11.27</v>
      </c>
      <c r="P1140">
        <v>0.88</v>
      </c>
      <c r="Q1140">
        <v>775</v>
      </c>
      <c r="R1140">
        <v>0.62</v>
      </c>
      <c r="S1140" t="s">
        <v>39</v>
      </c>
      <c r="T1140" s="1">
        <v>44785</v>
      </c>
      <c r="U1140">
        <v>1</v>
      </c>
    </row>
    <row r="1141" spans="1:21" x14ac:dyDescent="0.25">
      <c r="A1141" t="s">
        <v>1188</v>
      </c>
      <c r="B1141">
        <v>46</v>
      </c>
      <c r="C1141" t="s">
        <v>29</v>
      </c>
      <c r="D1141" t="s">
        <v>41</v>
      </c>
      <c r="E1141" t="s">
        <v>31</v>
      </c>
      <c r="F1141" t="s">
        <v>23</v>
      </c>
      <c r="G1141">
        <v>10237.35</v>
      </c>
      <c r="H1141">
        <v>3894.46</v>
      </c>
      <c r="I1141">
        <v>77467.740000000005</v>
      </c>
      <c r="J1141" t="s">
        <v>25</v>
      </c>
      <c r="K1141" t="s">
        <v>45</v>
      </c>
      <c r="L1141">
        <v>277441.87</v>
      </c>
      <c r="M1141">
        <v>36</v>
      </c>
      <c r="N1141">
        <v>10257.09</v>
      </c>
      <c r="O1141">
        <v>19.62</v>
      </c>
      <c r="P1141">
        <v>1</v>
      </c>
      <c r="Q1141">
        <v>563</v>
      </c>
      <c r="R1141">
        <v>0.63</v>
      </c>
      <c r="S1141" t="s">
        <v>72</v>
      </c>
      <c r="T1141" s="1">
        <v>44463</v>
      </c>
      <c r="U1141">
        <v>1</v>
      </c>
    </row>
    <row r="1142" spans="1:21" x14ac:dyDescent="0.25">
      <c r="A1142" t="s">
        <v>1189</v>
      </c>
      <c r="B1142">
        <v>30</v>
      </c>
      <c r="C1142" t="s">
        <v>21</v>
      </c>
      <c r="D1142" t="s">
        <v>22</v>
      </c>
      <c r="E1142" t="s">
        <v>31</v>
      </c>
      <c r="F1142" t="s">
        <v>44</v>
      </c>
      <c r="G1142">
        <v>2495.89</v>
      </c>
      <c r="H1142">
        <v>1428.3</v>
      </c>
      <c r="I1142">
        <v>15325.86</v>
      </c>
      <c r="J1142" t="s">
        <v>37</v>
      </c>
      <c r="K1142" t="s">
        <v>38</v>
      </c>
      <c r="L1142">
        <v>0</v>
      </c>
      <c r="M1142">
        <v>0</v>
      </c>
      <c r="N1142">
        <v>0</v>
      </c>
      <c r="O1142">
        <v>0</v>
      </c>
      <c r="P1142">
        <v>0</v>
      </c>
      <c r="Q1142">
        <v>324</v>
      </c>
      <c r="R1142">
        <v>0.51</v>
      </c>
      <c r="S1142" t="s">
        <v>72</v>
      </c>
      <c r="T1142" s="1">
        <v>45828</v>
      </c>
      <c r="U1142">
        <v>0</v>
      </c>
    </row>
    <row r="1143" spans="1:21" x14ac:dyDescent="0.25">
      <c r="A1143" t="s">
        <v>1190</v>
      </c>
      <c r="B1143">
        <v>18</v>
      </c>
      <c r="C1143" t="s">
        <v>21</v>
      </c>
      <c r="D1143" t="s">
        <v>35</v>
      </c>
      <c r="E1143" t="s">
        <v>31</v>
      </c>
      <c r="F1143" t="s">
        <v>63</v>
      </c>
      <c r="G1143">
        <v>2691.38</v>
      </c>
      <c r="H1143">
        <v>1441.28</v>
      </c>
      <c r="I1143">
        <v>25271.78</v>
      </c>
      <c r="J1143" t="s">
        <v>37</v>
      </c>
      <c r="K1143" t="s">
        <v>38</v>
      </c>
      <c r="L1143">
        <v>0</v>
      </c>
      <c r="M1143">
        <v>0</v>
      </c>
      <c r="N1143">
        <v>0</v>
      </c>
      <c r="O1143">
        <v>0</v>
      </c>
      <c r="P1143">
        <v>0</v>
      </c>
      <c r="Q1143">
        <v>603</v>
      </c>
      <c r="R1143">
        <v>0.78</v>
      </c>
      <c r="S1143" t="s">
        <v>39</v>
      </c>
      <c r="T1143" s="1">
        <v>44686</v>
      </c>
      <c r="U1143">
        <v>0</v>
      </c>
    </row>
    <row r="1144" spans="1:21" x14ac:dyDescent="0.25">
      <c r="A1144" t="s">
        <v>1191</v>
      </c>
      <c r="B1144">
        <v>25</v>
      </c>
      <c r="C1144" t="s">
        <v>21</v>
      </c>
      <c r="D1144" t="s">
        <v>35</v>
      </c>
      <c r="E1144" t="s">
        <v>31</v>
      </c>
      <c r="F1144" t="s">
        <v>52</v>
      </c>
      <c r="G1144">
        <v>3617.21</v>
      </c>
      <c r="H1144">
        <v>1937.9</v>
      </c>
      <c r="I1144">
        <v>7384.93</v>
      </c>
      <c r="J1144" t="s">
        <v>37</v>
      </c>
      <c r="K1144" t="s">
        <v>38</v>
      </c>
      <c r="L1144">
        <v>0</v>
      </c>
      <c r="M1144">
        <v>0</v>
      </c>
      <c r="N1144">
        <v>0</v>
      </c>
      <c r="O1144">
        <v>0</v>
      </c>
      <c r="P1144">
        <v>0</v>
      </c>
      <c r="Q1144">
        <v>513</v>
      </c>
      <c r="R1144">
        <v>0.17</v>
      </c>
      <c r="S1144" t="s">
        <v>39</v>
      </c>
      <c r="T1144" s="1">
        <v>44896</v>
      </c>
      <c r="U1144">
        <v>0</v>
      </c>
    </row>
    <row r="1145" spans="1:21" x14ac:dyDescent="0.25">
      <c r="A1145" t="s">
        <v>1192</v>
      </c>
      <c r="B1145">
        <v>45</v>
      </c>
      <c r="C1145" t="s">
        <v>29</v>
      </c>
      <c r="D1145" t="s">
        <v>41</v>
      </c>
      <c r="E1145" t="s">
        <v>51</v>
      </c>
      <c r="F1145" t="s">
        <v>23</v>
      </c>
      <c r="G1145">
        <v>2479.8000000000002</v>
      </c>
      <c r="H1145">
        <v>1942.33</v>
      </c>
      <c r="I1145">
        <v>7786.22</v>
      </c>
      <c r="J1145" t="s">
        <v>37</v>
      </c>
      <c r="K1145" t="s">
        <v>38</v>
      </c>
      <c r="L1145">
        <v>0</v>
      </c>
      <c r="M1145">
        <v>0</v>
      </c>
      <c r="N1145">
        <v>0</v>
      </c>
      <c r="O1145">
        <v>0</v>
      </c>
      <c r="P1145">
        <v>0</v>
      </c>
      <c r="Q1145">
        <v>455</v>
      </c>
      <c r="R1145">
        <v>0.26</v>
      </c>
      <c r="S1145" t="s">
        <v>27</v>
      </c>
      <c r="T1145" s="1">
        <v>44936</v>
      </c>
      <c r="U1145">
        <v>0</v>
      </c>
    </row>
    <row r="1146" spans="1:21" x14ac:dyDescent="0.25">
      <c r="A1146" t="s">
        <v>1193</v>
      </c>
      <c r="B1146">
        <v>49</v>
      </c>
      <c r="C1146" t="s">
        <v>21</v>
      </c>
      <c r="D1146" t="s">
        <v>41</v>
      </c>
      <c r="E1146" t="s">
        <v>31</v>
      </c>
      <c r="F1146" t="s">
        <v>36</v>
      </c>
      <c r="G1146">
        <v>5926.49</v>
      </c>
      <c r="H1146">
        <v>3557.53</v>
      </c>
      <c r="I1146">
        <v>39254.019999999997</v>
      </c>
      <c r="J1146" t="s">
        <v>37</v>
      </c>
      <c r="K1146" t="s">
        <v>38</v>
      </c>
      <c r="L1146">
        <v>0</v>
      </c>
      <c r="M1146">
        <v>0</v>
      </c>
      <c r="N1146">
        <v>0</v>
      </c>
      <c r="O1146">
        <v>0</v>
      </c>
      <c r="P1146">
        <v>0</v>
      </c>
      <c r="Q1146">
        <v>648</v>
      </c>
      <c r="R1146">
        <v>0.55000000000000004</v>
      </c>
      <c r="S1146" t="s">
        <v>30</v>
      </c>
      <c r="T1146" s="1">
        <v>44885</v>
      </c>
      <c r="U1146">
        <v>0</v>
      </c>
    </row>
    <row r="1147" spans="1:21" x14ac:dyDescent="0.25">
      <c r="A1147" t="s">
        <v>1194</v>
      </c>
      <c r="B1147">
        <v>47</v>
      </c>
      <c r="C1147" t="s">
        <v>29</v>
      </c>
      <c r="D1147" t="s">
        <v>41</v>
      </c>
      <c r="E1147" t="s">
        <v>51</v>
      </c>
      <c r="F1147" t="s">
        <v>42</v>
      </c>
      <c r="G1147">
        <v>5036.4399999999996</v>
      </c>
      <c r="H1147">
        <v>3275.95</v>
      </c>
      <c r="I1147">
        <v>13510.92</v>
      </c>
      <c r="J1147" t="s">
        <v>25</v>
      </c>
      <c r="K1147" t="s">
        <v>26</v>
      </c>
      <c r="L1147">
        <v>33812.93</v>
      </c>
      <c r="M1147">
        <v>12</v>
      </c>
      <c r="N1147">
        <v>3186.55</v>
      </c>
      <c r="O1147">
        <v>23.34</v>
      </c>
      <c r="P1147">
        <v>0.63</v>
      </c>
      <c r="Q1147">
        <v>820</v>
      </c>
      <c r="R1147">
        <v>0.22</v>
      </c>
      <c r="S1147" t="s">
        <v>47</v>
      </c>
      <c r="T1147" s="1">
        <v>44544</v>
      </c>
      <c r="U1147">
        <v>1</v>
      </c>
    </row>
    <row r="1148" spans="1:21" x14ac:dyDescent="0.25">
      <c r="A1148" t="s">
        <v>1195</v>
      </c>
      <c r="B1148">
        <v>60</v>
      </c>
      <c r="C1148" t="s">
        <v>29</v>
      </c>
      <c r="D1148" t="s">
        <v>35</v>
      </c>
      <c r="E1148" t="s">
        <v>51</v>
      </c>
      <c r="F1148" t="s">
        <v>63</v>
      </c>
      <c r="G1148">
        <v>5077.5600000000004</v>
      </c>
      <c r="H1148">
        <v>4131.62</v>
      </c>
      <c r="I1148">
        <v>43095.39</v>
      </c>
      <c r="J1148" t="s">
        <v>25</v>
      </c>
      <c r="K1148" t="s">
        <v>45</v>
      </c>
      <c r="L1148">
        <v>127325.77</v>
      </c>
      <c r="M1148">
        <v>24</v>
      </c>
      <c r="N1148">
        <v>6737.57</v>
      </c>
      <c r="O1148">
        <v>24.09</v>
      </c>
      <c r="P1148">
        <v>1.33</v>
      </c>
      <c r="Q1148">
        <v>484</v>
      </c>
      <c r="R1148">
        <v>0.71</v>
      </c>
      <c r="S1148" t="s">
        <v>72</v>
      </c>
      <c r="T1148" s="1">
        <v>45679</v>
      </c>
      <c r="U1148">
        <v>1</v>
      </c>
    </row>
    <row r="1149" spans="1:21" x14ac:dyDescent="0.25">
      <c r="A1149" t="s">
        <v>1196</v>
      </c>
      <c r="B1149">
        <v>64</v>
      </c>
      <c r="C1149" t="s">
        <v>30</v>
      </c>
      <c r="D1149" t="s">
        <v>35</v>
      </c>
      <c r="E1149" t="s">
        <v>23</v>
      </c>
      <c r="F1149" t="s">
        <v>63</v>
      </c>
      <c r="G1149">
        <v>2482.54</v>
      </c>
      <c r="H1149">
        <v>1763.66</v>
      </c>
      <c r="I1149">
        <v>27280.79</v>
      </c>
      <c r="J1149" t="s">
        <v>37</v>
      </c>
      <c r="K1149" t="s">
        <v>38</v>
      </c>
      <c r="L1149">
        <v>0</v>
      </c>
      <c r="M1149">
        <v>0</v>
      </c>
      <c r="N1149">
        <v>0</v>
      </c>
      <c r="O1149">
        <v>0</v>
      </c>
      <c r="P1149">
        <v>0</v>
      </c>
      <c r="Q1149">
        <v>807</v>
      </c>
      <c r="R1149">
        <v>0.92</v>
      </c>
      <c r="S1149" t="s">
        <v>27</v>
      </c>
      <c r="T1149" s="1">
        <v>45750</v>
      </c>
      <c r="U1149">
        <v>0</v>
      </c>
    </row>
    <row r="1150" spans="1:21" x14ac:dyDescent="0.25">
      <c r="A1150" t="s">
        <v>1197</v>
      </c>
      <c r="B1150">
        <v>40</v>
      </c>
      <c r="C1150" t="s">
        <v>29</v>
      </c>
      <c r="D1150" t="s">
        <v>22</v>
      </c>
      <c r="E1150" t="s">
        <v>31</v>
      </c>
      <c r="F1150" t="s">
        <v>24</v>
      </c>
      <c r="G1150">
        <v>9316.83</v>
      </c>
      <c r="H1150">
        <v>7891.64</v>
      </c>
      <c r="I1150">
        <v>90795.9</v>
      </c>
      <c r="J1150" t="s">
        <v>37</v>
      </c>
      <c r="K1150" t="s">
        <v>38</v>
      </c>
      <c r="L1150">
        <v>0</v>
      </c>
      <c r="M1150">
        <v>0</v>
      </c>
      <c r="N1150">
        <v>0</v>
      </c>
      <c r="O1150">
        <v>0</v>
      </c>
      <c r="P1150">
        <v>0</v>
      </c>
      <c r="Q1150">
        <v>563</v>
      </c>
      <c r="R1150">
        <v>0.81</v>
      </c>
      <c r="S1150" t="s">
        <v>47</v>
      </c>
      <c r="T1150" s="1">
        <v>45630</v>
      </c>
      <c r="U1150">
        <v>0</v>
      </c>
    </row>
    <row r="1151" spans="1:21" x14ac:dyDescent="0.25">
      <c r="A1151" t="s">
        <v>1198</v>
      </c>
      <c r="B1151">
        <v>50</v>
      </c>
      <c r="C1151" t="s">
        <v>29</v>
      </c>
      <c r="D1151" t="s">
        <v>41</v>
      </c>
      <c r="E1151" t="s">
        <v>31</v>
      </c>
      <c r="F1151" t="s">
        <v>24</v>
      </c>
      <c r="G1151">
        <v>3275.55</v>
      </c>
      <c r="H1151">
        <v>2633.23</v>
      </c>
      <c r="I1151">
        <v>26332.61</v>
      </c>
      <c r="J1151" t="s">
        <v>37</v>
      </c>
      <c r="K1151" t="s">
        <v>38</v>
      </c>
      <c r="L1151">
        <v>0</v>
      </c>
      <c r="M1151">
        <v>0</v>
      </c>
      <c r="N1151">
        <v>0</v>
      </c>
      <c r="O1151">
        <v>0</v>
      </c>
      <c r="P1151">
        <v>0</v>
      </c>
      <c r="Q1151">
        <v>845</v>
      </c>
      <c r="R1151">
        <v>0.67</v>
      </c>
      <c r="S1151" t="s">
        <v>47</v>
      </c>
      <c r="T1151" s="1">
        <v>45361</v>
      </c>
      <c r="U1151">
        <v>0</v>
      </c>
    </row>
    <row r="1152" spans="1:21" x14ac:dyDescent="0.25">
      <c r="A1152" t="s">
        <v>1199</v>
      </c>
      <c r="B1152">
        <v>41</v>
      </c>
      <c r="C1152" t="s">
        <v>29</v>
      </c>
      <c r="D1152" t="s">
        <v>41</v>
      </c>
      <c r="E1152" t="s">
        <v>31</v>
      </c>
      <c r="F1152" t="s">
        <v>24</v>
      </c>
      <c r="G1152">
        <v>5792.26</v>
      </c>
      <c r="H1152">
        <v>3639.8</v>
      </c>
      <c r="I1152">
        <v>19172.810000000001</v>
      </c>
      <c r="J1152" t="s">
        <v>37</v>
      </c>
      <c r="K1152" t="s">
        <v>38</v>
      </c>
      <c r="L1152">
        <v>0</v>
      </c>
      <c r="M1152">
        <v>0</v>
      </c>
      <c r="N1152">
        <v>0</v>
      </c>
      <c r="O1152">
        <v>0</v>
      </c>
      <c r="P1152">
        <v>0</v>
      </c>
      <c r="Q1152">
        <v>638</v>
      </c>
      <c r="R1152">
        <v>0.28000000000000003</v>
      </c>
      <c r="S1152" t="s">
        <v>72</v>
      </c>
      <c r="T1152" s="1">
        <v>44487</v>
      </c>
      <c r="U1152">
        <v>0</v>
      </c>
    </row>
    <row r="1153" spans="1:21" x14ac:dyDescent="0.25">
      <c r="A1153" t="s">
        <v>1200</v>
      </c>
      <c r="B1153">
        <v>58</v>
      </c>
      <c r="C1153" t="s">
        <v>29</v>
      </c>
      <c r="D1153" t="s">
        <v>22</v>
      </c>
      <c r="E1153" t="s">
        <v>31</v>
      </c>
      <c r="F1153" t="s">
        <v>63</v>
      </c>
      <c r="G1153">
        <v>3356.76</v>
      </c>
      <c r="H1153">
        <v>2984.53</v>
      </c>
      <c r="I1153">
        <v>12977.99</v>
      </c>
      <c r="J1153" t="s">
        <v>25</v>
      </c>
      <c r="K1153" t="s">
        <v>33</v>
      </c>
      <c r="L1153">
        <v>8154.36</v>
      </c>
      <c r="M1153">
        <v>240</v>
      </c>
      <c r="N1153">
        <v>140.63999999999999</v>
      </c>
      <c r="O1153">
        <v>20.329999999999998</v>
      </c>
      <c r="P1153">
        <v>0.04</v>
      </c>
      <c r="Q1153">
        <v>738</v>
      </c>
      <c r="R1153">
        <v>0.32</v>
      </c>
      <c r="S1153" t="s">
        <v>72</v>
      </c>
      <c r="T1153" s="1">
        <v>45230</v>
      </c>
      <c r="U1153">
        <v>0</v>
      </c>
    </row>
    <row r="1154" spans="1:21" x14ac:dyDescent="0.25">
      <c r="A1154" t="s">
        <v>1201</v>
      </c>
      <c r="B1154">
        <v>26</v>
      </c>
      <c r="C1154" t="s">
        <v>29</v>
      </c>
      <c r="D1154" t="s">
        <v>35</v>
      </c>
      <c r="E1154" t="s">
        <v>31</v>
      </c>
      <c r="F1154" t="s">
        <v>44</v>
      </c>
      <c r="G1154">
        <v>3541.82</v>
      </c>
      <c r="H1154">
        <v>3118.42</v>
      </c>
      <c r="I1154">
        <v>26148.51</v>
      </c>
      <c r="J1154" t="s">
        <v>25</v>
      </c>
      <c r="K1154" t="s">
        <v>54</v>
      </c>
      <c r="L1154">
        <v>201442.6</v>
      </c>
      <c r="M1154">
        <v>36</v>
      </c>
      <c r="N1154">
        <v>6935.82</v>
      </c>
      <c r="O1154">
        <v>14.52</v>
      </c>
      <c r="P1154">
        <v>1.96</v>
      </c>
      <c r="Q1154">
        <v>806</v>
      </c>
      <c r="R1154">
        <v>0.62</v>
      </c>
      <c r="S1154" t="s">
        <v>72</v>
      </c>
      <c r="T1154" s="1">
        <v>45252</v>
      </c>
      <c r="U1154">
        <v>1</v>
      </c>
    </row>
    <row r="1155" spans="1:21" x14ac:dyDescent="0.25">
      <c r="A1155" t="s">
        <v>1202</v>
      </c>
      <c r="B1155">
        <v>45</v>
      </c>
      <c r="C1155" t="s">
        <v>29</v>
      </c>
      <c r="D1155" t="s">
        <v>56</v>
      </c>
      <c r="E1155" t="s">
        <v>51</v>
      </c>
      <c r="F1155" t="s">
        <v>24</v>
      </c>
      <c r="G1155">
        <v>5045.59</v>
      </c>
      <c r="H1155">
        <v>2845.19</v>
      </c>
      <c r="I1155">
        <v>38655.56</v>
      </c>
      <c r="J1155" t="s">
        <v>25</v>
      </c>
      <c r="K1155" t="s">
        <v>54</v>
      </c>
      <c r="L1155">
        <v>205622.63</v>
      </c>
      <c r="M1155">
        <v>120</v>
      </c>
      <c r="N1155">
        <v>3779.47</v>
      </c>
      <c r="O1155">
        <v>18.559999999999999</v>
      </c>
      <c r="P1155">
        <v>0.75</v>
      </c>
      <c r="Q1155">
        <v>658</v>
      </c>
      <c r="R1155">
        <v>0.64</v>
      </c>
      <c r="S1155" t="s">
        <v>47</v>
      </c>
      <c r="T1155" s="1">
        <v>44771</v>
      </c>
      <c r="U1155">
        <v>1</v>
      </c>
    </row>
    <row r="1156" spans="1:21" x14ac:dyDescent="0.25">
      <c r="A1156" t="s">
        <v>1203</v>
      </c>
      <c r="B1156">
        <v>31</v>
      </c>
      <c r="C1156" t="s">
        <v>21</v>
      </c>
      <c r="D1156" t="s">
        <v>35</v>
      </c>
      <c r="E1156" t="s">
        <v>49</v>
      </c>
      <c r="F1156" t="s">
        <v>23</v>
      </c>
      <c r="G1156">
        <v>5360.05</v>
      </c>
      <c r="H1156">
        <v>2645.06</v>
      </c>
      <c r="I1156">
        <v>40771.58</v>
      </c>
      <c r="J1156" t="s">
        <v>37</v>
      </c>
      <c r="K1156" t="s">
        <v>38</v>
      </c>
      <c r="L1156">
        <v>0</v>
      </c>
      <c r="M1156">
        <v>0</v>
      </c>
      <c r="N1156">
        <v>0</v>
      </c>
      <c r="O1156">
        <v>0</v>
      </c>
      <c r="P1156">
        <v>0</v>
      </c>
      <c r="Q1156">
        <v>427</v>
      </c>
      <c r="R1156">
        <v>0.63</v>
      </c>
      <c r="S1156" t="s">
        <v>47</v>
      </c>
      <c r="T1156" s="1">
        <v>45276</v>
      </c>
      <c r="U1156">
        <v>0</v>
      </c>
    </row>
    <row r="1157" spans="1:21" x14ac:dyDescent="0.25">
      <c r="A1157" t="s">
        <v>1204</v>
      </c>
      <c r="B1157">
        <v>48</v>
      </c>
      <c r="C1157" t="s">
        <v>29</v>
      </c>
      <c r="D1157" t="s">
        <v>41</v>
      </c>
      <c r="E1157" t="s">
        <v>23</v>
      </c>
      <c r="F1157" t="s">
        <v>24</v>
      </c>
      <c r="G1157">
        <v>3778.62</v>
      </c>
      <c r="H1157">
        <v>1548.52</v>
      </c>
      <c r="I1157">
        <v>15560.64</v>
      </c>
      <c r="J1157" t="s">
        <v>37</v>
      </c>
      <c r="K1157" t="s">
        <v>38</v>
      </c>
      <c r="L1157">
        <v>0</v>
      </c>
      <c r="M1157">
        <v>0</v>
      </c>
      <c r="N1157">
        <v>0</v>
      </c>
      <c r="O1157">
        <v>0</v>
      </c>
      <c r="P1157">
        <v>0</v>
      </c>
      <c r="Q1157">
        <v>435</v>
      </c>
      <c r="R1157">
        <v>0.34</v>
      </c>
      <c r="S1157" t="s">
        <v>39</v>
      </c>
      <c r="T1157" s="1">
        <v>45198</v>
      </c>
      <c r="U1157">
        <v>0</v>
      </c>
    </row>
    <row r="1158" spans="1:21" x14ac:dyDescent="0.25">
      <c r="A1158" t="s">
        <v>1205</v>
      </c>
      <c r="B1158">
        <v>32</v>
      </c>
      <c r="C1158" t="s">
        <v>29</v>
      </c>
      <c r="D1158" t="s">
        <v>35</v>
      </c>
      <c r="E1158" t="s">
        <v>49</v>
      </c>
      <c r="F1158" t="s">
        <v>32</v>
      </c>
      <c r="G1158">
        <v>4846.76</v>
      </c>
      <c r="H1158">
        <v>2167.0100000000002</v>
      </c>
      <c r="I1158">
        <v>20127.099999999999</v>
      </c>
      <c r="J1158" t="s">
        <v>37</v>
      </c>
      <c r="K1158" t="s">
        <v>38</v>
      </c>
      <c r="L1158">
        <v>0</v>
      </c>
      <c r="M1158">
        <v>0</v>
      </c>
      <c r="N1158">
        <v>0</v>
      </c>
      <c r="O1158">
        <v>0</v>
      </c>
      <c r="P1158">
        <v>0</v>
      </c>
      <c r="Q1158">
        <v>712</v>
      </c>
      <c r="R1158">
        <v>0.35</v>
      </c>
      <c r="S1158" t="s">
        <v>47</v>
      </c>
      <c r="T1158" s="1">
        <v>45317</v>
      </c>
      <c r="U1158">
        <v>0</v>
      </c>
    </row>
    <row r="1159" spans="1:21" x14ac:dyDescent="0.25">
      <c r="A1159" t="s">
        <v>1206</v>
      </c>
      <c r="B1159">
        <v>22</v>
      </c>
      <c r="C1159" t="s">
        <v>30</v>
      </c>
      <c r="D1159" t="s">
        <v>56</v>
      </c>
      <c r="E1159" t="s">
        <v>31</v>
      </c>
      <c r="F1159" t="s">
        <v>24</v>
      </c>
      <c r="G1159">
        <v>6782.43</v>
      </c>
      <c r="H1159">
        <v>3536.77</v>
      </c>
      <c r="I1159">
        <v>43289.8</v>
      </c>
      <c r="J1159" t="s">
        <v>37</v>
      </c>
      <c r="K1159" t="s">
        <v>38</v>
      </c>
      <c r="L1159">
        <v>0</v>
      </c>
      <c r="M1159">
        <v>0</v>
      </c>
      <c r="N1159">
        <v>0</v>
      </c>
      <c r="O1159">
        <v>0</v>
      </c>
      <c r="P1159">
        <v>0</v>
      </c>
      <c r="Q1159">
        <v>640</v>
      </c>
      <c r="R1159">
        <v>0.53</v>
      </c>
      <c r="S1159" t="s">
        <v>39</v>
      </c>
      <c r="T1159" s="1">
        <v>44673</v>
      </c>
      <c r="U1159">
        <v>0</v>
      </c>
    </row>
    <row r="1160" spans="1:21" x14ac:dyDescent="0.25">
      <c r="A1160" t="s">
        <v>1207</v>
      </c>
      <c r="B1160">
        <v>63</v>
      </c>
      <c r="C1160" t="s">
        <v>21</v>
      </c>
      <c r="D1160" t="s">
        <v>35</v>
      </c>
      <c r="E1160" t="s">
        <v>51</v>
      </c>
      <c r="F1160" t="s">
        <v>24</v>
      </c>
      <c r="G1160">
        <v>1732.39</v>
      </c>
      <c r="H1160">
        <v>1283.73</v>
      </c>
      <c r="I1160">
        <v>9566.39</v>
      </c>
      <c r="J1160" t="s">
        <v>25</v>
      </c>
      <c r="K1160" t="s">
        <v>33</v>
      </c>
      <c r="L1160">
        <v>128839.1</v>
      </c>
      <c r="M1160">
        <v>120</v>
      </c>
      <c r="N1160">
        <v>1590.54</v>
      </c>
      <c r="O1160">
        <v>8.4</v>
      </c>
      <c r="P1160">
        <v>0.92</v>
      </c>
      <c r="Q1160">
        <v>553</v>
      </c>
      <c r="R1160">
        <v>0.46</v>
      </c>
      <c r="S1160" t="s">
        <v>30</v>
      </c>
      <c r="T1160" s="1">
        <v>44915</v>
      </c>
      <c r="U1160">
        <v>1</v>
      </c>
    </row>
    <row r="1161" spans="1:21" x14ac:dyDescent="0.25">
      <c r="A1161" t="s">
        <v>1208</v>
      </c>
      <c r="B1161">
        <v>68</v>
      </c>
      <c r="C1161" t="s">
        <v>29</v>
      </c>
      <c r="D1161" t="s">
        <v>41</v>
      </c>
      <c r="E1161" t="s">
        <v>31</v>
      </c>
      <c r="F1161" t="s">
        <v>63</v>
      </c>
      <c r="G1161">
        <v>4458.6499999999996</v>
      </c>
      <c r="H1161">
        <v>3549.52</v>
      </c>
      <c r="I1161">
        <v>14084</v>
      </c>
      <c r="J1161" t="s">
        <v>37</v>
      </c>
      <c r="K1161" t="s">
        <v>38</v>
      </c>
      <c r="L1161">
        <v>0</v>
      </c>
      <c r="M1161">
        <v>0</v>
      </c>
      <c r="N1161">
        <v>0</v>
      </c>
      <c r="O1161">
        <v>0</v>
      </c>
      <c r="P1161">
        <v>0</v>
      </c>
      <c r="Q1161">
        <v>439</v>
      </c>
      <c r="R1161">
        <v>0.26</v>
      </c>
      <c r="S1161" t="s">
        <v>30</v>
      </c>
      <c r="T1161" s="1">
        <v>45168</v>
      </c>
      <c r="U1161">
        <v>0</v>
      </c>
    </row>
    <row r="1162" spans="1:21" x14ac:dyDescent="0.25">
      <c r="A1162" t="s">
        <v>1209</v>
      </c>
      <c r="B1162">
        <v>57</v>
      </c>
      <c r="C1162" t="s">
        <v>21</v>
      </c>
      <c r="D1162" t="s">
        <v>30</v>
      </c>
      <c r="E1162" t="s">
        <v>31</v>
      </c>
      <c r="F1162" t="s">
        <v>23</v>
      </c>
      <c r="G1162">
        <v>5480.03</v>
      </c>
      <c r="H1162">
        <v>2935.12</v>
      </c>
      <c r="I1162">
        <v>23592.02</v>
      </c>
      <c r="J1162" t="s">
        <v>25</v>
      </c>
      <c r="K1162" t="s">
        <v>54</v>
      </c>
      <c r="L1162">
        <v>216450.74</v>
      </c>
      <c r="M1162">
        <v>180</v>
      </c>
      <c r="N1162">
        <v>4892.53</v>
      </c>
      <c r="O1162">
        <v>26.6</v>
      </c>
      <c r="P1162">
        <v>0.89</v>
      </c>
      <c r="Q1162">
        <v>389</v>
      </c>
      <c r="R1162">
        <v>0.36</v>
      </c>
      <c r="S1162" t="s">
        <v>39</v>
      </c>
      <c r="T1162" s="1">
        <v>45144</v>
      </c>
      <c r="U1162">
        <v>1</v>
      </c>
    </row>
    <row r="1163" spans="1:21" x14ac:dyDescent="0.25">
      <c r="A1163" t="s">
        <v>1210</v>
      </c>
      <c r="B1163">
        <v>65</v>
      </c>
      <c r="C1163" t="s">
        <v>21</v>
      </c>
      <c r="D1163" t="s">
        <v>41</v>
      </c>
      <c r="E1163" t="s">
        <v>31</v>
      </c>
      <c r="F1163" t="s">
        <v>63</v>
      </c>
      <c r="G1163">
        <v>4738</v>
      </c>
      <c r="H1163">
        <v>1692.67</v>
      </c>
      <c r="I1163">
        <v>13793.3</v>
      </c>
      <c r="J1163" t="s">
        <v>37</v>
      </c>
      <c r="K1163" t="s">
        <v>38</v>
      </c>
      <c r="L1163">
        <v>0</v>
      </c>
      <c r="M1163">
        <v>0</v>
      </c>
      <c r="N1163">
        <v>0</v>
      </c>
      <c r="O1163">
        <v>0</v>
      </c>
      <c r="P1163">
        <v>0</v>
      </c>
      <c r="Q1163">
        <v>699</v>
      </c>
      <c r="R1163">
        <v>0.24</v>
      </c>
      <c r="S1163" t="s">
        <v>30</v>
      </c>
      <c r="T1163" s="1">
        <v>45008</v>
      </c>
      <c r="U1163">
        <v>0</v>
      </c>
    </row>
    <row r="1164" spans="1:21" x14ac:dyDescent="0.25">
      <c r="A1164" t="s">
        <v>1211</v>
      </c>
      <c r="B1164">
        <v>23</v>
      </c>
      <c r="C1164" t="s">
        <v>29</v>
      </c>
      <c r="D1164" t="s">
        <v>35</v>
      </c>
      <c r="E1164" t="s">
        <v>31</v>
      </c>
      <c r="F1164" t="s">
        <v>36</v>
      </c>
      <c r="G1164">
        <v>3540.89</v>
      </c>
      <c r="H1164">
        <v>1971.1</v>
      </c>
      <c r="I1164">
        <v>10220.77</v>
      </c>
      <c r="J1164" t="s">
        <v>37</v>
      </c>
      <c r="K1164" t="s">
        <v>38</v>
      </c>
      <c r="L1164">
        <v>0</v>
      </c>
      <c r="M1164">
        <v>0</v>
      </c>
      <c r="N1164">
        <v>0</v>
      </c>
      <c r="O1164">
        <v>0</v>
      </c>
      <c r="P1164">
        <v>0</v>
      </c>
      <c r="Q1164">
        <v>693</v>
      </c>
      <c r="R1164">
        <v>0.24</v>
      </c>
      <c r="S1164" t="s">
        <v>47</v>
      </c>
      <c r="T1164" s="1">
        <v>45184</v>
      </c>
      <c r="U1164">
        <v>0</v>
      </c>
    </row>
    <row r="1165" spans="1:21" x14ac:dyDescent="0.25">
      <c r="A1165" t="s">
        <v>1212</v>
      </c>
      <c r="B1165">
        <v>18</v>
      </c>
      <c r="C1165" t="s">
        <v>21</v>
      </c>
      <c r="D1165" t="s">
        <v>41</v>
      </c>
      <c r="E1165" t="s">
        <v>49</v>
      </c>
      <c r="F1165" t="s">
        <v>36</v>
      </c>
      <c r="G1165">
        <v>1288.02</v>
      </c>
      <c r="H1165">
        <v>1152.3599999999999</v>
      </c>
      <c r="I1165">
        <v>14262.35</v>
      </c>
      <c r="J1165" t="s">
        <v>37</v>
      </c>
      <c r="K1165" t="s">
        <v>38</v>
      </c>
      <c r="L1165">
        <v>0</v>
      </c>
      <c r="M1165">
        <v>0</v>
      </c>
      <c r="N1165">
        <v>0</v>
      </c>
      <c r="O1165">
        <v>0</v>
      </c>
      <c r="P1165">
        <v>0</v>
      </c>
      <c r="Q1165">
        <v>562</v>
      </c>
      <c r="R1165">
        <v>0.92</v>
      </c>
      <c r="S1165" t="s">
        <v>30</v>
      </c>
      <c r="T1165" s="1">
        <v>44518</v>
      </c>
      <c r="U1165">
        <v>0</v>
      </c>
    </row>
    <row r="1166" spans="1:21" x14ac:dyDescent="0.25">
      <c r="A1166" t="s">
        <v>1213</v>
      </c>
      <c r="B1166">
        <v>25</v>
      </c>
      <c r="C1166" t="s">
        <v>21</v>
      </c>
      <c r="D1166" t="s">
        <v>22</v>
      </c>
      <c r="E1166" t="s">
        <v>31</v>
      </c>
      <c r="F1166" t="s">
        <v>36</v>
      </c>
      <c r="G1166">
        <v>2124.64</v>
      </c>
      <c r="H1166">
        <v>1165.25</v>
      </c>
      <c r="I1166">
        <v>5620.37</v>
      </c>
      <c r="J1166" t="s">
        <v>37</v>
      </c>
      <c r="K1166" t="s">
        <v>38</v>
      </c>
      <c r="L1166">
        <v>0</v>
      </c>
      <c r="M1166">
        <v>0</v>
      </c>
      <c r="N1166">
        <v>0</v>
      </c>
      <c r="O1166">
        <v>0</v>
      </c>
      <c r="P1166">
        <v>0</v>
      </c>
      <c r="Q1166">
        <v>684</v>
      </c>
      <c r="R1166">
        <v>0.22</v>
      </c>
      <c r="S1166" t="s">
        <v>47</v>
      </c>
      <c r="T1166" s="1">
        <v>44627</v>
      </c>
      <c r="U1166">
        <v>0</v>
      </c>
    </row>
    <row r="1167" spans="1:21" x14ac:dyDescent="0.25">
      <c r="A1167" t="s">
        <v>1214</v>
      </c>
      <c r="B1167">
        <v>63</v>
      </c>
      <c r="C1167" t="s">
        <v>29</v>
      </c>
      <c r="D1167" t="s">
        <v>35</v>
      </c>
      <c r="E1167" t="s">
        <v>51</v>
      </c>
      <c r="F1167" t="s">
        <v>44</v>
      </c>
      <c r="G1167">
        <v>1065.8699999999999</v>
      </c>
      <c r="H1167">
        <v>378.57</v>
      </c>
      <c r="I1167">
        <v>1322.23</v>
      </c>
      <c r="J1167" t="s">
        <v>37</v>
      </c>
      <c r="K1167" t="s">
        <v>38</v>
      </c>
      <c r="L1167">
        <v>0</v>
      </c>
      <c r="M1167">
        <v>0</v>
      </c>
      <c r="N1167">
        <v>0</v>
      </c>
      <c r="O1167">
        <v>0</v>
      </c>
      <c r="P1167">
        <v>0</v>
      </c>
      <c r="Q1167">
        <v>540</v>
      </c>
      <c r="R1167">
        <v>0.1</v>
      </c>
      <c r="S1167" t="s">
        <v>72</v>
      </c>
      <c r="T1167" s="1">
        <v>44802</v>
      </c>
      <c r="U1167">
        <v>0</v>
      </c>
    </row>
    <row r="1168" spans="1:21" x14ac:dyDescent="0.25">
      <c r="A1168" t="s">
        <v>1215</v>
      </c>
      <c r="B1168">
        <v>55</v>
      </c>
      <c r="C1168" t="s">
        <v>29</v>
      </c>
      <c r="D1168" t="s">
        <v>30</v>
      </c>
      <c r="E1168" t="s">
        <v>31</v>
      </c>
      <c r="F1168" t="s">
        <v>63</v>
      </c>
      <c r="G1168">
        <v>3197.05</v>
      </c>
      <c r="H1168">
        <v>1952.98</v>
      </c>
      <c r="I1168">
        <v>5162.1400000000003</v>
      </c>
      <c r="J1168" t="s">
        <v>37</v>
      </c>
      <c r="K1168" t="s">
        <v>38</v>
      </c>
      <c r="L1168">
        <v>0</v>
      </c>
      <c r="M1168">
        <v>0</v>
      </c>
      <c r="N1168">
        <v>0</v>
      </c>
      <c r="O1168">
        <v>0</v>
      </c>
      <c r="P1168">
        <v>0</v>
      </c>
      <c r="Q1168">
        <v>338</v>
      </c>
      <c r="R1168">
        <v>0.13</v>
      </c>
      <c r="S1168" t="s">
        <v>27</v>
      </c>
      <c r="T1168" s="1">
        <v>45293</v>
      </c>
      <c r="U1168">
        <v>0</v>
      </c>
    </row>
    <row r="1169" spans="1:21" x14ac:dyDescent="0.25">
      <c r="A1169" t="s">
        <v>1216</v>
      </c>
      <c r="B1169">
        <v>38</v>
      </c>
      <c r="C1169" t="s">
        <v>21</v>
      </c>
      <c r="D1169" t="s">
        <v>35</v>
      </c>
      <c r="E1169" t="s">
        <v>31</v>
      </c>
      <c r="F1169" t="s">
        <v>52</v>
      </c>
      <c r="G1169">
        <v>1978.91</v>
      </c>
      <c r="H1169">
        <v>1452.89</v>
      </c>
      <c r="I1169">
        <v>12501.97</v>
      </c>
      <c r="J1169" t="s">
        <v>37</v>
      </c>
      <c r="K1169" t="s">
        <v>38</v>
      </c>
      <c r="L1169">
        <v>0</v>
      </c>
      <c r="M1169">
        <v>0</v>
      </c>
      <c r="N1169">
        <v>0</v>
      </c>
      <c r="O1169">
        <v>0</v>
      </c>
      <c r="P1169">
        <v>0</v>
      </c>
      <c r="Q1169">
        <v>323</v>
      </c>
      <c r="R1169">
        <v>0.53</v>
      </c>
      <c r="S1169" t="s">
        <v>27</v>
      </c>
      <c r="T1169" s="1">
        <v>45702</v>
      </c>
      <c r="U1169">
        <v>0</v>
      </c>
    </row>
    <row r="1170" spans="1:21" x14ac:dyDescent="0.25">
      <c r="A1170" t="s">
        <v>1217</v>
      </c>
      <c r="B1170">
        <v>44</v>
      </c>
      <c r="C1170" t="s">
        <v>21</v>
      </c>
      <c r="D1170" t="s">
        <v>22</v>
      </c>
      <c r="E1170" t="s">
        <v>51</v>
      </c>
      <c r="F1170" t="s">
        <v>24</v>
      </c>
      <c r="G1170">
        <v>1611.86</v>
      </c>
      <c r="H1170">
        <v>968.68</v>
      </c>
      <c r="I1170">
        <v>16409.96</v>
      </c>
      <c r="J1170" t="s">
        <v>37</v>
      </c>
      <c r="K1170" t="s">
        <v>38</v>
      </c>
      <c r="L1170">
        <v>0</v>
      </c>
      <c r="M1170">
        <v>0</v>
      </c>
      <c r="N1170">
        <v>0</v>
      </c>
      <c r="O1170">
        <v>0</v>
      </c>
      <c r="P1170">
        <v>0</v>
      </c>
      <c r="Q1170">
        <v>820</v>
      </c>
      <c r="R1170">
        <v>0.85</v>
      </c>
      <c r="S1170" t="s">
        <v>72</v>
      </c>
      <c r="T1170" s="1">
        <v>45549</v>
      </c>
      <c r="U1170">
        <v>0</v>
      </c>
    </row>
    <row r="1171" spans="1:21" x14ac:dyDescent="0.25">
      <c r="A1171" t="s">
        <v>1218</v>
      </c>
      <c r="B1171">
        <v>62</v>
      </c>
      <c r="C1171" t="s">
        <v>29</v>
      </c>
      <c r="D1171" t="s">
        <v>30</v>
      </c>
      <c r="E1171" t="s">
        <v>51</v>
      </c>
      <c r="F1171" t="s">
        <v>52</v>
      </c>
      <c r="G1171">
        <v>3803.71</v>
      </c>
      <c r="H1171">
        <v>1758.15</v>
      </c>
      <c r="I1171">
        <v>27088.63</v>
      </c>
      <c r="J1171" t="s">
        <v>37</v>
      </c>
      <c r="K1171" t="s">
        <v>38</v>
      </c>
      <c r="L1171">
        <v>0</v>
      </c>
      <c r="M1171">
        <v>0</v>
      </c>
      <c r="N1171">
        <v>0</v>
      </c>
      <c r="O1171">
        <v>0</v>
      </c>
      <c r="P1171">
        <v>0</v>
      </c>
      <c r="Q1171">
        <v>530</v>
      </c>
      <c r="R1171">
        <v>0.59</v>
      </c>
      <c r="S1171" t="s">
        <v>30</v>
      </c>
      <c r="T1171" s="1">
        <v>45176</v>
      </c>
      <c r="U1171">
        <v>0</v>
      </c>
    </row>
    <row r="1172" spans="1:21" x14ac:dyDescent="0.25">
      <c r="A1172" t="s">
        <v>1219</v>
      </c>
      <c r="B1172">
        <v>36</v>
      </c>
      <c r="C1172" t="s">
        <v>29</v>
      </c>
      <c r="D1172" t="s">
        <v>35</v>
      </c>
      <c r="E1172" t="s">
        <v>51</v>
      </c>
      <c r="F1172" t="s">
        <v>63</v>
      </c>
      <c r="G1172">
        <v>3592.18</v>
      </c>
      <c r="H1172">
        <v>2771.87</v>
      </c>
      <c r="I1172">
        <v>29482.080000000002</v>
      </c>
      <c r="J1172" t="s">
        <v>37</v>
      </c>
      <c r="K1172" t="s">
        <v>38</v>
      </c>
      <c r="L1172">
        <v>0</v>
      </c>
      <c r="M1172">
        <v>0</v>
      </c>
      <c r="N1172">
        <v>0</v>
      </c>
      <c r="O1172">
        <v>0</v>
      </c>
      <c r="P1172">
        <v>0</v>
      </c>
      <c r="Q1172">
        <v>773</v>
      </c>
      <c r="R1172">
        <v>0.68</v>
      </c>
      <c r="S1172" t="s">
        <v>27</v>
      </c>
      <c r="T1172" s="1">
        <v>45043</v>
      </c>
      <c r="U1172">
        <v>0</v>
      </c>
    </row>
    <row r="1173" spans="1:21" x14ac:dyDescent="0.25">
      <c r="A1173" t="s">
        <v>1220</v>
      </c>
      <c r="B1173">
        <v>28</v>
      </c>
      <c r="C1173" t="s">
        <v>29</v>
      </c>
      <c r="D1173" t="s">
        <v>41</v>
      </c>
      <c r="E1173" t="s">
        <v>23</v>
      </c>
      <c r="F1173" t="s">
        <v>52</v>
      </c>
      <c r="G1173">
        <v>8051.51</v>
      </c>
      <c r="H1173">
        <v>2575.0500000000002</v>
      </c>
      <c r="I1173">
        <v>11022.51</v>
      </c>
      <c r="J1173" t="s">
        <v>37</v>
      </c>
      <c r="K1173" t="s">
        <v>38</v>
      </c>
      <c r="L1173">
        <v>0</v>
      </c>
      <c r="M1173">
        <v>0</v>
      </c>
      <c r="N1173">
        <v>0</v>
      </c>
      <c r="O1173">
        <v>0</v>
      </c>
      <c r="P1173">
        <v>0</v>
      </c>
      <c r="Q1173">
        <v>572</v>
      </c>
      <c r="R1173">
        <v>0.11</v>
      </c>
      <c r="S1173" t="s">
        <v>72</v>
      </c>
      <c r="T1173" s="1">
        <v>44430</v>
      </c>
      <c r="U1173">
        <v>0</v>
      </c>
    </row>
    <row r="1174" spans="1:21" x14ac:dyDescent="0.25">
      <c r="A1174" t="s">
        <v>1221</v>
      </c>
      <c r="B1174">
        <v>39</v>
      </c>
      <c r="C1174" t="s">
        <v>21</v>
      </c>
      <c r="D1174" t="s">
        <v>56</v>
      </c>
      <c r="E1174" t="s">
        <v>31</v>
      </c>
      <c r="F1174" t="s">
        <v>24</v>
      </c>
      <c r="G1174">
        <v>500</v>
      </c>
      <c r="H1174">
        <v>384.3</v>
      </c>
      <c r="I1174">
        <v>635.96</v>
      </c>
      <c r="J1174" t="s">
        <v>37</v>
      </c>
      <c r="K1174" t="s">
        <v>38</v>
      </c>
      <c r="L1174">
        <v>0</v>
      </c>
      <c r="M1174">
        <v>0</v>
      </c>
      <c r="N1174">
        <v>0</v>
      </c>
      <c r="O1174">
        <v>0</v>
      </c>
      <c r="P1174">
        <v>0</v>
      </c>
      <c r="Q1174">
        <v>736</v>
      </c>
      <c r="R1174">
        <v>0.11</v>
      </c>
      <c r="S1174" t="s">
        <v>39</v>
      </c>
      <c r="T1174" s="1">
        <v>44609</v>
      </c>
      <c r="U1174">
        <v>0</v>
      </c>
    </row>
    <row r="1175" spans="1:21" x14ac:dyDescent="0.25">
      <c r="A1175" t="s">
        <v>1222</v>
      </c>
      <c r="B1175">
        <v>42</v>
      </c>
      <c r="C1175" t="s">
        <v>21</v>
      </c>
      <c r="D1175" t="s">
        <v>30</v>
      </c>
      <c r="E1175" t="s">
        <v>51</v>
      </c>
      <c r="F1175" t="s">
        <v>36</v>
      </c>
      <c r="G1175">
        <v>1123.5</v>
      </c>
      <c r="H1175">
        <v>560.54</v>
      </c>
      <c r="I1175">
        <v>5627.07</v>
      </c>
      <c r="J1175" t="s">
        <v>25</v>
      </c>
      <c r="K1175" t="s">
        <v>54</v>
      </c>
      <c r="L1175">
        <v>57148.45</v>
      </c>
      <c r="M1175">
        <v>300</v>
      </c>
      <c r="N1175">
        <v>457.1</v>
      </c>
      <c r="O1175">
        <v>8.42</v>
      </c>
      <c r="P1175">
        <v>0.41</v>
      </c>
      <c r="Q1175">
        <v>449</v>
      </c>
      <c r="R1175">
        <v>0.42</v>
      </c>
      <c r="S1175" t="s">
        <v>72</v>
      </c>
      <c r="T1175" s="1">
        <v>44633</v>
      </c>
      <c r="U1175">
        <v>1</v>
      </c>
    </row>
    <row r="1176" spans="1:21" x14ac:dyDescent="0.25">
      <c r="A1176" t="s">
        <v>1223</v>
      </c>
      <c r="B1176">
        <v>61</v>
      </c>
      <c r="C1176" t="s">
        <v>21</v>
      </c>
      <c r="D1176" t="s">
        <v>41</v>
      </c>
      <c r="E1176" t="s">
        <v>51</v>
      </c>
      <c r="F1176" t="s">
        <v>32</v>
      </c>
      <c r="G1176">
        <v>1375.77</v>
      </c>
      <c r="H1176">
        <v>1043.42</v>
      </c>
      <c r="I1176">
        <v>1749.4</v>
      </c>
      <c r="J1176" t="s">
        <v>37</v>
      </c>
      <c r="K1176" t="s">
        <v>38</v>
      </c>
      <c r="L1176">
        <v>0</v>
      </c>
      <c r="M1176">
        <v>0</v>
      </c>
      <c r="N1176">
        <v>0</v>
      </c>
      <c r="O1176">
        <v>0</v>
      </c>
      <c r="P1176">
        <v>0</v>
      </c>
      <c r="Q1176">
        <v>362</v>
      </c>
      <c r="R1176">
        <v>0.11</v>
      </c>
      <c r="S1176" t="s">
        <v>39</v>
      </c>
      <c r="T1176" s="1">
        <v>45043</v>
      </c>
      <c r="U1176">
        <v>0</v>
      </c>
    </row>
    <row r="1177" spans="1:21" x14ac:dyDescent="0.25">
      <c r="A1177" t="s">
        <v>1224</v>
      </c>
      <c r="B1177">
        <v>51</v>
      </c>
      <c r="C1177" t="s">
        <v>21</v>
      </c>
      <c r="D1177" t="s">
        <v>35</v>
      </c>
      <c r="E1177" t="s">
        <v>49</v>
      </c>
      <c r="F1177" t="s">
        <v>24</v>
      </c>
      <c r="G1177">
        <v>5456.29</v>
      </c>
      <c r="H1177">
        <v>2537.3000000000002</v>
      </c>
      <c r="I1177">
        <v>22441.03</v>
      </c>
      <c r="J1177" t="s">
        <v>37</v>
      </c>
      <c r="K1177" t="s">
        <v>38</v>
      </c>
      <c r="L1177">
        <v>0</v>
      </c>
      <c r="M1177">
        <v>0</v>
      </c>
      <c r="N1177">
        <v>0</v>
      </c>
      <c r="O1177">
        <v>0</v>
      </c>
      <c r="P1177">
        <v>0</v>
      </c>
      <c r="Q1177">
        <v>342</v>
      </c>
      <c r="R1177">
        <v>0.34</v>
      </c>
      <c r="S1177" t="s">
        <v>47</v>
      </c>
      <c r="T1177" s="1">
        <v>44755</v>
      </c>
      <c r="U1177">
        <v>0</v>
      </c>
    </row>
    <row r="1178" spans="1:21" x14ac:dyDescent="0.25">
      <c r="A1178" t="s">
        <v>1225</v>
      </c>
      <c r="B1178">
        <v>34</v>
      </c>
      <c r="C1178" t="s">
        <v>29</v>
      </c>
      <c r="D1178" t="s">
        <v>41</v>
      </c>
      <c r="E1178" t="s">
        <v>31</v>
      </c>
      <c r="F1178" t="s">
        <v>32</v>
      </c>
      <c r="G1178">
        <v>5973</v>
      </c>
      <c r="H1178">
        <v>1846.98</v>
      </c>
      <c r="I1178">
        <v>15117.8</v>
      </c>
      <c r="J1178" t="s">
        <v>25</v>
      </c>
      <c r="K1178" t="s">
        <v>26</v>
      </c>
      <c r="L1178">
        <v>354289.81</v>
      </c>
      <c r="M1178">
        <v>60</v>
      </c>
      <c r="N1178">
        <v>8339.5300000000007</v>
      </c>
      <c r="O1178">
        <v>14.52</v>
      </c>
      <c r="P1178">
        <v>1.4</v>
      </c>
      <c r="Q1178">
        <v>470</v>
      </c>
      <c r="R1178">
        <v>0.21</v>
      </c>
      <c r="S1178" t="s">
        <v>72</v>
      </c>
      <c r="T1178" s="1">
        <v>44750</v>
      </c>
      <c r="U1178">
        <v>1</v>
      </c>
    </row>
    <row r="1179" spans="1:21" x14ac:dyDescent="0.25">
      <c r="A1179" t="s">
        <v>1226</v>
      </c>
      <c r="B1179">
        <v>34</v>
      </c>
      <c r="C1179" t="s">
        <v>21</v>
      </c>
      <c r="D1179" t="s">
        <v>41</v>
      </c>
      <c r="E1179" t="s">
        <v>31</v>
      </c>
      <c r="F1179" t="s">
        <v>52</v>
      </c>
      <c r="G1179">
        <v>1202.21</v>
      </c>
      <c r="H1179">
        <v>680.99</v>
      </c>
      <c r="I1179">
        <v>10468.040000000001</v>
      </c>
      <c r="J1179" t="s">
        <v>25</v>
      </c>
      <c r="K1179" t="s">
        <v>45</v>
      </c>
      <c r="L1179">
        <v>26715.61</v>
      </c>
      <c r="M1179">
        <v>24</v>
      </c>
      <c r="N1179">
        <v>1264.22</v>
      </c>
      <c r="O1179">
        <v>12.53</v>
      </c>
      <c r="P1179">
        <v>1.05</v>
      </c>
      <c r="Q1179">
        <v>539</v>
      </c>
      <c r="R1179">
        <v>0.73</v>
      </c>
      <c r="S1179" t="s">
        <v>47</v>
      </c>
      <c r="T1179" s="1">
        <v>44623</v>
      </c>
      <c r="U1179">
        <v>1</v>
      </c>
    </row>
    <row r="1180" spans="1:21" x14ac:dyDescent="0.25">
      <c r="A1180" t="s">
        <v>1227</v>
      </c>
      <c r="B1180">
        <v>20</v>
      </c>
      <c r="C1180" t="s">
        <v>29</v>
      </c>
      <c r="D1180" t="s">
        <v>41</v>
      </c>
      <c r="E1180" t="s">
        <v>31</v>
      </c>
      <c r="F1180" t="s">
        <v>42</v>
      </c>
      <c r="G1180">
        <v>5251.18</v>
      </c>
      <c r="H1180">
        <v>1758.92</v>
      </c>
      <c r="I1180">
        <v>33684.559999999998</v>
      </c>
      <c r="J1180" t="s">
        <v>37</v>
      </c>
      <c r="K1180" t="s">
        <v>38</v>
      </c>
      <c r="L1180">
        <v>0</v>
      </c>
      <c r="M1180">
        <v>0</v>
      </c>
      <c r="N1180">
        <v>0</v>
      </c>
      <c r="O1180">
        <v>0</v>
      </c>
      <c r="P1180">
        <v>0</v>
      </c>
      <c r="Q1180">
        <v>734</v>
      </c>
      <c r="R1180">
        <v>0.53</v>
      </c>
      <c r="S1180" t="s">
        <v>30</v>
      </c>
      <c r="T1180" s="1">
        <v>44978</v>
      </c>
      <c r="U1180">
        <v>0</v>
      </c>
    </row>
    <row r="1181" spans="1:21" x14ac:dyDescent="0.25">
      <c r="A1181" t="s">
        <v>1228</v>
      </c>
      <c r="B1181">
        <v>43</v>
      </c>
      <c r="C1181" t="s">
        <v>29</v>
      </c>
      <c r="D1181" t="s">
        <v>41</v>
      </c>
      <c r="E1181" t="s">
        <v>51</v>
      </c>
      <c r="F1181" t="s">
        <v>32</v>
      </c>
      <c r="G1181">
        <v>6387.53</v>
      </c>
      <c r="H1181">
        <v>2051.83</v>
      </c>
      <c r="I1181">
        <v>45893.71</v>
      </c>
      <c r="J1181" t="s">
        <v>37</v>
      </c>
      <c r="K1181" t="s">
        <v>38</v>
      </c>
      <c r="L1181">
        <v>0</v>
      </c>
      <c r="M1181">
        <v>0</v>
      </c>
      <c r="N1181">
        <v>0</v>
      </c>
      <c r="O1181">
        <v>0</v>
      </c>
      <c r="P1181">
        <v>0</v>
      </c>
      <c r="Q1181">
        <v>532</v>
      </c>
      <c r="R1181">
        <v>0.6</v>
      </c>
      <c r="S1181" t="s">
        <v>72</v>
      </c>
      <c r="T1181" s="1">
        <v>44792</v>
      </c>
      <c r="U1181">
        <v>0</v>
      </c>
    </row>
    <row r="1182" spans="1:21" x14ac:dyDescent="0.25">
      <c r="A1182" t="s">
        <v>1229</v>
      </c>
      <c r="B1182">
        <v>56</v>
      </c>
      <c r="C1182" t="s">
        <v>21</v>
      </c>
      <c r="D1182" t="s">
        <v>41</v>
      </c>
      <c r="E1182" t="s">
        <v>31</v>
      </c>
      <c r="F1182" t="s">
        <v>36</v>
      </c>
      <c r="G1182">
        <v>4250.5</v>
      </c>
      <c r="H1182">
        <v>1701.21</v>
      </c>
      <c r="I1182">
        <v>11919.6</v>
      </c>
      <c r="J1182" t="s">
        <v>37</v>
      </c>
      <c r="K1182" t="s">
        <v>38</v>
      </c>
      <c r="L1182">
        <v>0</v>
      </c>
      <c r="M1182">
        <v>0</v>
      </c>
      <c r="N1182">
        <v>0</v>
      </c>
      <c r="O1182">
        <v>0</v>
      </c>
      <c r="P1182">
        <v>0</v>
      </c>
      <c r="Q1182">
        <v>548</v>
      </c>
      <c r="R1182">
        <v>0.23</v>
      </c>
      <c r="S1182" t="s">
        <v>72</v>
      </c>
      <c r="T1182" s="1">
        <v>44985</v>
      </c>
      <c r="U1182">
        <v>0</v>
      </c>
    </row>
    <row r="1183" spans="1:21" x14ac:dyDescent="0.25">
      <c r="A1183" t="s">
        <v>1230</v>
      </c>
      <c r="B1183">
        <v>44</v>
      </c>
      <c r="C1183" t="s">
        <v>21</v>
      </c>
      <c r="D1183" t="s">
        <v>35</v>
      </c>
      <c r="E1183" t="s">
        <v>49</v>
      </c>
      <c r="F1183" t="s">
        <v>24</v>
      </c>
      <c r="G1183">
        <v>1043.3599999999999</v>
      </c>
      <c r="H1183">
        <v>800</v>
      </c>
      <c r="I1183">
        <v>9738.01</v>
      </c>
      <c r="J1183" t="s">
        <v>37</v>
      </c>
      <c r="K1183" t="s">
        <v>38</v>
      </c>
      <c r="L1183">
        <v>0</v>
      </c>
      <c r="M1183">
        <v>0</v>
      </c>
      <c r="N1183">
        <v>0</v>
      </c>
      <c r="O1183">
        <v>0</v>
      </c>
      <c r="P1183">
        <v>0</v>
      </c>
      <c r="Q1183">
        <v>614</v>
      </c>
      <c r="R1183">
        <v>0.78</v>
      </c>
      <c r="S1183" t="s">
        <v>30</v>
      </c>
      <c r="T1183" s="1">
        <v>44616</v>
      </c>
      <c r="U1183">
        <v>0</v>
      </c>
    </row>
    <row r="1184" spans="1:21" x14ac:dyDescent="0.25">
      <c r="A1184" t="s">
        <v>1231</v>
      </c>
      <c r="B1184">
        <v>22</v>
      </c>
      <c r="C1184" t="s">
        <v>21</v>
      </c>
      <c r="D1184" t="s">
        <v>30</v>
      </c>
      <c r="E1184" t="s">
        <v>31</v>
      </c>
      <c r="F1184" t="s">
        <v>42</v>
      </c>
      <c r="G1184">
        <v>3841.7</v>
      </c>
      <c r="H1184">
        <v>2072.77</v>
      </c>
      <c r="I1184">
        <v>5684.12</v>
      </c>
      <c r="J1184" t="s">
        <v>37</v>
      </c>
      <c r="K1184" t="s">
        <v>38</v>
      </c>
      <c r="L1184">
        <v>0</v>
      </c>
      <c r="M1184">
        <v>0</v>
      </c>
      <c r="N1184">
        <v>0</v>
      </c>
      <c r="O1184">
        <v>0</v>
      </c>
      <c r="P1184">
        <v>0</v>
      </c>
      <c r="Q1184">
        <v>310</v>
      </c>
      <c r="R1184">
        <v>0.12</v>
      </c>
      <c r="S1184" t="s">
        <v>47</v>
      </c>
      <c r="T1184" s="1">
        <v>44875</v>
      </c>
      <c r="U1184">
        <v>0</v>
      </c>
    </row>
    <row r="1185" spans="1:21" x14ac:dyDescent="0.25">
      <c r="A1185" t="s">
        <v>1232</v>
      </c>
      <c r="B1185">
        <v>39</v>
      </c>
      <c r="C1185" t="s">
        <v>21</v>
      </c>
      <c r="D1185" t="s">
        <v>41</v>
      </c>
      <c r="E1185" t="s">
        <v>49</v>
      </c>
      <c r="F1185" t="s">
        <v>52</v>
      </c>
      <c r="G1185">
        <v>3563.61</v>
      </c>
      <c r="H1185">
        <v>1712.3</v>
      </c>
      <c r="I1185">
        <v>33801.72</v>
      </c>
      <c r="J1185" t="s">
        <v>37</v>
      </c>
      <c r="K1185" t="s">
        <v>38</v>
      </c>
      <c r="L1185">
        <v>0</v>
      </c>
      <c r="M1185">
        <v>0</v>
      </c>
      <c r="N1185">
        <v>0</v>
      </c>
      <c r="O1185">
        <v>0</v>
      </c>
      <c r="P1185">
        <v>0</v>
      </c>
      <c r="Q1185">
        <v>592</v>
      </c>
      <c r="R1185">
        <v>0.79</v>
      </c>
      <c r="S1185" t="s">
        <v>39</v>
      </c>
      <c r="T1185" s="1">
        <v>45202</v>
      </c>
      <c r="U1185">
        <v>0</v>
      </c>
    </row>
    <row r="1186" spans="1:21" x14ac:dyDescent="0.25">
      <c r="A1186" t="s">
        <v>1233</v>
      </c>
      <c r="B1186">
        <v>25</v>
      </c>
      <c r="C1186" t="s">
        <v>21</v>
      </c>
      <c r="D1186" t="s">
        <v>35</v>
      </c>
      <c r="E1186" t="s">
        <v>51</v>
      </c>
      <c r="F1186" t="s">
        <v>52</v>
      </c>
      <c r="G1186">
        <v>7473.7</v>
      </c>
      <c r="H1186">
        <v>4888.95</v>
      </c>
      <c r="I1186">
        <v>27057.11</v>
      </c>
      <c r="J1186" t="s">
        <v>25</v>
      </c>
      <c r="K1186" t="s">
        <v>54</v>
      </c>
      <c r="L1186">
        <v>109129.04</v>
      </c>
      <c r="M1186">
        <v>240</v>
      </c>
      <c r="N1186">
        <v>871.81</v>
      </c>
      <c r="O1186">
        <v>7.39</v>
      </c>
      <c r="P1186">
        <v>0.12</v>
      </c>
      <c r="Q1186">
        <v>488</v>
      </c>
      <c r="R1186">
        <v>0.3</v>
      </c>
      <c r="S1186" t="s">
        <v>30</v>
      </c>
      <c r="T1186" s="1">
        <v>44827</v>
      </c>
      <c r="U1186">
        <v>0</v>
      </c>
    </row>
    <row r="1187" spans="1:21" x14ac:dyDescent="0.25">
      <c r="A1187" t="s">
        <v>1234</v>
      </c>
      <c r="B1187">
        <v>48</v>
      </c>
      <c r="C1187" t="s">
        <v>29</v>
      </c>
      <c r="D1187" t="s">
        <v>22</v>
      </c>
      <c r="E1187" t="s">
        <v>23</v>
      </c>
      <c r="F1187" t="s">
        <v>42</v>
      </c>
      <c r="G1187">
        <v>8182.43</v>
      </c>
      <c r="H1187">
        <v>4543.58</v>
      </c>
      <c r="I1187">
        <v>10331.450000000001</v>
      </c>
      <c r="J1187" t="s">
        <v>25</v>
      </c>
      <c r="K1187" t="s">
        <v>45</v>
      </c>
      <c r="L1187">
        <v>172886.43</v>
      </c>
      <c r="M1187">
        <v>36</v>
      </c>
      <c r="N1187">
        <v>7075.76</v>
      </c>
      <c r="O1187">
        <v>27.19</v>
      </c>
      <c r="P1187">
        <v>0.86</v>
      </c>
      <c r="Q1187">
        <v>401</v>
      </c>
      <c r="R1187">
        <v>0.11</v>
      </c>
      <c r="S1187" t="s">
        <v>47</v>
      </c>
      <c r="T1187" s="1">
        <v>44465</v>
      </c>
      <c r="U1187">
        <v>1</v>
      </c>
    </row>
    <row r="1188" spans="1:21" x14ac:dyDescent="0.25">
      <c r="A1188" t="s">
        <v>1235</v>
      </c>
      <c r="B1188">
        <v>38</v>
      </c>
      <c r="C1188" t="s">
        <v>29</v>
      </c>
      <c r="D1188" t="s">
        <v>35</v>
      </c>
      <c r="E1188" t="s">
        <v>51</v>
      </c>
      <c r="F1188" t="s">
        <v>63</v>
      </c>
      <c r="G1188">
        <v>3928.2</v>
      </c>
      <c r="H1188">
        <v>3196.74</v>
      </c>
      <c r="I1188">
        <v>34308.5</v>
      </c>
      <c r="J1188" t="s">
        <v>37</v>
      </c>
      <c r="K1188" t="s">
        <v>38</v>
      </c>
      <c r="L1188">
        <v>0</v>
      </c>
      <c r="M1188">
        <v>0</v>
      </c>
      <c r="N1188">
        <v>0</v>
      </c>
      <c r="O1188">
        <v>0</v>
      </c>
      <c r="P1188">
        <v>0</v>
      </c>
      <c r="Q1188">
        <v>769</v>
      </c>
      <c r="R1188">
        <v>0.73</v>
      </c>
      <c r="S1188" t="s">
        <v>72</v>
      </c>
      <c r="T1188" s="1">
        <v>45236</v>
      </c>
      <c r="U1188">
        <v>0</v>
      </c>
    </row>
    <row r="1189" spans="1:21" x14ac:dyDescent="0.25">
      <c r="A1189" t="s">
        <v>1236</v>
      </c>
      <c r="B1189">
        <v>46</v>
      </c>
      <c r="C1189" t="s">
        <v>29</v>
      </c>
      <c r="D1189" t="s">
        <v>56</v>
      </c>
      <c r="E1189" t="s">
        <v>31</v>
      </c>
      <c r="F1189" t="s">
        <v>24</v>
      </c>
      <c r="G1189">
        <v>6792.38</v>
      </c>
      <c r="H1189">
        <v>5886.29</v>
      </c>
      <c r="I1189">
        <v>35598.29</v>
      </c>
      <c r="J1189" t="s">
        <v>37</v>
      </c>
      <c r="K1189" t="s">
        <v>38</v>
      </c>
      <c r="L1189">
        <v>0</v>
      </c>
      <c r="M1189">
        <v>0</v>
      </c>
      <c r="N1189">
        <v>0</v>
      </c>
      <c r="O1189">
        <v>0</v>
      </c>
      <c r="P1189">
        <v>0</v>
      </c>
      <c r="Q1189">
        <v>657</v>
      </c>
      <c r="R1189">
        <v>0.44</v>
      </c>
      <c r="S1189" t="s">
        <v>47</v>
      </c>
      <c r="T1189" s="1">
        <v>44521</v>
      </c>
      <c r="U1189">
        <v>0</v>
      </c>
    </row>
    <row r="1190" spans="1:21" x14ac:dyDescent="0.25">
      <c r="A1190" t="s">
        <v>1237</v>
      </c>
      <c r="B1190">
        <v>67</v>
      </c>
      <c r="C1190" t="s">
        <v>21</v>
      </c>
      <c r="D1190" t="s">
        <v>35</v>
      </c>
      <c r="E1190" t="s">
        <v>31</v>
      </c>
      <c r="F1190" t="s">
        <v>49</v>
      </c>
      <c r="G1190">
        <v>5397.58</v>
      </c>
      <c r="H1190">
        <v>4147.8500000000004</v>
      </c>
      <c r="I1190">
        <v>57393.73</v>
      </c>
      <c r="J1190" t="s">
        <v>25</v>
      </c>
      <c r="K1190" t="s">
        <v>26</v>
      </c>
      <c r="L1190">
        <v>221466.71</v>
      </c>
      <c r="M1190">
        <v>300</v>
      </c>
      <c r="N1190">
        <v>2368.62</v>
      </c>
      <c r="O1190">
        <v>12.22</v>
      </c>
      <c r="P1190">
        <v>0.44</v>
      </c>
      <c r="Q1190">
        <v>545</v>
      </c>
      <c r="R1190">
        <v>0.89</v>
      </c>
      <c r="S1190" t="s">
        <v>30</v>
      </c>
      <c r="T1190" s="1">
        <v>45324</v>
      </c>
      <c r="U1190">
        <v>1</v>
      </c>
    </row>
    <row r="1191" spans="1:21" x14ac:dyDescent="0.25">
      <c r="A1191" t="s">
        <v>1238</v>
      </c>
      <c r="B1191">
        <v>63</v>
      </c>
      <c r="C1191" t="s">
        <v>21</v>
      </c>
      <c r="D1191" t="s">
        <v>41</v>
      </c>
      <c r="E1191" t="s">
        <v>51</v>
      </c>
      <c r="F1191" t="s">
        <v>52</v>
      </c>
      <c r="G1191">
        <v>1962.67</v>
      </c>
      <c r="H1191">
        <v>1369.61</v>
      </c>
      <c r="I1191">
        <v>17040.82</v>
      </c>
      <c r="J1191" t="s">
        <v>37</v>
      </c>
      <c r="K1191" t="s">
        <v>38</v>
      </c>
      <c r="L1191">
        <v>0</v>
      </c>
      <c r="M1191">
        <v>0</v>
      </c>
      <c r="N1191">
        <v>0</v>
      </c>
      <c r="O1191">
        <v>0</v>
      </c>
      <c r="P1191">
        <v>0</v>
      </c>
      <c r="Q1191">
        <v>755</v>
      </c>
      <c r="R1191">
        <v>0.72</v>
      </c>
      <c r="S1191" t="s">
        <v>47</v>
      </c>
      <c r="T1191" s="1">
        <v>45582</v>
      </c>
      <c r="U1191">
        <v>0</v>
      </c>
    </row>
    <row r="1192" spans="1:21" x14ac:dyDescent="0.25">
      <c r="A1192" t="s">
        <v>1239</v>
      </c>
      <c r="B1192">
        <v>33</v>
      </c>
      <c r="C1192" t="s">
        <v>21</v>
      </c>
      <c r="D1192" t="s">
        <v>41</v>
      </c>
      <c r="E1192" t="s">
        <v>49</v>
      </c>
      <c r="F1192" t="s">
        <v>24</v>
      </c>
      <c r="G1192">
        <v>3284.75</v>
      </c>
      <c r="H1192">
        <v>1295.5899999999999</v>
      </c>
      <c r="I1192">
        <v>27480.400000000001</v>
      </c>
      <c r="J1192" t="s">
        <v>37</v>
      </c>
      <c r="K1192" t="s">
        <v>38</v>
      </c>
      <c r="L1192">
        <v>0</v>
      </c>
      <c r="M1192">
        <v>0</v>
      </c>
      <c r="N1192">
        <v>0</v>
      </c>
      <c r="O1192">
        <v>0</v>
      </c>
      <c r="P1192">
        <v>0</v>
      </c>
      <c r="Q1192">
        <v>655</v>
      </c>
      <c r="R1192">
        <v>0.7</v>
      </c>
      <c r="S1192" t="s">
        <v>72</v>
      </c>
      <c r="T1192" s="1">
        <v>44778</v>
      </c>
      <c r="U1192">
        <v>0</v>
      </c>
    </row>
    <row r="1193" spans="1:21" x14ac:dyDescent="0.25">
      <c r="A1193" t="s">
        <v>1240</v>
      </c>
      <c r="B1193">
        <v>27</v>
      </c>
      <c r="C1193" t="s">
        <v>21</v>
      </c>
      <c r="D1193" t="s">
        <v>35</v>
      </c>
      <c r="E1193" t="s">
        <v>51</v>
      </c>
      <c r="F1193" t="s">
        <v>24</v>
      </c>
      <c r="G1193">
        <v>3115.68</v>
      </c>
      <c r="H1193">
        <v>1685.07</v>
      </c>
      <c r="I1193">
        <v>12406.84</v>
      </c>
      <c r="J1193" t="s">
        <v>25</v>
      </c>
      <c r="K1193" t="s">
        <v>45</v>
      </c>
      <c r="L1193">
        <v>224779.39</v>
      </c>
      <c r="M1193">
        <v>300</v>
      </c>
      <c r="N1193">
        <v>5341.32</v>
      </c>
      <c r="O1193">
        <v>28.49</v>
      </c>
      <c r="P1193">
        <v>1.71</v>
      </c>
      <c r="Q1193">
        <v>659</v>
      </c>
      <c r="R1193">
        <v>0.33</v>
      </c>
      <c r="S1193" t="s">
        <v>27</v>
      </c>
      <c r="T1193" s="1">
        <v>44818</v>
      </c>
      <c r="U1193">
        <v>1</v>
      </c>
    </row>
    <row r="1194" spans="1:21" x14ac:dyDescent="0.25">
      <c r="A1194" t="s">
        <v>1241</v>
      </c>
      <c r="B1194">
        <v>20</v>
      </c>
      <c r="C1194" t="s">
        <v>21</v>
      </c>
      <c r="D1194" t="s">
        <v>41</v>
      </c>
      <c r="E1194" t="s">
        <v>31</v>
      </c>
      <c r="F1194" t="s">
        <v>52</v>
      </c>
      <c r="G1194">
        <v>2690.04</v>
      </c>
      <c r="H1194">
        <v>2211.2600000000002</v>
      </c>
      <c r="I1194">
        <v>6601.42</v>
      </c>
      <c r="J1194" t="s">
        <v>37</v>
      </c>
      <c r="K1194" t="s">
        <v>38</v>
      </c>
      <c r="L1194">
        <v>0</v>
      </c>
      <c r="M1194">
        <v>0</v>
      </c>
      <c r="N1194">
        <v>0</v>
      </c>
      <c r="O1194">
        <v>0</v>
      </c>
      <c r="P1194">
        <v>0</v>
      </c>
      <c r="Q1194">
        <v>653</v>
      </c>
      <c r="R1194">
        <v>0.2</v>
      </c>
      <c r="S1194" t="s">
        <v>47</v>
      </c>
      <c r="T1194" s="1">
        <v>44787</v>
      </c>
      <c r="U1194">
        <v>0</v>
      </c>
    </row>
    <row r="1195" spans="1:21" x14ac:dyDescent="0.25">
      <c r="A1195" t="s">
        <v>1242</v>
      </c>
      <c r="B1195">
        <v>23</v>
      </c>
      <c r="C1195" t="s">
        <v>29</v>
      </c>
      <c r="D1195" t="s">
        <v>41</v>
      </c>
      <c r="E1195" t="s">
        <v>23</v>
      </c>
      <c r="F1195" t="s">
        <v>24</v>
      </c>
      <c r="G1195">
        <v>5158.93</v>
      </c>
      <c r="H1195">
        <v>4309.13</v>
      </c>
      <c r="I1195">
        <v>60076.99</v>
      </c>
      <c r="J1195" t="s">
        <v>25</v>
      </c>
      <c r="K1195" t="s">
        <v>45</v>
      </c>
      <c r="L1195">
        <v>123436.79</v>
      </c>
      <c r="M1195">
        <v>360</v>
      </c>
      <c r="N1195">
        <v>2123.63</v>
      </c>
      <c r="O1195">
        <v>20.6</v>
      </c>
      <c r="P1195">
        <v>0.41</v>
      </c>
      <c r="Q1195">
        <v>696</v>
      </c>
      <c r="R1195">
        <v>0.97</v>
      </c>
      <c r="S1195" t="s">
        <v>72</v>
      </c>
      <c r="T1195" s="1">
        <v>44945</v>
      </c>
      <c r="U1195">
        <v>1</v>
      </c>
    </row>
    <row r="1196" spans="1:21" x14ac:dyDescent="0.25">
      <c r="A1196" t="s">
        <v>1243</v>
      </c>
      <c r="B1196">
        <v>37</v>
      </c>
      <c r="C1196" t="s">
        <v>30</v>
      </c>
      <c r="D1196" t="s">
        <v>41</v>
      </c>
      <c r="E1196" t="s">
        <v>31</v>
      </c>
      <c r="F1196" t="s">
        <v>49</v>
      </c>
      <c r="G1196">
        <v>3320.6</v>
      </c>
      <c r="H1196">
        <v>1486.23</v>
      </c>
      <c r="I1196">
        <v>23479.41</v>
      </c>
      <c r="J1196" t="s">
        <v>37</v>
      </c>
      <c r="K1196" t="s">
        <v>38</v>
      </c>
      <c r="L1196">
        <v>0</v>
      </c>
      <c r="M1196">
        <v>0</v>
      </c>
      <c r="N1196">
        <v>0</v>
      </c>
      <c r="O1196">
        <v>0</v>
      </c>
      <c r="P1196">
        <v>0</v>
      </c>
      <c r="Q1196">
        <v>457</v>
      </c>
      <c r="R1196">
        <v>0.59</v>
      </c>
      <c r="S1196" t="s">
        <v>72</v>
      </c>
      <c r="T1196" s="1">
        <v>45622</v>
      </c>
      <c r="U1196">
        <v>0</v>
      </c>
    </row>
    <row r="1197" spans="1:21" x14ac:dyDescent="0.25">
      <c r="A1197" t="s">
        <v>1244</v>
      </c>
      <c r="B1197">
        <v>67</v>
      </c>
      <c r="C1197" t="s">
        <v>21</v>
      </c>
      <c r="D1197" t="s">
        <v>41</v>
      </c>
      <c r="E1197" t="s">
        <v>31</v>
      </c>
      <c r="F1197" t="s">
        <v>36</v>
      </c>
      <c r="G1197">
        <v>3299.39</v>
      </c>
      <c r="H1197">
        <v>2803.55</v>
      </c>
      <c r="I1197">
        <v>25153.24</v>
      </c>
      <c r="J1197" t="s">
        <v>37</v>
      </c>
      <c r="K1197" t="s">
        <v>38</v>
      </c>
      <c r="L1197">
        <v>0</v>
      </c>
      <c r="M1197">
        <v>0</v>
      </c>
      <c r="N1197">
        <v>0</v>
      </c>
      <c r="O1197">
        <v>0</v>
      </c>
      <c r="P1197">
        <v>0</v>
      </c>
      <c r="Q1197">
        <v>508</v>
      </c>
      <c r="R1197">
        <v>0.64</v>
      </c>
      <c r="S1197" t="s">
        <v>30</v>
      </c>
      <c r="T1197" s="1">
        <v>44499</v>
      </c>
      <c r="U1197">
        <v>0</v>
      </c>
    </row>
    <row r="1198" spans="1:21" x14ac:dyDescent="0.25">
      <c r="A1198" t="s">
        <v>1245</v>
      </c>
      <c r="B1198">
        <v>29</v>
      </c>
      <c r="C1198" t="s">
        <v>29</v>
      </c>
      <c r="D1198" t="s">
        <v>41</v>
      </c>
      <c r="E1198" t="s">
        <v>31</v>
      </c>
      <c r="F1198" t="s">
        <v>44</v>
      </c>
      <c r="G1198">
        <v>2894.6</v>
      </c>
      <c r="H1198">
        <v>1513.69</v>
      </c>
      <c r="I1198">
        <v>24520.9</v>
      </c>
      <c r="J1198" t="s">
        <v>37</v>
      </c>
      <c r="K1198" t="s">
        <v>38</v>
      </c>
      <c r="L1198">
        <v>0</v>
      </c>
      <c r="M1198">
        <v>0</v>
      </c>
      <c r="N1198">
        <v>0</v>
      </c>
      <c r="O1198">
        <v>0</v>
      </c>
      <c r="P1198">
        <v>0</v>
      </c>
      <c r="Q1198">
        <v>300</v>
      </c>
      <c r="R1198">
        <v>0.71</v>
      </c>
      <c r="S1198" t="s">
        <v>39</v>
      </c>
      <c r="T1198" s="1">
        <v>45517</v>
      </c>
      <c r="U1198">
        <v>0</v>
      </c>
    </row>
    <row r="1199" spans="1:21" x14ac:dyDescent="0.25">
      <c r="A1199" t="s">
        <v>1246</v>
      </c>
      <c r="B1199">
        <v>37</v>
      </c>
      <c r="C1199" t="s">
        <v>21</v>
      </c>
      <c r="D1199" t="s">
        <v>41</v>
      </c>
      <c r="E1199" t="s">
        <v>31</v>
      </c>
      <c r="F1199" t="s">
        <v>42</v>
      </c>
      <c r="G1199">
        <v>3266.33</v>
      </c>
      <c r="H1199">
        <v>999.97</v>
      </c>
      <c r="I1199">
        <v>14245.67</v>
      </c>
      <c r="J1199" t="s">
        <v>37</v>
      </c>
      <c r="K1199" t="s">
        <v>38</v>
      </c>
      <c r="L1199">
        <v>0</v>
      </c>
      <c r="M1199">
        <v>0</v>
      </c>
      <c r="N1199">
        <v>0</v>
      </c>
      <c r="O1199">
        <v>0</v>
      </c>
      <c r="P1199">
        <v>0</v>
      </c>
      <c r="Q1199">
        <v>451</v>
      </c>
      <c r="R1199">
        <v>0.36</v>
      </c>
      <c r="S1199" t="s">
        <v>47</v>
      </c>
      <c r="T1199" s="1">
        <v>45405</v>
      </c>
      <c r="U1199">
        <v>0</v>
      </c>
    </row>
    <row r="1200" spans="1:21" x14ac:dyDescent="0.25">
      <c r="A1200" t="s">
        <v>1247</v>
      </c>
      <c r="B1200">
        <v>46</v>
      </c>
      <c r="C1200" t="s">
        <v>29</v>
      </c>
      <c r="D1200" t="s">
        <v>35</v>
      </c>
      <c r="E1200" t="s">
        <v>31</v>
      </c>
      <c r="F1200" t="s">
        <v>49</v>
      </c>
      <c r="G1200">
        <v>3776.22</v>
      </c>
      <c r="H1200">
        <v>1229.49</v>
      </c>
      <c r="I1200">
        <v>17294.71</v>
      </c>
      <c r="J1200" t="s">
        <v>37</v>
      </c>
      <c r="K1200" t="s">
        <v>38</v>
      </c>
      <c r="L1200">
        <v>0</v>
      </c>
      <c r="M1200">
        <v>0</v>
      </c>
      <c r="N1200">
        <v>0</v>
      </c>
      <c r="O1200">
        <v>0</v>
      </c>
      <c r="P1200">
        <v>0</v>
      </c>
      <c r="Q1200">
        <v>466</v>
      </c>
      <c r="R1200">
        <v>0.38</v>
      </c>
      <c r="S1200" t="s">
        <v>30</v>
      </c>
      <c r="T1200" s="1">
        <v>45777</v>
      </c>
      <c r="U1200">
        <v>0</v>
      </c>
    </row>
    <row r="1201" spans="1:21" x14ac:dyDescent="0.25">
      <c r="A1201" t="s">
        <v>1248</v>
      </c>
      <c r="B1201">
        <v>58</v>
      </c>
      <c r="C1201" t="s">
        <v>21</v>
      </c>
      <c r="D1201" t="s">
        <v>41</v>
      </c>
      <c r="E1201" t="s">
        <v>31</v>
      </c>
      <c r="F1201" t="s">
        <v>24</v>
      </c>
      <c r="G1201">
        <v>5431.62</v>
      </c>
      <c r="H1201">
        <v>1698.08</v>
      </c>
      <c r="I1201">
        <v>44902.97</v>
      </c>
      <c r="J1201" t="s">
        <v>37</v>
      </c>
      <c r="K1201" t="s">
        <v>38</v>
      </c>
      <c r="L1201">
        <v>0</v>
      </c>
      <c r="M1201">
        <v>0</v>
      </c>
      <c r="N1201">
        <v>0</v>
      </c>
      <c r="O1201">
        <v>0</v>
      </c>
      <c r="P1201">
        <v>0</v>
      </c>
      <c r="Q1201">
        <v>475</v>
      </c>
      <c r="R1201">
        <v>0.69</v>
      </c>
      <c r="S1201" t="s">
        <v>30</v>
      </c>
      <c r="T1201" s="1">
        <v>45742</v>
      </c>
      <c r="U1201">
        <v>0</v>
      </c>
    </row>
    <row r="1202" spans="1:21" x14ac:dyDescent="0.25">
      <c r="A1202" t="s">
        <v>1249</v>
      </c>
      <c r="B1202">
        <v>31</v>
      </c>
      <c r="C1202" t="s">
        <v>21</v>
      </c>
      <c r="D1202" t="s">
        <v>22</v>
      </c>
      <c r="E1202" t="s">
        <v>23</v>
      </c>
      <c r="F1202" t="s">
        <v>63</v>
      </c>
      <c r="G1202">
        <v>3452.08</v>
      </c>
      <c r="H1202">
        <v>2602.8200000000002</v>
      </c>
      <c r="I1202">
        <v>12189.97</v>
      </c>
      <c r="J1202" t="s">
        <v>37</v>
      </c>
      <c r="K1202" t="s">
        <v>38</v>
      </c>
      <c r="L1202">
        <v>0</v>
      </c>
      <c r="M1202">
        <v>0</v>
      </c>
      <c r="N1202">
        <v>0</v>
      </c>
      <c r="O1202">
        <v>0</v>
      </c>
      <c r="P1202">
        <v>0</v>
      </c>
      <c r="Q1202">
        <v>493</v>
      </c>
      <c r="R1202">
        <v>0.28999999999999998</v>
      </c>
      <c r="S1202" t="s">
        <v>27</v>
      </c>
      <c r="T1202" s="1">
        <v>45698</v>
      </c>
      <c r="U1202">
        <v>0</v>
      </c>
    </row>
    <row r="1203" spans="1:21" x14ac:dyDescent="0.25">
      <c r="A1203" t="s">
        <v>1250</v>
      </c>
      <c r="B1203">
        <v>46</v>
      </c>
      <c r="C1203" t="s">
        <v>21</v>
      </c>
      <c r="D1203" t="s">
        <v>22</v>
      </c>
      <c r="E1203" t="s">
        <v>31</v>
      </c>
      <c r="F1203" t="s">
        <v>23</v>
      </c>
      <c r="G1203">
        <v>4996.29</v>
      </c>
      <c r="H1203">
        <v>1827.56</v>
      </c>
      <c r="I1203">
        <v>47599.49</v>
      </c>
      <c r="J1203" t="s">
        <v>25</v>
      </c>
      <c r="K1203" t="s">
        <v>26</v>
      </c>
      <c r="L1203">
        <v>264937.48</v>
      </c>
      <c r="M1203">
        <v>120</v>
      </c>
      <c r="N1203">
        <v>4272.75</v>
      </c>
      <c r="O1203">
        <v>14.99</v>
      </c>
      <c r="P1203">
        <v>0.86</v>
      </c>
      <c r="Q1203">
        <v>733</v>
      </c>
      <c r="R1203">
        <v>0.79</v>
      </c>
      <c r="S1203" t="s">
        <v>39</v>
      </c>
      <c r="T1203" s="1">
        <v>44869</v>
      </c>
      <c r="U1203">
        <v>1</v>
      </c>
    </row>
    <row r="1204" spans="1:21" x14ac:dyDescent="0.25">
      <c r="A1204" t="s">
        <v>1251</v>
      </c>
      <c r="B1204">
        <v>27</v>
      </c>
      <c r="C1204" t="s">
        <v>21</v>
      </c>
      <c r="D1204" t="s">
        <v>41</v>
      </c>
      <c r="E1204" t="s">
        <v>31</v>
      </c>
      <c r="F1204" t="s">
        <v>49</v>
      </c>
      <c r="G1204">
        <v>3571.42</v>
      </c>
      <c r="H1204">
        <v>2979.84</v>
      </c>
      <c r="I1204">
        <v>36063.599999999999</v>
      </c>
      <c r="J1204" t="s">
        <v>37</v>
      </c>
      <c r="K1204" t="s">
        <v>38</v>
      </c>
      <c r="L1204">
        <v>0</v>
      </c>
      <c r="M1204">
        <v>0</v>
      </c>
      <c r="N1204">
        <v>0</v>
      </c>
      <c r="O1204">
        <v>0</v>
      </c>
      <c r="P1204">
        <v>0</v>
      </c>
      <c r="Q1204">
        <v>409</v>
      </c>
      <c r="R1204">
        <v>0.84</v>
      </c>
      <c r="S1204" t="s">
        <v>27</v>
      </c>
      <c r="T1204" s="1">
        <v>45235</v>
      </c>
      <c r="U1204">
        <v>0</v>
      </c>
    </row>
    <row r="1205" spans="1:21" x14ac:dyDescent="0.25">
      <c r="A1205" t="s">
        <v>1252</v>
      </c>
      <c r="B1205">
        <v>18</v>
      </c>
      <c r="C1205" t="s">
        <v>29</v>
      </c>
      <c r="D1205" t="s">
        <v>41</v>
      </c>
      <c r="E1205" t="s">
        <v>51</v>
      </c>
      <c r="F1205" t="s">
        <v>24</v>
      </c>
      <c r="G1205">
        <v>2324.21</v>
      </c>
      <c r="H1205">
        <v>1081.74</v>
      </c>
      <c r="I1205">
        <v>26870.87</v>
      </c>
      <c r="J1205" t="s">
        <v>37</v>
      </c>
      <c r="K1205" t="s">
        <v>38</v>
      </c>
      <c r="L1205">
        <v>0</v>
      </c>
      <c r="M1205">
        <v>0</v>
      </c>
      <c r="N1205">
        <v>0</v>
      </c>
      <c r="O1205">
        <v>0</v>
      </c>
      <c r="P1205">
        <v>0</v>
      </c>
      <c r="Q1205">
        <v>581</v>
      </c>
      <c r="R1205">
        <v>0.96</v>
      </c>
      <c r="S1205" t="s">
        <v>30</v>
      </c>
      <c r="T1205" s="1">
        <v>44974</v>
      </c>
      <c r="U1205">
        <v>0</v>
      </c>
    </row>
    <row r="1206" spans="1:21" x14ac:dyDescent="0.25">
      <c r="A1206" t="s">
        <v>1253</v>
      </c>
      <c r="B1206">
        <v>67</v>
      </c>
      <c r="C1206" t="s">
        <v>21</v>
      </c>
      <c r="D1206" t="s">
        <v>30</v>
      </c>
      <c r="E1206" t="s">
        <v>51</v>
      </c>
      <c r="F1206" t="s">
        <v>42</v>
      </c>
      <c r="G1206">
        <v>3740.44</v>
      </c>
      <c r="H1206">
        <v>2947.06</v>
      </c>
      <c r="I1206">
        <v>5440.78</v>
      </c>
      <c r="J1206" t="s">
        <v>37</v>
      </c>
      <c r="K1206" t="s">
        <v>38</v>
      </c>
      <c r="L1206">
        <v>0</v>
      </c>
      <c r="M1206">
        <v>0</v>
      </c>
      <c r="N1206">
        <v>0</v>
      </c>
      <c r="O1206">
        <v>0</v>
      </c>
      <c r="P1206">
        <v>0</v>
      </c>
      <c r="Q1206">
        <v>847</v>
      </c>
      <c r="R1206">
        <v>0.12</v>
      </c>
      <c r="S1206" t="s">
        <v>39</v>
      </c>
      <c r="T1206" s="1">
        <v>44588</v>
      </c>
      <c r="U1206">
        <v>0</v>
      </c>
    </row>
    <row r="1207" spans="1:21" x14ac:dyDescent="0.25">
      <c r="A1207" t="s">
        <v>1254</v>
      </c>
      <c r="B1207">
        <v>66</v>
      </c>
      <c r="C1207" t="s">
        <v>21</v>
      </c>
      <c r="D1207" t="s">
        <v>35</v>
      </c>
      <c r="E1207" t="s">
        <v>31</v>
      </c>
      <c r="F1207" t="s">
        <v>49</v>
      </c>
      <c r="G1207">
        <v>1247.69</v>
      </c>
      <c r="H1207">
        <v>485.88</v>
      </c>
      <c r="I1207">
        <v>14518.44</v>
      </c>
      <c r="J1207" t="s">
        <v>37</v>
      </c>
      <c r="K1207" t="s">
        <v>38</v>
      </c>
      <c r="L1207">
        <v>0</v>
      </c>
      <c r="M1207">
        <v>0</v>
      </c>
      <c r="N1207">
        <v>0</v>
      </c>
      <c r="O1207">
        <v>0</v>
      </c>
      <c r="P1207">
        <v>0</v>
      </c>
      <c r="Q1207">
        <v>363</v>
      </c>
      <c r="R1207">
        <v>0.97</v>
      </c>
      <c r="S1207" t="s">
        <v>39</v>
      </c>
      <c r="T1207" s="1">
        <v>45417</v>
      </c>
      <c r="U1207">
        <v>0</v>
      </c>
    </row>
    <row r="1208" spans="1:21" x14ac:dyDescent="0.25">
      <c r="A1208" t="s">
        <v>1255</v>
      </c>
      <c r="B1208">
        <v>27</v>
      </c>
      <c r="C1208" t="s">
        <v>21</v>
      </c>
      <c r="D1208" t="s">
        <v>35</v>
      </c>
      <c r="E1208" t="s">
        <v>51</v>
      </c>
      <c r="F1208" t="s">
        <v>32</v>
      </c>
      <c r="G1208">
        <v>2615.4</v>
      </c>
      <c r="H1208">
        <v>1339.19</v>
      </c>
      <c r="I1208">
        <v>20193.099999999999</v>
      </c>
      <c r="J1208" t="s">
        <v>37</v>
      </c>
      <c r="K1208" t="s">
        <v>38</v>
      </c>
      <c r="L1208">
        <v>0</v>
      </c>
      <c r="M1208">
        <v>0</v>
      </c>
      <c r="N1208">
        <v>0</v>
      </c>
      <c r="O1208">
        <v>0</v>
      </c>
      <c r="P1208">
        <v>0</v>
      </c>
      <c r="Q1208">
        <v>317</v>
      </c>
      <c r="R1208">
        <v>0.64</v>
      </c>
      <c r="S1208" t="s">
        <v>27</v>
      </c>
      <c r="T1208" s="1">
        <v>45110</v>
      </c>
      <c r="U1208">
        <v>0</v>
      </c>
    </row>
    <row r="1209" spans="1:21" x14ac:dyDescent="0.25">
      <c r="A1209" t="s">
        <v>1256</v>
      </c>
      <c r="B1209">
        <v>40</v>
      </c>
      <c r="C1209" t="s">
        <v>21</v>
      </c>
      <c r="D1209" t="s">
        <v>35</v>
      </c>
      <c r="E1209" t="s">
        <v>31</v>
      </c>
      <c r="F1209" t="s">
        <v>52</v>
      </c>
      <c r="G1209">
        <v>8076.09</v>
      </c>
      <c r="H1209">
        <v>6976.92</v>
      </c>
      <c r="I1209">
        <v>73519.960000000006</v>
      </c>
      <c r="J1209" t="s">
        <v>37</v>
      </c>
      <c r="K1209" t="s">
        <v>38</v>
      </c>
      <c r="L1209">
        <v>0</v>
      </c>
      <c r="M1209">
        <v>0</v>
      </c>
      <c r="N1209">
        <v>0</v>
      </c>
      <c r="O1209">
        <v>0</v>
      </c>
      <c r="P1209">
        <v>0</v>
      </c>
      <c r="Q1209">
        <v>340</v>
      </c>
      <c r="R1209">
        <v>0.76</v>
      </c>
      <c r="S1209" t="s">
        <v>27</v>
      </c>
      <c r="T1209" s="1">
        <v>44936</v>
      </c>
      <c r="U1209">
        <v>0</v>
      </c>
    </row>
    <row r="1210" spans="1:21" x14ac:dyDescent="0.25">
      <c r="A1210" t="s">
        <v>1257</v>
      </c>
      <c r="B1210">
        <v>50</v>
      </c>
      <c r="C1210" t="s">
        <v>21</v>
      </c>
      <c r="D1210" t="s">
        <v>35</v>
      </c>
      <c r="E1210" t="s">
        <v>49</v>
      </c>
      <c r="F1210" t="s">
        <v>44</v>
      </c>
      <c r="G1210">
        <v>4240.67</v>
      </c>
      <c r="H1210">
        <v>3015.13</v>
      </c>
      <c r="I1210">
        <v>16308.7</v>
      </c>
      <c r="J1210" t="s">
        <v>37</v>
      </c>
      <c r="K1210" t="s">
        <v>38</v>
      </c>
      <c r="L1210">
        <v>0</v>
      </c>
      <c r="M1210">
        <v>0</v>
      </c>
      <c r="N1210">
        <v>0</v>
      </c>
      <c r="O1210">
        <v>0</v>
      </c>
      <c r="P1210">
        <v>0</v>
      </c>
      <c r="Q1210">
        <v>392</v>
      </c>
      <c r="R1210">
        <v>0.32</v>
      </c>
      <c r="S1210" t="s">
        <v>72</v>
      </c>
      <c r="T1210" s="1">
        <v>44873</v>
      </c>
      <c r="U1210">
        <v>0</v>
      </c>
    </row>
    <row r="1211" spans="1:21" x14ac:dyDescent="0.25">
      <c r="A1211" t="s">
        <v>1258</v>
      </c>
      <c r="B1211">
        <v>27</v>
      </c>
      <c r="C1211" t="s">
        <v>29</v>
      </c>
      <c r="D1211" t="s">
        <v>35</v>
      </c>
      <c r="E1211" t="s">
        <v>31</v>
      </c>
      <c r="F1211" t="s">
        <v>63</v>
      </c>
      <c r="G1211">
        <v>6263.6</v>
      </c>
      <c r="H1211">
        <v>4297.1400000000003</v>
      </c>
      <c r="I1211">
        <v>35099.94</v>
      </c>
      <c r="J1211" t="s">
        <v>37</v>
      </c>
      <c r="K1211" t="s">
        <v>38</v>
      </c>
      <c r="L1211">
        <v>0</v>
      </c>
      <c r="M1211">
        <v>0</v>
      </c>
      <c r="N1211">
        <v>0</v>
      </c>
      <c r="O1211">
        <v>0</v>
      </c>
      <c r="P1211">
        <v>0</v>
      </c>
      <c r="Q1211">
        <v>850</v>
      </c>
      <c r="R1211">
        <v>0.47</v>
      </c>
      <c r="S1211" t="s">
        <v>39</v>
      </c>
      <c r="T1211" s="1">
        <v>45047</v>
      </c>
      <c r="U1211">
        <v>0</v>
      </c>
    </row>
    <row r="1212" spans="1:21" x14ac:dyDescent="0.25">
      <c r="A1212" t="s">
        <v>1259</v>
      </c>
      <c r="B1212">
        <v>34</v>
      </c>
      <c r="C1212" t="s">
        <v>21</v>
      </c>
      <c r="D1212" t="s">
        <v>22</v>
      </c>
      <c r="E1212" t="s">
        <v>31</v>
      </c>
      <c r="F1212" t="s">
        <v>42</v>
      </c>
      <c r="G1212">
        <v>8083.54</v>
      </c>
      <c r="H1212">
        <v>5486.36</v>
      </c>
      <c r="I1212">
        <v>10197.25</v>
      </c>
      <c r="J1212" t="s">
        <v>25</v>
      </c>
      <c r="K1212" t="s">
        <v>54</v>
      </c>
      <c r="L1212">
        <v>123196.08</v>
      </c>
      <c r="M1212">
        <v>120</v>
      </c>
      <c r="N1212">
        <v>2488.8000000000002</v>
      </c>
      <c r="O1212">
        <v>21.31</v>
      </c>
      <c r="P1212">
        <v>0.31</v>
      </c>
      <c r="Q1212">
        <v>349</v>
      </c>
      <c r="R1212">
        <v>0.11</v>
      </c>
      <c r="S1212" t="s">
        <v>72</v>
      </c>
      <c r="T1212" s="1">
        <v>44416</v>
      </c>
      <c r="U1212">
        <v>0</v>
      </c>
    </row>
    <row r="1213" spans="1:21" x14ac:dyDescent="0.25">
      <c r="A1213" t="s">
        <v>1260</v>
      </c>
      <c r="B1213">
        <v>40</v>
      </c>
      <c r="C1213" t="s">
        <v>21</v>
      </c>
      <c r="D1213" t="s">
        <v>35</v>
      </c>
      <c r="E1213" t="s">
        <v>31</v>
      </c>
      <c r="F1213" t="s">
        <v>52</v>
      </c>
      <c r="G1213">
        <v>2731.35</v>
      </c>
      <c r="H1213">
        <v>2227.31</v>
      </c>
      <c r="I1213">
        <v>26716.59</v>
      </c>
      <c r="J1213" t="s">
        <v>25</v>
      </c>
      <c r="K1213" t="s">
        <v>26</v>
      </c>
      <c r="L1213">
        <v>50140.05</v>
      </c>
      <c r="M1213">
        <v>180</v>
      </c>
      <c r="N1213">
        <v>1012.77</v>
      </c>
      <c r="O1213">
        <v>23.5</v>
      </c>
      <c r="P1213">
        <v>0.37</v>
      </c>
      <c r="Q1213">
        <v>631</v>
      </c>
      <c r="R1213">
        <v>0.82</v>
      </c>
      <c r="S1213" t="s">
        <v>47</v>
      </c>
      <c r="T1213" s="1">
        <v>44649</v>
      </c>
      <c r="U1213">
        <v>0</v>
      </c>
    </row>
    <row r="1214" spans="1:21" x14ac:dyDescent="0.25">
      <c r="A1214" t="s">
        <v>1261</v>
      </c>
      <c r="B1214">
        <v>43</v>
      </c>
      <c r="C1214" t="s">
        <v>29</v>
      </c>
      <c r="D1214" t="s">
        <v>30</v>
      </c>
      <c r="E1214" t="s">
        <v>49</v>
      </c>
      <c r="F1214" t="s">
        <v>24</v>
      </c>
      <c r="G1214">
        <v>9033.75</v>
      </c>
      <c r="H1214">
        <v>3742.71</v>
      </c>
      <c r="I1214">
        <v>44990.98</v>
      </c>
      <c r="J1214" t="s">
        <v>37</v>
      </c>
      <c r="K1214" t="s">
        <v>38</v>
      </c>
      <c r="L1214">
        <v>0</v>
      </c>
      <c r="M1214">
        <v>0</v>
      </c>
      <c r="N1214">
        <v>0</v>
      </c>
      <c r="O1214">
        <v>0</v>
      </c>
      <c r="P1214">
        <v>0</v>
      </c>
      <c r="Q1214">
        <v>719</v>
      </c>
      <c r="R1214">
        <v>0.42</v>
      </c>
      <c r="S1214" t="s">
        <v>30</v>
      </c>
      <c r="T1214" s="1">
        <v>45415</v>
      </c>
      <c r="U1214">
        <v>0</v>
      </c>
    </row>
    <row r="1215" spans="1:21" x14ac:dyDescent="0.25">
      <c r="A1215" t="s">
        <v>1262</v>
      </c>
      <c r="B1215">
        <v>36</v>
      </c>
      <c r="C1215" t="s">
        <v>29</v>
      </c>
      <c r="D1215" t="s">
        <v>22</v>
      </c>
      <c r="E1215" t="s">
        <v>31</v>
      </c>
      <c r="F1215" t="s">
        <v>63</v>
      </c>
      <c r="G1215">
        <v>5640.95</v>
      </c>
      <c r="H1215">
        <v>2062.27</v>
      </c>
      <c r="I1215">
        <v>23266.07</v>
      </c>
      <c r="J1215" t="s">
        <v>37</v>
      </c>
      <c r="K1215" t="s">
        <v>38</v>
      </c>
      <c r="L1215">
        <v>0</v>
      </c>
      <c r="M1215">
        <v>0</v>
      </c>
      <c r="N1215">
        <v>0</v>
      </c>
      <c r="O1215">
        <v>0</v>
      </c>
      <c r="P1215">
        <v>0</v>
      </c>
      <c r="Q1215">
        <v>780</v>
      </c>
      <c r="R1215">
        <v>0.34</v>
      </c>
      <c r="S1215" t="s">
        <v>39</v>
      </c>
      <c r="T1215" s="1">
        <v>45276</v>
      </c>
      <c r="U1215">
        <v>0</v>
      </c>
    </row>
    <row r="1216" spans="1:21" x14ac:dyDescent="0.25">
      <c r="A1216" t="s">
        <v>1263</v>
      </c>
      <c r="B1216">
        <v>66</v>
      </c>
      <c r="C1216" t="s">
        <v>29</v>
      </c>
      <c r="D1216" t="s">
        <v>41</v>
      </c>
      <c r="E1216" t="s">
        <v>31</v>
      </c>
      <c r="F1216" t="s">
        <v>49</v>
      </c>
      <c r="G1216">
        <v>5733.01</v>
      </c>
      <c r="H1216">
        <v>2207.6</v>
      </c>
      <c r="I1216">
        <v>31467.9</v>
      </c>
      <c r="J1216" t="s">
        <v>37</v>
      </c>
      <c r="K1216" t="s">
        <v>38</v>
      </c>
      <c r="L1216">
        <v>0</v>
      </c>
      <c r="M1216">
        <v>0</v>
      </c>
      <c r="N1216">
        <v>0</v>
      </c>
      <c r="O1216">
        <v>0</v>
      </c>
      <c r="P1216">
        <v>0</v>
      </c>
      <c r="Q1216">
        <v>774</v>
      </c>
      <c r="R1216">
        <v>0.46</v>
      </c>
      <c r="S1216" t="s">
        <v>27</v>
      </c>
      <c r="T1216" s="1">
        <v>45348</v>
      </c>
      <c r="U1216">
        <v>0</v>
      </c>
    </row>
    <row r="1217" spans="1:21" x14ac:dyDescent="0.25">
      <c r="A1217" t="s">
        <v>1264</v>
      </c>
      <c r="B1217">
        <v>61</v>
      </c>
      <c r="C1217" t="s">
        <v>29</v>
      </c>
      <c r="D1217" t="s">
        <v>22</v>
      </c>
      <c r="E1217" t="s">
        <v>49</v>
      </c>
      <c r="F1217" t="s">
        <v>36</v>
      </c>
      <c r="G1217">
        <v>4126.28</v>
      </c>
      <c r="H1217">
        <v>2393.75</v>
      </c>
      <c r="I1217">
        <v>39143.32</v>
      </c>
      <c r="J1217" t="s">
        <v>25</v>
      </c>
      <c r="K1217" t="s">
        <v>26</v>
      </c>
      <c r="L1217">
        <v>116930.64</v>
      </c>
      <c r="M1217">
        <v>360</v>
      </c>
      <c r="N1217">
        <v>1530.08</v>
      </c>
      <c r="O1217">
        <v>15.55</v>
      </c>
      <c r="P1217">
        <v>0.37</v>
      </c>
      <c r="Q1217">
        <v>508</v>
      </c>
      <c r="R1217">
        <v>0.79</v>
      </c>
      <c r="S1217" t="s">
        <v>30</v>
      </c>
      <c r="T1217" s="1">
        <v>45472</v>
      </c>
      <c r="U1217">
        <v>0</v>
      </c>
    </row>
    <row r="1218" spans="1:21" x14ac:dyDescent="0.25">
      <c r="A1218" t="s">
        <v>1265</v>
      </c>
      <c r="B1218">
        <v>34</v>
      </c>
      <c r="C1218" t="s">
        <v>29</v>
      </c>
      <c r="D1218" t="s">
        <v>22</v>
      </c>
      <c r="E1218" t="s">
        <v>51</v>
      </c>
      <c r="F1218" t="s">
        <v>52</v>
      </c>
      <c r="G1218">
        <v>6136.25</v>
      </c>
      <c r="H1218">
        <v>3908.39</v>
      </c>
      <c r="I1218">
        <v>12633.82</v>
      </c>
      <c r="J1218" t="s">
        <v>25</v>
      </c>
      <c r="K1218" t="s">
        <v>33</v>
      </c>
      <c r="L1218">
        <v>102108.93</v>
      </c>
      <c r="M1218">
        <v>120</v>
      </c>
      <c r="N1218">
        <v>1217.3900000000001</v>
      </c>
      <c r="O1218">
        <v>7.6</v>
      </c>
      <c r="P1218">
        <v>0.2</v>
      </c>
      <c r="Q1218">
        <v>799</v>
      </c>
      <c r="R1218">
        <v>0.17</v>
      </c>
      <c r="S1218" t="s">
        <v>47</v>
      </c>
      <c r="T1218" s="1">
        <v>45414</v>
      </c>
      <c r="U1218">
        <v>0</v>
      </c>
    </row>
    <row r="1219" spans="1:21" x14ac:dyDescent="0.25">
      <c r="A1219" t="s">
        <v>1266</v>
      </c>
      <c r="B1219">
        <v>64</v>
      </c>
      <c r="C1219" t="s">
        <v>21</v>
      </c>
      <c r="D1219" t="s">
        <v>22</v>
      </c>
      <c r="E1219" t="s">
        <v>31</v>
      </c>
      <c r="F1219" t="s">
        <v>36</v>
      </c>
      <c r="G1219">
        <v>8901.24</v>
      </c>
      <c r="H1219">
        <v>2727.17</v>
      </c>
      <c r="I1219">
        <v>26900.36</v>
      </c>
      <c r="J1219" t="s">
        <v>37</v>
      </c>
      <c r="K1219" t="s">
        <v>38</v>
      </c>
      <c r="L1219">
        <v>0</v>
      </c>
      <c r="M1219">
        <v>0</v>
      </c>
      <c r="N1219">
        <v>0</v>
      </c>
      <c r="O1219">
        <v>0</v>
      </c>
      <c r="P1219">
        <v>0</v>
      </c>
      <c r="Q1219">
        <v>688</v>
      </c>
      <c r="R1219">
        <v>0.25</v>
      </c>
      <c r="S1219" t="s">
        <v>27</v>
      </c>
      <c r="T1219" s="1">
        <v>45854</v>
      </c>
      <c r="U1219">
        <v>0</v>
      </c>
    </row>
    <row r="1220" spans="1:21" x14ac:dyDescent="0.25">
      <c r="A1220" t="s">
        <v>1267</v>
      </c>
      <c r="B1220">
        <v>57</v>
      </c>
      <c r="C1220" t="s">
        <v>21</v>
      </c>
      <c r="D1220" t="s">
        <v>41</v>
      </c>
      <c r="E1220" t="s">
        <v>31</v>
      </c>
      <c r="F1220" t="s">
        <v>49</v>
      </c>
      <c r="G1220">
        <v>5442.5</v>
      </c>
      <c r="H1220">
        <v>2895.67</v>
      </c>
      <c r="I1220">
        <v>33838.199999999997</v>
      </c>
      <c r="J1220" t="s">
        <v>25</v>
      </c>
      <c r="K1220" t="s">
        <v>33</v>
      </c>
      <c r="L1220">
        <v>337115.41</v>
      </c>
      <c r="M1220">
        <v>120</v>
      </c>
      <c r="N1220">
        <v>8122.76</v>
      </c>
      <c r="O1220">
        <v>26.89</v>
      </c>
      <c r="P1220">
        <v>1.49</v>
      </c>
      <c r="Q1220">
        <v>827</v>
      </c>
      <c r="R1220">
        <v>0.52</v>
      </c>
      <c r="S1220" t="s">
        <v>27</v>
      </c>
      <c r="T1220" s="1">
        <v>45571</v>
      </c>
      <c r="U1220">
        <v>1</v>
      </c>
    </row>
    <row r="1221" spans="1:21" x14ac:dyDescent="0.25">
      <c r="A1221" t="s">
        <v>1268</v>
      </c>
      <c r="B1221">
        <v>29</v>
      </c>
      <c r="C1221" t="s">
        <v>29</v>
      </c>
      <c r="D1221" t="s">
        <v>30</v>
      </c>
      <c r="E1221" t="s">
        <v>49</v>
      </c>
      <c r="F1221" t="s">
        <v>24</v>
      </c>
      <c r="G1221">
        <v>500</v>
      </c>
      <c r="H1221">
        <v>263.47000000000003</v>
      </c>
      <c r="I1221">
        <v>4589.71</v>
      </c>
      <c r="J1221" t="s">
        <v>37</v>
      </c>
      <c r="K1221" t="s">
        <v>38</v>
      </c>
      <c r="L1221">
        <v>0</v>
      </c>
      <c r="M1221">
        <v>0</v>
      </c>
      <c r="N1221">
        <v>0</v>
      </c>
      <c r="O1221">
        <v>0</v>
      </c>
      <c r="P1221">
        <v>0</v>
      </c>
      <c r="Q1221">
        <v>434</v>
      </c>
      <c r="R1221">
        <v>0.76</v>
      </c>
      <c r="S1221" t="s">
        <v>30</v>
      </c>
      <c r="T1221" s="1">
        <v>45515</v>
      </c>
      <c r="U1221">
        <v>0</v>
      </c>
    </row>
    <row r="1222" spans="1:21" x14ac:dyDescent="0.25">
      <c r="A1222" t="s">
        <v>1269</v>
      </c>
      <c r="B1222">
        <v>60</v>
      </c>
      <c r="C1222" t="s">
        <v>21</v>
      </c>
      <c r="D1222" t="s">
        <v>22</v>
      </c>
      <c r="E1222" t="s">
        <v>31</v>
      </c>
      <c r="F1222" t="s">
        <v>44</v>
      </c>
      <c r="G1222">
        <v>4597.9399999999996</v>
      </c>
      <c r="H1222">
        <v>1525.77</v>
      </c>
      <c r="I1222">
        <v>28743.66</v>
      </c>
      <c r="J1222" t="s">
        <v>37</v>
      </c>
      <c r="K1222" t="s">
        <v>38</v>
      </c>
      <c r="L1222">
        <v>0</v>
      </c>
      <c r="M1222">
        <v>0</v>
      </c>
      <c r="N1222">
        <v>0</v>
      </c>
      <c r="O1222">
        <v>0</v>
      </c>
      <c r="P1222">
        <v>0</v>
      </c>
      <c r="Q1222">
        <v>714</v>
      </c>
      <c r="R1222">
        <v>0.52</v>
      </c>
      <c r="S1222" t="s">
        <v>27</v>
      </c>
      <c r="T1222" s="1">
        <v>45153</v>
      </c>
      <c r="U1222">
        <v>0</v>
      </c>
    </row>
    <row r="1223" spans="1:21" x14ac:dyDescent="0.25">
      <c r="A1223" t="s">
        <v>1270</v>
      </c>
      <c r="B1223">
        <v>34</v>
      </c>
      <c r="C1223" t="s">
        <v>29</v>
      </c>
      <c r="D1223" t="s">
        <v>35</v>
      </c>
      <c r="E1223" t="s">
        <v>31</v>
      </c>
      <c r="F1223" t="s">
        <v>49</v>
      </c>
      <c r="G1223">
        <v>3570.9</v>
      </c>
      <c r="H1223">
        <v>2023.62</v>
      </c>
      <c r="I1223">
        <v>12103.9</v>
      </c>
      <c r="J1223" t="s">
        <v>37</v>
      </c>
      <c r="K1223" t="s">
        <v>38</v>
      </c>
      <c r="L1223">
        <v>0</v>
      </c>
      <c r="M1223">
        <v>0</v>
      </c>
      <c r="N1223">
        <v>0</v>
      </c>
      <c r="O1223">
        <v>0</v>
      </c>
      <c r="P1223">
        <v>0</v>
      </c>
      <c r="Q1223">
        <v>458</v>
      </c>
      <c r="R1223">
        <v>0.28000000000000003</v>
      </c>
      <c r="S1223" t="s">
        <v>47</v>
      </c>
      <c r="T1223" s="1">
        <v>45479</v>
      </c>
      <c r="U1223">
        <v>0</v>
      </c>
    </row>
    <row r="1224" spans="1:21" x14ac:dyDescent="0.25">
      <c r="A1224" t="s">
        <v>1271</v>
      </c>
      <c r="B1224">
        <v>51</v>
      </c>
      <c r="C1224" t="s">
        <v>29</v>
      </c>
      <c r="D1224" t="s">
        <v>41</v>
      </c>
      <c r="E1224" t="s">
        <v>31</v>
      </c>
      <c r="F1224" t="s">
        <v>49</v>
      </c>
      <c r="G1224">
        <v>6066.73</v>
      </c>
      <c r="H1224">
        <v>5383.12</v>
      </c>
      <c r="I1224">
        <v>28056.560000000001</v>
      </c>
      <c r="J1224" t="s">
        <v>37</v>
      </c>
      <c r="K1224" t="s">
        <v>38</v>
      </c>
      <c r="L1224">
        <v>0</v>
      </c>
      <c r="M1224">
        <v>0</v>
      </c>
      <c r="N1224">
        <v>0</v>
      </c>
      <c r="O1224">
        <v>0</v>
      </c>
      <c r="P1224">
        <v>0</v>
      </c>
      <c r="Q1224">
        <v>542</v>
      </c>
      <c r="R1224">
        <v>0.39</v>
      </c>
      <c r="S1224" t="s">
        <v>30</v>
      </c>
      <c r="T1224" s="1">
        <v>45229</v>
      </c>
      <c r="U1224">
        <v>0</v>
      </c>
    </row>
    <row r="1225" spans="1:21" x14ac:dyDescent="0.25">
      <c r="A1225" t="s">
        <v>1272</v>
      </c>
      <c r="B1225">
        <v>25</v>
      </c>
      <c r="C1225" t="s">
        <v>21</v>
      </c>
      <c r="D1225" t="s">
        <v>41</v>
      </c>
      <c r="E1225" t="s">
        <v>23</v>
      </c>
      <c r="F1225" t="s">
        <v>23</v>
      </c>
      <c r="G1225">
        <v>6111.24</v>
      </c>
      <c r="H1225">
        <v>2448.9699999999998</v>
      </c>
      <c r="I1225">
        <v>55657.47</v>
      </c>
      <c r="J1225" t="s">
        <v>37</v>
      </c>
      <c r="K1225" t="s">
        <v>38</v>
      </c>
      <c r="L1225">
        <v>0</v>
      </c>
      <c r="M1225">
        <v>0</v>
      </c>
      <c r="N1225">
        <v>0</v>
      </c>
      <c r="O1225">
        <v>0</v>
      </c>
      <c r="P1225">
        <v>0</v>
      </c>
      <c r="Q1225">
        <v>430</v>
      </c>
      <c r="R1225">
        <v>0.76</v>
      </c>
      <c r="S1225" t="s">
        <v>30</v>
      </c>
      <c r="T1225" s="1">
        <v>45013</v>
      </c>
      <c r="U1225">
        <v>0</v>
      </c>
    </row>
    <row r="1226" spans="1:21" x14ac:dyDescent="0.25">
      <c r="A1226" t="s">
        <v>1273</v>
      </c>
      <c r="B1226">
        <v>64</v>
      </c>
      <c r="C1226" t="s">
        <v>21</v>
      </c>
      <c r="D1226" t="s">
        <v>41</v>
      </c>
      <c r="E1226" t="s">
        <v>51</v>
      </c>
      <c r="F1226" t="s">
        <v>49</v>
      </c>
      <c r="G1226">
        <v>8218.43</v>
      </c>
      <c r="H1226">
        <v>2476.1999999999998</v>
      </c>
      <c r="I1226">
        <v>40452.78</v>
      </c>
      <c r="J1226" t="s">
        <v>37</v>
      </c>
      <c r="K1226" t="s">
        <v>38</v>
      </c>
      <c r="L1226">
        <v>0</v>
      </c>
      <c r="M1226">
        <v>0</v>
      </c>
      <c r="N1226">
        <v>0</v>
      </c>
      <c r="O1226">
        <v>0</v>
      </c>
      <c r="P1226">
        <v>0</v>
      </c>
      <c r="Q1226">
        <v>752</v>
      </c>
      <c r="R1226">
        <v>0.41</v>
      </c>
      <c r="S1226" t="s">
        <v>72</v>
      </c>
      <c r="T1226" s="1">
        <v>45796</v>
      </c>
      <c r="U1226">
        <v>0</v>
      </c>
    </row>
    <row r="1227" spans="1:21" x14ac:dyDescent="0.25">
      <c r="A1227" t="s">
        <v>1274</v>
      </c>
      <c r="B1227">
        <v>20</v>
      </c>
      <c r="C1227" t="s">
        <v>21</v>
      </c>
      <c r="D1227" t="s">
        <v>22</v>
      </c>
      <c r="E1227" t="s">
        <v>31</v>
      </c>
      <c r="F1227" t="s">
        <v>36</v>
      </c>
      <c r="G1227">
        <v>3360.68</v>
      </c>
      <c r="H1227">
        <v>2923.02</v>
      </c>
      <c r="I1227">
        <v>9938.51</v>
      </c>
      <c r="J1227" t="s">
        <v>37</v>
      </c>
      <c r="K1227" t="s">
        <v>38</v>
      </c>
      <c r="L1227">
        <v>0</v>
      </c>
      <c r="M1227">
        <v>0</v>
      </c>
      <c r="N1227">
        <v>0</v>
      </c>
      <c r="O1227">
        <v>0</v>
      </c>
      <c r="P1227">
        <v>0</v>
      </c>
      <c r="Q1227">
        <v>717</v>
      </c>
      <c r="R1227">
        <v>0.25</v>
      </c>
      <c r="S1227" t="s">
        <v>27</v>
      </c>
      <c r="T1227" s="1">
        <v>45508</v>
      </c>
      <c r="U1227">
        <v>0</v>
      </c>
    </row>
    <row r="1228" spans="1:21" x14ac:dyDescent="0.25">
      <c r="A1228" t="s">
        <v>1275</v>
      </c>
      <c r="B1228">
        <v>57</v>
      </c>
      <c r="C1228" t="s">
        <v>29</v>
      </c>
      <c r="D1228" t="s">
        <v>41</v>
      </c>
      <c r="E1228" t="s">
        <v>31</v>
      </c>
      <c r="F1228" t="s">
        <v>24</v>
      </c>
      <c r="G1228">
        <v>4342.16</v>
      </c>
      <c r="H1228">
        <v>2634.52</v>
      </c>
      <c r="I1228">
        <v>15302.74</v>
      </c>
      <c r="J1228" t="s">
        <v>37</v>
      </c>
      <c r="K1228" t="s">
        <v>38</v>
      </c>
      <c r="L1228">
        <v>0</v>
      </c>
      <c r="M1228">
        <v>0</v>
      </c>
      <c r="N1228">
        <v>0</v>
      </c>
      <c r="O1228">
        <v>0</v>
      </c>
      <c r="P1228">
        <v>0</v>
      </c>
      <c r="Q1228">
        <v>843</v>
      </c>
      <c r="R1228">
        <v>0.28999999999999998</v>
      </c>
      <c r="S1228" t="s">
        <v>30</v>
      </c>
      <c r="T1228" s="1">
        <v>44944</v>
      </c>
      <c r="U1228">
        <v>0</v>
      </c>
    </row>
    <row r="1229" spans="1:21" x14ac:dyDescent="0.25">
      <c r="A1229" t="s">
        <v>1276</v>
      </c>
      <c r="B1229">
        <v>40</v>
      </c>
      <c r="C1229" t="s">
        <v>21</v>
      </c>
      <c r="D1229" t="s">
        <v>35</v>
      </c>
      <c r="E1229" t="s">
        <v>23</v>
      </c>
      <c r="F1229" t="s">
        <v>63</v>
      </c>
      <c r="G1229">
        <v>3341.81</v>
      </c>
      <c r="H1229">
        <v>1698.39</v>
      </c>
      <c r="I1229">
        <v>16774.11</v>
      </c>
      <c r="J1229" t="s">
        <v>25</v>
      </c>
      <c r="K1229" t="s">
        <v>45</v>
      </c>
      <c r="L1229">
        <v>38408.31</v>
      </c>
      <c r="M1229">
        <v>36</v>
      </c>
      <c r="N1229">
        <v>1461.87</v>
      </c>
      <c r="O1229">
        <v>21.75</v>
      </c>
      <c r="P1229">
        <v>0.44</v>
      </c>
      <c r="Q1229">
        <v>455</v>
      </c>
      <c r="R1229">
        <v>0.42</v>
      </c>
      <c r="S1229" t="s">
        <v>39</v>
      </c>
      <c r="T1229" s="1">
        <v>44437</v>
      </c>
      <c r="U1229">
        <v>1</v>
      </c>
    </row>
    <row r="1230" spans="1:21" x14ac:dyDescent="0.25">
      <c r="A1230" t="s">
        <v>1277</v>
      </c>
      <c r="B1230">
        <v>64</v>
      </c>
      <c r="C1230" t="s">
        <v>29</v>
      </c>
      <c r="D1230" t="s">
        <v>35</v>
      </c>
      <c r="E1230" t="s">
        <v>51</v>
      </c>
      <c r="F1230" t="s">
        <v>24</v>
      </c>
      <c r="G1230">
        <v>3536.73</v>
      </c>
      <c r="H1230">
        <v>2384.81</v>
      </c>
      <c r="I1230">
        <v>9045.25</v>
      </c>
      <c r="J1230" t="s">
        <v>37</v>
      </c>
      <c r="K1230" t="s">
        <v>38</v>
      </c>
      <c r="L1230">
        <v>0</v>
      </c>
      <c r="M1230">
        <v>0</v>
      </c>
      <c r="N1230">
        <v>0</v>
      </c>
      <c r="O1230">
        <v>0</v>
      </c>
      <c r="P1230">
        <v>0</v>
      </c>
      <c r="Q1230">
        <v>629</v>
      </c>
      <c r="R1230">
        <v>0.21</v>
      </c>
      <c r="S1230" t="s">
        <v>72</v>
      </c>
      <c r="T1230" s="1">
        <v>45116</v>
      </c>
      <c r="U1230">
        <v>0</v>
      </c>
    </row>
    <row r="1231" spans="1:21" x14ac:dyDescent="0.25">
      <c r="A1231" t="s">
        <v>1278</v>
      </c>
      <c r="B1231">
        <v>37</v>
      </c>
      <c r="C1231" t="s">
        <v>29</v>
      </c>
      <c r="D1231" t="s">
        <v>56</v>
      </c>
      <c r="E1231" t="s">
        <v>31</v>
      </c>
      <c r="F1231" t="s">
        <v>42</v>
      </c>
      <c r="G1231">
        <v>3823.55</v>
      </c>
      <c r="H1231">
        <v>2070.2800000000002</v>
      </c>
      <c r="I1231">
        <v>29322.11</v>
      </c>
      <c r="J1231" t="s">
        <v>25</v>
      </c>
      <c r="K1231" t="s">
        <v>45</v>
      </c>
      <c r="L1231">
        <v>26625.8</v>
      </c>
      <c r="M1231">
        <v>300</v>
      </c>
      <c r="N1231">
        <v>294.10000000000002</v>
      </c>
      <c r="O1231">
        <v>12.69</v>
      </c>
      <c r="P1231">
        <v>0.08</v>
      </c>
      <c r="Q1231">
        <v>518</v>
      </c>
      <c r="R1231">
        <v>0.64</v>
      </c>
      <c r="S1231" t="s">
        <v>47</v>
      </c>
      <c r="T1231" s="1">
        <v>44707</v>
      </c>
      <c r="U1231">
        <v>0</v>
      </c>
    </row>
    <row r="1232" spans="1:21" x14ac:dyDescent="0.25">
      <c r="A1232" t="s">
        <v>1279</v>
      </c>
      <c r="B1232">
        <v>41</v>
      </c>
      <c r="C1232" t="s">
        <v>21</v>
      </c>
      <c r="D1232" t="s">
        <v>41</v>
      </c>
      <c r="E1232" t="s">
        <v>51</v>
      </c>
      <c r="F1232" t="s">
        <v>23</v>
      </c>
      <c r="G1232">
        <v>1769.92</v>
      </c>
      <c r="H1232">
        <v>1528.74</v>
      </c>
      <c r="I1232">
        <v>5636.13</v>
      </c>
      <c r="J1232" t="s">
        <v>37</v>
      </c>
      <c r="K1232" t="s">
        <v>38</v>
      </c>
      <c r="L1232">
        <v>0</v>
      </c>
      <c r="M1232">
        <v>0</v>
      </c>
      <c r="N1232">
        <v>0</v>
      </c>
      <c r="O1232">
        <v>0</v>
      </c>
      <c r="P1232">
        <v>0</v>
      </c>
      <c r="Q1232">
        <v>513</v>
      </c>
      <c r="R1232">
        <v>0.27</v>
      </c>
      <c r="S1232" t="s">
        <v>27</v>
      </c>
      <c r="T1232" s="1">
        <v>44671</v>
      </c>
      <c r="U1232">
        <v>0</v>
      </c>
    </row>
    <row r="1233" spans="1:21" x14ac:dyDescent="0.25">
      <c r="A1233" t="s">
        <v>1280</v>
      </c>
      <c r="B1233">
        <v>33</v>
      </c>
      <c r="C1233" t="s">
        <v>29</v>
      </c>
      <c r="D1233" t="s">
        <v>56</v>
      </c>
      <c r="E1233" t="s">
        <v>31</v>
      </c>
      <c r="F1233" t="s">
        <v>49</v>
      </c>
      <c r="G1233">
        <v>6672.14</v>
      </c>
      <c r="H1233">
        <v>2022.32</v>
      </c>
      <c r="I1233">
        <v>63541.75</v>
      </c>
      <c r="J1233" t="s">
        <v>25</v>
      </c>
      <c r="K1233" t="s">
        <v>54</v>
      </c>
      <c r="L1233">
        <v>370903.09</v>
      </c>
      <c r="M1233">
        <v>180</v>
      </c>
      <c r="N1233">
        <v>7020.92</v>
      </c>
      <c r="O1233">
        <v>21.83</v>
      </c>
      <c r="P1233">
        <v>1.05</v>
      </c>
      <c r="Q1233">
        <v>754</v>
      </c>
      <c r="R1233">
        <v>0.79</v>
      </c>
      <c r="S1233" t="s">
        <v>39</v>
      </c>
      <c r="T1233" s="1">
        <v>44613</v>
      </c>
      <c r="U1233">
        <v>1</v>
      </c>
    </row>
    <row r="1234" spans="1:21" x14ac:dyDescent="0.25">
      <c r="A1234" t="s">
        <v>1281</v>
      </c>
      <c r="B1234">
        <v>69</v>
      </c>
      <c r="C1234" t="s">
        <v>29</v>
      </c>
      <c r="D1234" t="s">
        <v>41</v>
      </c>
      <c r="E1234" t="s">
        <v>31</v>
      </c>
      <c r="F1234" t="s">
        <v>42</v>
      </c>
      <c r="G1234">
        <v>2566.9499999999998</v>
      </c>
      <c r="H1234">
        <v>1990.9</v>
      </c>
      <c r="I1234">
        <v>4359.78</v>
      </c>
      <c r="J1234" t="s">
        <v>37</v>
      </c>
      <c r="K1234" t="s">
        <v>38</v>
      </c>
      <c r="L1234">
        <v>0</v>
      </c>
      <c r="M1234">
        <v>0</v>
      </c>
      <c r="N1234">
        <v>0</v>
      </c>
      <c r="O1234">
        <v>0</v>
      </c>
      <c r="P1234">
        <v>0</v>
      </c>
      <c r="Q1234">
        <v>691</v>
      </c>
      <c r="R1234">
        <v>0.14000000000000001</v>
      </c>
      <c r="S1234" t="s">
        <v>39</v>
      </c>
      <c r="T1234" s="1">
        <v>45126</v>
      </c>
      <c r="U1234">
        <v>0</v>
      </c>
    </row>
    <row r="1235" spans="1:21" x14ac:dyDescent="0.25">
      <c r="A1235" t="s">
        <v>1282</v>
      </c>
      <c r="B1235">
        <v>32</v>
      </c>
      <c r="C1235" t="s">
        <v>29</v>
      </c>
      <c r="D1235" t="s">
        <v>22</v>
      </c>
      <c r="E1235" t="s">
        <v>51</v>
      </c>
      <c r="F1235" t="s">
        <v>49</v>
      </c>
      <c r="G1235">
        <v>2718.95</v>
      </c>
      <c r="H1235">
        <v>1225.96</v>
      </c>
      <c r="I1235">
        <v>3540.71</v>
      </c>
      <c r="J1235" t="s">
        <v>37</v>
      </c>
      <c r="K1235" t="s">
        <v>38</v>
      </c>
      <c r="L1235">
        <v>0</v>
      </c>
      <c r="M1235">
        <v>0</v>
      </c>
      <c r="N1235">
        <v>0</v>
      </c>
      <c r="O1235">
        <v>0</v>
      </c>
      <c r="P1235">
        <v>0</v>
      </c>
      <c r="Q1235">
        <v>569</v>
      </c>
      <c r="R1235">
        <v>0.11</v>
      </c>
      <c r="S1235" t="s">
        <v>47</v>
      </c>
      <c r="T1235" s="1">
        <v>44554</v>
      </c>
      <c r="U1235">
        <v>0</v>
      </c>
    </row>
    <row r="1236" spans="1:21" x14ac:dyDescent="0.25">
      <c r="A1236" t="s">
        <v>1283</v>
      </c>
      <c r="B1236">
        <v>18</v>
      </c>
      <c r="C1236" t="s">
        <v>29</v>
      </c>
      <c r="D1236" t="s">
        <v>41</v>
      </c>
      <c r="E1236" t="s">
        <v>31</v>
      </c>
      <c r="F1236" t="s">
        <v>24</v>
      </c>
      <c r="G1236">
        <v>4681.8100000000004</v>
      </c>
      <c r="H1236">
        <v>3162.98</v>
      </c>
      <c r="I1236">
        <v>11790.73</v>
      </c>
      <c r="J1236" t="s">
        <v>37</v>
      </c>
      <c r="K1236" t="s">
        <v>38</v>
      </c>
      <c r="L1236">
        <v>0</v>
      </c>
      <c r="M1236">
        <v>0</v>
      </c>
      <c r="N1236">
        <v>0</v>
      </c>
      <c r="O1236">
        <v>0</v>
      </c>
      <c r="P1236">
        <v>0</v>
      </c>
      <c r="Q1236">
        <v>377</v>
      </c>
      <c r="R1236">
        <v>0.21</v>
      </c>
      <c r="S1236" t="s">
        <v>72</v>
      </c>
      <c r="T1236" s="1">
        <v>45454</v>
      </c>
      <c r="U1236">
        <v>0</v>
      </c>
    </row>
    <row r="1237" spans="1:21" x14ac:dyDescent="0.25">
      <c r="A1237" t="s">
        <v>1284</v>
      </c>
      <c r="B1237">
        <v>51</v>
      </c>
      <c r="C1237" t="s">
        <v>21</v>
      </c>
      <c r="D1237" t="s">
        <v>41</v>
      </c>
      <c r="E1237" t="s">
        <v>23</v>
      </c>
      <c r="F1237" t="s">
        <v>36</v>
      </c>
      <c r="G1237">
        <v>2964.54</v>
      </c>
      <c r="H1237">
        <v>1231.31</v>
      </c>
      <c r="I1237">
        <v>28240.25</v>
      </c>
      <c r="J1237" t="s">
        <v>37</v>
      </c>
      <c r="K1237" t="s">
        <v>38</v>
      </c>
      <c r="L1237">
        <v>0</v>
      </c>
      <c r="M1237">
        <v>0</v>
      </c>
      <c r="N1237">
        <v>0</v>
      </c>
      <c r="O1237">
        <v>0</v>
      </c>
      <c r="P1237">
        <v>0</v>
      </c>
      <c r="Q1237">
        <v>558</v>
      </c>
      <c r="R1237">
        <v>0.79</v>
      </c>
      <c r="S1237" t="s">
        <v>72</v>
      </c>
      <c r="T1237" s="1">
        <v>44426</v>
      </c>
      <c r="U1237">
        <v>0</v>
      </c>
    </row>
    <row r="1238" spans="1:21" x14ac:dyDescent="0.25">
      <c r="A1238" t="s">
        <v>1285</v>
      </c>
      <c r="B1238">
        <v>20</v>
      </c>
      <c r="C1238" t="s">
        <v>21</v>
      </c>
      <c r="D1238" t="s">
        <v>35</v>
      </c>
      <c r="E1238" t="s">
        <v>49</v>
      </c>
      <c r="F1238" t="s">
        <v>42</v>
      </c>
      <c r="G1238">
        <v>4471.8999999999996</v>
      </c>
      <c r="H1238">
        <v>2895.75</v>
      </c>
      <c r="I1238">
        <v>26930.77</v>
      </c>
      <c r="J1238" t="s">
        <v>37</v>
      </c>
      <c r="K1238" t="s">
        <v>38</v>
      </c>
      <c r="L1238">
        <v>0</v>
      </c>
      <c r="M1238">
        <v>0</v>
      </c>
      <c r="N1238">
        <v>0</v>
      </c>
      <c r="O1238">
        <v>0</v>
      </c>
      <c r="P1238">
        <v>0</v>
      </c>
      <c r="Q1238">
        <v>476</v>
      </c>
      <c r="R1238">
        <v>0.5</v>
      </c>
      <c r="S1238" t="s">
        <v>30</v>
      </c>
      <c r="T1238" s="1">
        <v>45450</v>
      </c>
      <c r="U1238">
        <v>0</v>
      </c>
    </row>
    <row r="1239" spans="1:21" x14ac:dyDescent="0.25">
      <c r="A1239" t="s">
        <v>1286</v>
      </c>
      <c r="B1239">
        <v>34</v>
      </c>
      <c r="C1239" t="s">
        <v>29</v>
      </c>
      <c r="D1239" t="s">
        <v>41</v>
      </c>
      <c r="E1239" t="s">
        <v>49</v>
      </c>
      <c r="F1239" t="s">
        <v>42</v>
      </c>
      <c r="G1239">
        <v>6005.46</v>
      </c>
      <c r="H1239">
        <v>5286.81</v>
      </c>
      <c r="I1239">
        <v>27273.919999999998</v>
      </c>
      <c r="J1239" t="s">
        <v>37</v>
      </c>
      <c r="K1239" t="s">
        <v>38</v>
      </c>
      <c r="L1239">
        <v>0</v>
      </c>
      <c r="M1239">
        <v>0</v>
      </c>
      <c r="N1239">
        <v>0</v>
      </c>
      <c r="O1239">
        <v>0</v>
      </c>
      <c r="P1239">
        <v>0</v>
      </c>
      <c r="Q1239">
        <v>741</v>
      </c>
      <c r="R1239">
        <v>0.38</v>
      </c>
      <c r="S1239" t="s">
        <v>27</v>
      </c>
      <c r="T1239" s="1">
        <v>44496</v>
      </c>
      <c r="U1239">
        <v>0</v>
      </c>
    </row>
    <row r="1240" spans="1:21" x14ac:dyDescent="0.25">
      <c r="A1240" t="s">
        <v>1287</v>
      </c>
      <c r="B1240">
        <v>27</v>
      </c>
      <c r="C1240" t="s">
        <v>21</v>
      </c>
      <c r="D1240" t="s">
        <v>35</v>
      </c>
      <c r="E1240" t="s">
        <v>31</v>
      </c>
      <c r="F1240" t="s">
        <v>23</v>
      </c>
      <c r="G1240">
        <v>2845.89</v>
      </c>
      <c r="H1240">
        <v>2534.23</v>
      </c>
      <c r="I1240">
        <v>33244.720000000001</v>
      </c>
      <c r="J1240" t="s">
        <v>25</v>
      </c>
      <c r="K1240" t="s">
        <v>26</v>
      </c>
      <c r="L1240">
        <v>200883.97</v>
      </c>
      <c r="M1240">
        <v>360</v>
      </c>
      <c r="N1240">
        <v>4559.8100000000004</v>
      </c>
      <c r="O1240">
        <v>27.23</v>
      </c>
      <c r="P1240">
        <v>1.6</v>
      </c>
      <c r="Q1240">
        <v>531</v>
      </c>
      <c r="R1240">
        <v>0.97</v>
      </c>
      <c r="S1240" t="s">
        <v>27</v>
      </c>
      <c r="T1240" s="1">
        <v>44832</v>
      </c>
      <c r="U1240">
        <v>1</v>
      </c>
    </row>
    <row r="1241" spans="1:21" x14ac:dyDescent="0.25">
      <c r="A1241" t="s">
        <v>1288</v>
      </c>
      <c r="B1241">
        <v>64</v>
      </c>
      <c r="C1241" t="s">
        <v>21</v>
      </c>
      <c r="D1241" t="s">
        <v>22</v>
      </c>
      <c r="E1241" t="s">
        <v>31</v>
      </c>
      <c r="F1241" t="s">
        <v>52</v>
      </c>
      <c r="G1241">
        <v>3234.22</v>
      </c>
      <c r="H1241">
        <v>2584.86</v>
      </c>
      <c r="I1241">
        <v>15182.82</v>
      </c>
      <c r="J1241" t="s">
        <v>37</v>
      </c>
      <c r="K1241" t="s">
        <v>38</v>
      </c>
      <c r="L1241">
        <v>0</v>
      </c>
      <c r="M1241">
        <v>0</v>
      </c>
      <c r="N1241">
        <v>0</v>
      </c>
      <c r="O1241">
        <v>0</v>
      </c>
      <c r="P1241">
        <v>0</v>
      </c>
      <c r="Q1241">
        <v>352</v>
      </c>
      <c r="R1241">
        <v>0.39</v>
      </c>
      <c r="S1241" t="s">
        <v>47</v>
      </c>
      <c r="T1241" s="1">
        <v>44498</v>
      </c>
      <c r="U1241">
        <v>0</v>
      </c>
    </row>
    <row r="1242" spans="1:21" x14ac:dyDescent="0.25">
      <c r="A1242" t="s">
        <v>1289</v>
      </c>
      <c r="B1242">
        <v>47</v>
      </c>
      <c r="C1242" t="s">
        <v>29</v>
      </c>
      <c r="D1242" t="s">
        <v>35</v>
      </c>
      <c r="E1242" t="s">
        <v>51</v>
      </c>
      <c r="F1242" t="s">
        <v>44</v>
      </c>
      <c r="G1242">
        <v>6392.66</v>
      </c>
      <c r="H1242">
        <v>5214.6899999999996</v>
      </c>
      <c r="I1242">
        <v>51373.48</v>
      </c>
      <c r="J1242" t="s">
        <v>37</v>
      </c>
      <c r="K1242" t="s">
        <v>38</v>
      </c>
      <c r="L1242">
        <v>0</v>
      </c>
      <c r="M1242">
        <v>0</v>
      </c>
      <c r="N1242">
        <v>0</v>
      </c>
      <c r="O1242">
        <v>0</v>
      </c>
      <c r="P1242">
        <v>0</v>
      </c>
      <c r="Q1242">
        <v>562</v>
      </c>
      <c r="R1242">
        <v>0.67</v>
      </c>
      <c r="S1242" t="s">
        <v>39</v>
      </c>
      <c r="T1242" s="1">
        <v>44806</v>
      </c>
      <c r="U1242">
        <v>0</v>
      </c>
    </row>
    <row r="1243" spans="1:21" x14ac:dyDescent="0.25">
      <c r="A1243" t="s">
        <v>1290</v>
      </c>
      <c r="B1243">
        <v>59</v>
      </c>
      <c r="C1243" t="s">
        <v>21</v>
      </c>
      <c r="D1243" t="s">
        <v>41</v>
      </c>
      <c r="E1243" t="s">
        <v>51</v>
      </c>
      <c r="F1243" t="s">
        <v>44</v>
      </c>
      <c r="G1243">
        <v>5364.75</v>
      </c>
      <c r="H1243">
        <v>1842.22</v>
      </c>
      <c r="I1243">
        <v>48281.08</v>
      </c>
      <c r="J1243" t="s">
        <v>37</v>
      </c>
      <c r="K1243" t="s">
        <v>38</v>
      </c>
      <c r="L1243">
        <v>0</v>
      </c>
      <c r="M1243">
        <v>0</v>
      </c>
      <c r="N1243">
        <v>0</v>
      </c>
      <c r="O1243">
        <v>0</v>
      </c>
      <c r="P1243">
        <v>0</v>
      </c>
      <c r="Q1243">
        <v>708</v>
      </c>
      <c r="R1243">
        <v>0.75</v>
      </c>
      <c r="S1243" t="s">
        <v>72</v>
      </c>
      <c r="T1243" s="1">
        <v>44530</v>
      </c>
      <c r="U1243">
        <v>0</v>
      </c>
    </row>
    <row r="1244" spans="1:21" x14ac:dyDescent="0.25">
      <c r="A1244" t="s">
        <v>1291</v>
      </c>
      <c r="B1244">
        <v>53</v>
      </c>
      <c r="C1244" t="s">
        <v>29</v>
      </c>
      <c r="D1244" t="s">
        <v>41</v>
      </c>
      <c r="E1244" t="s">
        <v>31</v>
      </c>
      <c r="F1244" t="s">
        <v>49</v>
      </c>
      <c r="G1244">
        <v>3931.54</v>
      </c>
      <c r="H1244">
        <v>3003.26</v>
      </c>
      <c r="I1244">
        <v>32258.38</v>
      </c>
      <c r="J1244" t="s">
        <v>25</v>
      </c>
      <c r="K1244" t="s">
        <v>45</v>
      </c>
      <c r="L1244">
        <v>173343.31</v>
      </c>
      <c r="M1244">
        <v>180</v>
      </c>
      <c r="N1244">
        <v>3396.79</v>
      </c>
      <c r="O1244">
        <v>22.71</v>
      </c>
      <c r="P1244">
        <v>0.86</v>
      </c>
      <c r="Q1244">
        <v>458</v>
      </c>
      <c r="R1244">
        <v>0.68</v>
      </c>
      <c r="S1244" t="s">
        <v>39</v>
      </c>
      <c r="T1244" s="1">
        <v>45524</v>
      </c>
      <c r="U1244">
        <v>1</v>
      </c>
    </row>
    <row r="1245" spans="1:21" x14ac:dyDescent="0.25">
      <c r="A1245" t="s">
        <v>1292</v>
      </c>
      <c r="B1245">
        <v>22</v>
      </c>
      <c r="C1245" t="s">
        <v>21</v>
      </c>
      <c r="D1245" t="s">
        <v>56</v>
      </c>
      <c r="E1245" t="s">
        <v>51</v>
      </c>
      <c r="F1245" t="s">
        <v>49</v>
      </c>
      <c r="G1245">
        <v>1468.38</v>
      </c>
      <c r="H1245">
        <v>1094.68</v>
      </c>
      <c r="I1245">
        <v>2464.9</v>
      </c>
      <c r="J1245" t="s">
        <v>37</v>
      </c>
      <c r="K1245" t="s">
        <v>38</v>
      </c>
      <c r="L1245">
        <v>0</v>
      </c>
      <c r="M1245">
        <v>0</v>
      </c>
      <c r="N1245">
        <v>0</v>
      </c>
      <c r="O1245">
        <v>0</v>
      </c>
      <c r="P1245">
        <v>0</v>
      </c>
      <c r="Q1245">
        <v>727</v>
      </c>
      <c r="R1245">
        <v>0.14000000000000001</v>
      </c>
      <c r="S1245" t="s">
        <v>72</v>
      </c>
      <c r="T1245" s="1">
        <v>45128</v>
      </c>
      <c r="U1245">
        <v>0</v>
      </c>
    </row>
    <row r="1246" spans="1:21" x14ac:dyDescent="0.25">
      <c r="A1246" t="s">
        <v>1293</v>
      </c>
      <c r="B1246">
        <v>68</v>
      </c>
      <c r="C1246" t="s">
        <v>29</v>
      </c>
      <c r="D1246" t="s">
        <v>41</v>
      </c>
      <c r="E1246" t="s">
        <v>31</v>
      </c>
      <c r="F1246" t="s">
        <v>36</v>
      </c>
      <c r="G1246">
        <v>4506.32</v>
      </c>
      <c r="H1246">
        <v>2334.34</v>
      </c>
      <c r="I1246">
        <v>46068.09</v>
      </c>
      <c r="J1246" t="s">
        <v>37</v>
      </c>
      <c r="K1246" t="s">
        <v>38</v>
      </c>
      <c r="L1246">
        <v>0</v>
      </c>
      <c r="M1246">
        <v>0</v>
      </c>
      <c r="N1246">
        <v>0</v>
      </c>
      <c r="O1246">
        <v>0</v>
      </c>
      <c r="P1246">
        <v>0</v>
      </c>
      <c r="Q1246">
        <v>591</v>
      </c>
      <c r="R1246">
        <v>0.85</v>
      </c>
      <c r="S1246" t="s">
        <v>39</v>
      </c>
      <c r="T1246" s="1">
        <v>45735</v>
      </c>
      <c r="U1246">
        <v>0</v>
      </c>
    </row>
    <row r="1247" spans="1:21" x14ac:dyDescent="0.25">
      <c r="A1247" t="s">
        <v>1294</v>
      </c>
      <c r="B1247">
        <v>35</v>
      </c>
      <c r="C1247" t="s">
        <v>29</v>
      </c>
      <c r="D1247" t="s">
        <v>35</v>
      </c>
      <c r="E1247" t="s">
        <v>31</v>
      </c>
      <c r="F1247" t="s">
        <v>32</v>
      </c>
      <c r="G1247">
        <v>4241.1400000000003</v>
      </c>
      <c r="H1247">
        <v>1452.79</v>
      </c>
      <c r="I1247">
        <v>9119.39</v>
      </c>
      <c r="J1247" t="s">
        <v>37</v>
      </c>
      <c r="K1247" t="s">
        <v>38</v>
      </c>
      <c r="L1247">
        <v>0</v>
      </c>
      <c r="M1247">
        <v>0</v>
      </c>
      <c r="N1247">
        <v>0</v>
      </c>
      <c r="O1247">
        <v>0</v>
      </c>
      <c r="P1247">
        <v>0</v>
      </c>
      <c r="Q1247">
        <v>760</v>
      </c>
      <c r="R1247">
        <v>0.18</v>
      </c>
      <c r="S1247" t="s">
        <v>27</v>
      </c>
      <c r="T1247" s="1">
        <v>44636</v>
      </c>
      <c r="U1247">
        <v>0</v>
      </c>
    </row>
    <row r="1248" spans="1:21" x14ac:dyDescent="0.25">
      <c r="A1248" t="s">
        <v>1295</v>
      </c>
      <c r="B1248">
        <v>57</v>
      </c>
      <c r="C1248" t="s">
        <v>29</v>
      </c>
      <c r="D1248" t="s">
        <v>41</v>
      </c>
      <c r="E1248" t="s">
        <v>31</v>
      </c>
      <c r="F1248" t="s">
        <v>42</v>
      </c>
      <c r="G1248">
        <v>1287.07</v>
      </c>
      <c r="H1248">
        <v>614.64</v>
      </c>
      <c r="I1248">
        <v>14820.87</v>
      </c>
      <c r="J1248" t="s">
        <v>37</v>
      </c>
      <c r="K1248" t="s">
        <v>38</v>
      </c>
      <c r="L1248">
        <v>0</v>
      </c>
      <c r="M1248">
        <v>0</v>
      </c>
      <c r="N1248">
        <v>0</v>
      </c>
      <c r="O1248">
        <v>0</v>
      </c>
      <c r="P1248">
        <v>0</v>
      </c>
      <c r="Q1248">
        <v>823</v>
      </c>
      <c r="R1248">
        <v>0.96</v>
      </c>
      <c r="S1248" t="s">
        <v>39</v>
      </c>
      <c r="T1248" s="1">
        <v>45499</v>
      </c>
      <c r="U1248">
        <v>0</v>
      </c>
    </row>
    <row r="1249" spans="1:21" x14ac:dyDescent="0.25">
      <c r="A1249" t="s">
        <v>1296</v>
      </c>
      <c r="B1249">
        <v>29</v>
      </c>
      <c r="C1249" t="s">
        <v>21</v>
      </c>
      <c r="D1249" t="s">
        <v>41</v>
      </c>
      <c r="E1249" t="s">
        <v>49</v>
      </c>
      <c r="F1249" t="s">
        <v>24</v>
      </c>
      <c r="G1249">
        <v>3372.36</v>
      </c>
      <c r="H1249">
        <v>1659.8</v>
      </c>
      <c r="I1249">
        <v>23450.06</v>
      </c>
      <c r="J1249" t="s">
        <v>37</v>
      </c>
      <c r="K1249" t="s">
        <v>38</v>
      </c>
      <c r="L1249">
        <v>0</v>
      </c>
      <c r="M1249">
        <v>0</v>
      </c>
      <c r="N1249">
        <v>0</v>
      </c>
      <c r="O1249">
        <v>0</v>
      </c>
      <c r="P1249">
        <v>0</v>
      </c>
      <c r="Q1249">
        <v>759</v>
      </c>
      <c r="R1249">
        <v>0.57999999999999996</v>
      </c>
      <c r="S1249" t="s">
        <v>39</v>
      </c>
      <c r="T1249" s="1">
        <v>44865</v>
      </c>
      <c r="U1249">
        <v>0</v>
      </c>
    </row>
    <row r="1250" spans="1:21" x14ac:dyDescent="0.25">
      <c r="A1250" t="s">
        <v>1297</v>
      </c>
      <c r="B1250">
        <v>26</v>
      </c>
      <c r="C1250" t="s">
        <v>21</v>
      </c>
      <c r="D1250" t="s">
        <v>41</v>
      </c>
      <c r="E1250" t="s">
        <v>51</v>
      </c>
      <c r="F1250" t="s">
        <v>23</v>
      </c>
      <c r="G1250">
        <v>4851.71</v>
      </c>
      <c r="H1250">
        <v>3254.59</v>
      </c>
      <c r="I1250">
        <v>49294.3</v>
      </c>
      <c r="J1250" t="s">
        <v>37</v>
      </c>
      <c r="K1250" t="s">
        <v>38</v>
      </c>
      <c r="L1250">
        <v>0</v>
      </c>
      <c r="M1250">
        <v>0</v>
      </c>
      <c r="N1250">
        <v>0</v>
      </c>
      <c r="O1250">
        <v>0</v>
      </c>
      <c r="P1250">
        <v>0</v>
      </c>
      <c r="Q1250">
        <v>504</v>
      </c>
      <c r="R1250">
        <v>0.85</v>
      </c>
      <c r="S1250" t="s">
        <v>27</v>
      </c>
      <c r="T1250" s="1">
        <v>45803</v>
      </c>
      <c r="U1250">
        <v>0</v>
      </c>
    </row>
    <row r="1251" spans="1:21" x14ac:dyDescent="0.25">
      <c r="A1251" t="s">
        <v>1298</v>
      </c>
      <c r="B1251">
        <v>63</v>
      </c>
      <c r="C1251" t="s">
        <v>29</v>
      </c>
      <c r="D1251" t="s">
        <v>41</v>
      </c>
      <c r="E1251" t="s">
        <v>51</v>
      </c>
      <c r="F1251" t="s">
        <v>24</v>
      </c>
      <c r="G1251">
        <v>4497.38</v>
      </c>
      <c r="H1251">
        <v>3433.93</v>
      </c>
      <c r="I1251">
        <v>49352.29</v>
      </c>
      <c r="J1251" t="s">
        <v>37</v>
      </c>
      <c r="K1251" t="s">
        <v>38</v>
      </c>
      <c r="L1251">
        <v>0</v>
      </c>
      <c r="M1251">
        <v>0</v>
      </c>
      <c r="N1251">
        <v>0</v>
      </c>
      <c r="O1251">
        <v>0</v>
      </c>
      <c r="P1251">
        <v>0</v>
      </c>
      <c r="Q1251">
        <v>639</v>
      </c>
      <c r="R1251">
        <v>0.91</v>
      </c>
      <c r="S1251" t="s">
        <v>47</v>
      </c>
      <c r="T1251" s="1">
        <v>44855</v>
      </c>
      <c r="U1251">
        <v>0</v>
      </c>
    </row>
    <row r="1252" spans="1:21" x14ac:dyDescent="0.25">
      <c r="A1252" t="s">
        <v>1299</v>
      </c>
      <c r="B1252">
        <v>37</v>
      </c>
      <c r="C1252" t="s">
        <v>21</v>
      </c>
      <c r="D1252" t="s">
        <v>56</v>
      </c>
      <c r="E1252" t="s">
        <v>31</v>
      </c>
      <c r="F1252" t="s">
        <v>23</v>
      </c>
      <c r="G1252">
        <v>3983.34</v>
      </c>
      <c r="H1252">
        <v>2925.13</v>
      </c>
      <c r="I1252">
        <v>13917.8</v>
      </c>
      <c r="J1252" t="s">
        <v>25</v>
      </c>
      <c r="K1252" t="s">
        <v>33</v>
      </c>
      <c r="L1252">
        <v>443440.5</v>
      </c>
      <c r="M1252">
        <v>120</v>
      </c>
      <c r="N1252">
        <v>5624.52</v>
      </c>
      <c r="O1252">
        <v>9.0299999999999994</v>
      </c>
      <c r="P1252">
        <v>1.41</v>
      </c>
      <c r="Q1252">
        <v>699</v>
      </c>
      <c r="R1252">
        <v>0.28999999999999998</v>
      </c>
      <c r="S1252" t="s">
        <v>27</v>
      </c>
      <c r="T1252" s="1">
        <v>44553</v>
      </c>
      <c r="U1252">
        <v>1</v>
      </c>
    </row>
    <row r="1253" spans="1:21" x14ac:dyDescent="0.25">
      <c r="A1253" t="s">
        <v>1300</v>
      </c>
      <c r="B1253">
        <v>66</v>
      </c>
      <c r="C1253" t="s">
        <v>29</v>
      </c>
      <c r="D1253" t="s">
        <v>41</v>
      </c>
      <c r="E1253" t="s">
        <v>23</v>
      </c>
      <c r="F1253" t="s">
        <v>52</v>
      </c>
      <c r="G1253">
        <v>3097.36</v>
      </c>
      <c r="H1253">
        <v>1145.51</v>
      </c>
      <c r="I1253">
        <v>33971.11</v>
      </c>
      <c r="J1253" t="s">
        <v>37</v>
      </c>
      <c r="K1253" t="s">
        <v>38</v>
      </c>
      <c r="L1253">
        <v>0</v>
      </c>
      <c r="M1253">
        <v>0</v>
      </c>
      <c r="N1253">
        <v>0</v>
      </c>
      <c r="O1253">
        <v>0</v>
      </c>
      <c r="P1253">
        <v>0</v>
      </c>
      <c r="Q1253">
        <v>606</v>
      </c>
      <c r="R1253">
        <v>0.91</v>
      </c>
      <c r="S1253" t="s">
        <v>27</v>
      </c>
      <c r="T1253" s="1">
        <v>45569</v>
      </c>
      <c r="U1253">
        <v>0</v>
      </c>
    </row>
    <row r="1254" spans="1:21" x14ac:dyDescent="0.25">
      <c r="A1254" t="s">
        <v>1301</v>
      </c>
      <c r="B1254">
        <v>68</v>
      </c>
      <c r="C1254" t="s">
        <v>21</v>
      </c>
      <c r="D1254" t="s">
        <v>35</v>
      </c>
      <c r="E1254" t="s">
        <v>31</v>
      </c>
      <c r="F1254" t="s">
        <v>23</v>
      </c>
      <c r="G1254">
        <v>4424.1899999999996</v>
      </c>
      <c r="H1254">
        <v>1510.74</v>
      </c>
      <c r="I1254">
        <v>32333.99</v>
      </c>
      <c r="J1254" t="s">
        <v>25</v>
      </c>
      <c r="K1254" t="s">
        <v>33</v>
      </c>
      <c r="L1254">
        <v>352219.7</v>
      </c>
      <c r="M1254">
        <v>360</v>
      </c>
      <c r="N1254">
        <v>4676.8999999999996</v>
      </c>
      <c r="O1254">
        <v>15.79</v>
      </c>
      <c r="P1254">
        <v>1.06</v>
      </c>
      <c r="Q1254">
        <v>746</v>
      </c>
      <c r="R1254">
        <v>0.61</v>
      </c>
      <c r="S1254" t="s">
        <v>47</v>
      </c>
      <c r="T1254" s="1">
        <v>45740</v>
      </c>
      <c r="U1254">
        <v>1</v>
      </c>
    </row>
    <row r="1255" spans="1:21" x14ac:dyDescent="0.25">
      <c r="A1255" t="s">
        <v>1302</v>
      </c>
      <c r="B1255">
        <v>61</v>
      </c>
      <c r="C1255" t="s">
        <v>21</v>
      </c>
      <c r="D1255" t="s">
        <v>22</v>
      </c>
      <c r="E1255" t="s">
        <v>31</v>
      </c>
      <c r="F1255" t="s">
        <v>42</v>
      </c>
      <c r="G1255">
        <v>4788.13</v>
      </c>
      <c r="H1255">
        <v>1882.78</v>
      </c>
      <c r="I1255">
        <v>40512.800000000003</v>
      </c>
      <c r="J1255" t="s">
        <v>25</v>
      </c>
      <c r="K1255" t="s">
        <v>33</v>
      </c>
      <c r="L1255">
        <v>279788.96999999997</v>
      </c>
      <c r="M1255">
        <v>360</v>
      </c>
      <c r="N1255">
        <v>2681.42</v>
      </c>
      <c r="O1255">
        <v>11.08</v>
      </c>
      <c r="P1255">
        <v>0.56000000000000005</v>
      </c>
      <c r="Q1255">
        <v>778</v>
      </c>
      <c r="R1255">
        <v>0.71</v>
      </c>
      <c r="S1255" t="s">
        <v>30</v>
      </c>
      <c r="T1255" s="1">
        <v>44608</v>
      </c>
      <c r="U1255">
        <v>1</v>
      </c>
    </row>
    <row r="1256" spans="1:21" x14ac:dyDescent="0.25">
      <c r="A1256" t="s">
        <v>1303</v>
      </c>
      <c r="B1256">
        <v>52</v>
      </c>
      <c r="C1256" t="s">
        <v>30</v>
      </c>
      <c r="D1256" t="s">
        <v>22</v>
      </c>
      <c r="E1256" t="s">
        <v>31</v>
      </c>
      <c r="F1256" t="s">
        <v>24</v>
      </c>
      <c r="G1256">
        <v>3332.85</v>
      </c>
      <c r="H1256">
        <v>2604.63</v>
      </c>
      <c r="I1256">
        <v>11124.77</v>
      </c>
      <c r="J1256" t="s">
        <v>37</v>
      </c>
      <c r="K1256" t="s">
        <v>38</v>
      </c>
      <c r="L1256">
        <v>0</v>
      </c>
      <c r="M1256">
        <v>0</v>
      </c>
      <c r="N1256">
        <v>0</v>
      </c>
      <c r="O1256">
        <v>0</v>
      </c>
      <c r="P1256">
        <v>0</v>
      </c>
      <c r="Q1256">
        <v>435</v>
      </c>
      <c r="R1256">
        <v>0.28000000000000003</v>
      </c>
      <c r="S1256" t="s">
        <v>72</v>
      </c>
      <c r="T1256" s="1">
        <v>45387</v>
      </c>
      <c r="U1256">
        <v>0</v>
      </c>
    </row>
    <row r="1257" spans="1:21" x14ac:dyDescent="0.25">
      <c r="A1257" t="s">
        <v>1304</v>
      </c>
      <c r="B1257">
        <v>32</v>
      </c>
      <c r="C1257" t="s">
        <v>21</v>
      </c>
      <c r="D1257" t="s">
        <v>35</v>
      </c>
      <c r="E1257" t="s">
        <v>31</v>
      </c>
      <c r="F1257" t="s">
        <v>36</v>
      </c>
      <c r="G1257">
        <v>9382.2999999999993</v>
      </c>
      <c r="H1257">
        <v>4988.47</v>
      </c>
      <c r="I1257">
        <v>28553.71</v>
      </c>
      <c r="J1257" t="s">
        <v>25</v>
      </c>
      <c r="K1257" t="s">
        <v>54</v>
      </c>
      <c r="L1257">
        <v>201870.4</v>
      </c>
      <c r="M1257">
        <v>24</v>
      </c>
      <c r="N1257">
        <v>9623.86</v>
      </c>
      <c r="O1257">
        <v>13.28</v>
      </c>
      <c r="P1257">
        <v>1.03</v>
      </c>
      <c r="Q1257">
        <v>692</v>
      </c>
      <c r="R1257">
        <v>0.25</v>
      </c>
      <c r="S1257" t="s">
        <v>30</v>
      </c>
      <c r="T1257" s="1">
        <v>45503</v>
      </c>
      <c r="U1257">
        <v>1</v>
      </c>
    </row>
    <row r="1258" spans="1:21" x14ac:dyDescent="0.25">
      <c r="A1258" t="s">
        <v>1305</v>
      </c>
      <c r="B1258">
        <v>29</v>
      </c>
      <c r="C1258" t="s">
        <v>29</v>
      </c>
      <c r="D1258" t="s">
        <v>41</v>
      </c>
      <c r="E1258" t="s">
        <v>49</v>
      </c>
      <c r="F1258" t="s">
        <v>23</v>
      </c>
      <c r="G1258">
        <v>2218.7800000000002</v>
      </c>
      <c r="H1258">
        <v>1424.18</v>
      </c>
      <c r="I1258">
        <v>23186.75</v>
      </c>
      <c r="J1258" t="s">
        <v>25</v>
      </c>
      <c r="K1258" t="s">
        <v>45</v>
      </c>
      <c r="L1258">
        <v>223910.69</v>
      </c>
      <c r="M1258">
        <v>360</v>
      </c>
      <c r="N1258">
        <v>3312.44</v>
      </c>
      <c r="O1258">
        <v>17.66</v>
      </c>
      <c r="P1258">
        <v>1.49</v>
      </c>
      <c r="Q1258">
        <v>726</v>
      </c>
      <c r="R1258">
        <v>0.87</v>
      </c>
      <c r="S1258" t="s">
        <v>39</v>
      </c>
      <c r="T1258" s="1">
        <v>45703</v>
      </c>
      <c r="U1258">
        <v>1</v>
      </c>
    </row>
    <row r="1259" spans="1:21" x14ac:dyDescent="0.25">
      <c r="A1259" t="s">
        <v>1306</v>
      </c>
      <c r="B1259">
        <v>22</v>
      </c>
      <c r="C1259" t="s">
        <v>30</v>
      </c>
      <c r="D1259" t="s">
        <v>35</v>
      </c>
      <c r="E1259" t="s">
        <v>51</v>
      </c>
      <c r="F1259" t="s">
        <v>23</v>
      </c>
      <c r="G1259">
        <v>5227.6499999999996</v>
      </c>
      <c r="H1259">
        <v>4250.24</v>
      </c>
      <c r="I1259">
        <v>31963.63</v>
      </c>
      <c r="J1259" t="s">
        <v>25</v>
      </c>
      <c r="K1259" t="s">
        <v>26</v>
      </c>
      <c r="L1259">
        <v>111908.65</v>
      </c>
      <c r="M1259">
        <v>240</v>
      </c>
      <c r="N1259">
        <v>1106.77</v>
      </c>
      <c r="O1259">
        <v>10.36</v>
      </c>
      <c r="P1259">
        <v>0.21</v>
      </c>
      <c r="Q1259">
        <v>685</v>
      </c>
      <c r="R1259">
        <v>0.51</v>
      </c>
      <c r="S1259" t="s">
        <v>30</v>
      </c>
      <c r="T1259" s="1">
        <v>44740</v>
      </c>
      <c r="U1259">
        <v>0</v>
      </c>
    </row>
    <row r="1260" spans="1:21" x14ac:dyDescent="0.25">
      <c r="A1260" t="s">
        <v>1307</v>
      </c>
      <c r="B1260">
        <v>19</v>
      </c>
      <c r="C1260" t="s">
        <v>30</v>
      </c>
      <c r="D1260" t="s">
        <v>41</v>
      </c>
      <c r="E1260" t="s">
        <v>51</v>
      </c>
      <c r="F1260" t="s">
        <v>63</v>
      </c>
      <c r="G1260">
        <v>1854.9</v>
      </c>
      <c r="H1260">
        <v>576</v>
      </c>
      <c r="I1260">
        <v>4287.67</v>
      </c>
      <c r="J1260" t="s">
        <v>37</v>
      </c>
      <c r="K1260" t="s">
        <v>38</v>
      </c>
      <c r="L1260">
        <v>0</v>
      </c>
      <c r="M1260">
        <v>0</v>
      </c>
      <c r="N1260">
        <v>0</v>
      </c>
      <c r="O1260">
        <v>0</v>
      </c>
      <c r="P1260">
        <v>0</v>
      </c>
      <c r="Q1260">
        <v>661</v>
      </c>
      <c r="R1260">
        <v>0.19</v>
      </c>
      <c r="S1260" t="s">
        <v>27</v>
      </c>
      <c r="T1260" s="1">
        <v>45324</v>
      </c>
      <c r="U1260">
        <v>0</v>
      </c>
    </row>
    <row r="1261" spans="1:21" x14ac:dyDescent="0.25">
      <c r="A1261" t="s">
        <v>1308</v>
      </c>
      <c r="B1261">
        <v>49</v>
      </c>
      <c r="C1261" t="s">
        <v>21</v>
      </c>
      <c r="D1261" t="s">
        <v>56</v>
      </c>
      <c r="E1261" t="s">
        <v>31</v>
      </c>
      <c r="F1261" t="s">
        <v>36</v>
      </c>
      <c r="G1261">
        <v>3190.72</v>
      </c>
      <c r="H1261">
        <v>1629.42</v>
      </c>
      <c r="I1261">
        <v>32092.28</v>
      </c>
      <c r="J1261" t="s">
        <v>25</v>
      </c>
      <c r="K1261" t="s">
        <v>33</v>
      </c>
      <c r="L1261">
        <v>66234.02</v>
      </c>
      <c r="M1261">
        <v>36</v>
      </c>
      <c r="N1261">
        <v>2547.02</v>
      </c>
      <c r="O1261">
        <v>22.51</v>
      </c>
      <c r="P1261">
        <v>0.8</v>
      </c>
      <c r="Q1261">
        <v>744</v>
      </c>
      <c r="R1261">
        <v>0.84</v>
      </c>
      <c r="S1261" t="s">
        <v>72</v>
      </c>
      <c r="T1261" s="1">
        <v>45441</v>
      </c>
      <c r="U1261">
        <v>1</v>
      </c>
    </row>
    <row r="1262" spans="1:21" x14ac:dyDescent="0.25">
      <c r="A1262" t="s">
        <v>1309</v>
      </c>
      <c r="B1262">
        <v>26</v>
      </c>
      <c r="C1262" t="s">
        <v>29</v>
      </c>
      <c r="D1262" t="s">
        <v>35</v>
      </c>
      <c r="E1262" t="s">
        <v>31</v>
      </c>
      <c r="F1262" t="s">
        <v>63</v>
      </c>
      <c r="G1262">
        <v>6003.03</v>
      </c>
      <c r="H1262">
        <v>4753.93</v>
      </c>
      <c r="I1262">
        <v>44920.17</v>
      </c>
      <c r="J1262" t="s">
        <v>25</v>
      </c>
      <c r="K1262" t="s">
        <v>33</v>
      </c>
      <c r="L1262">
        <v>262060.12</v>
      </c>
      <c r="M1262">
        <v>240</v>
      </c>
      <c r="N1262">
        <v>5428.6</v>
      </c>
      <c r="O1262">
        <v>24.67</v>
      </c>
      <c r="P1262">
        <v>0.9</v>
      </c>
      <c r="Q1262">
        <v>754</v>
      </c>
      <c r="R1262">
        <v>0.62</v>
      </c>
      <c r="S1262" t="s">
        <v>27</v>
      </c>
      <c r="T1262" s="1">
        <v>45707</v>
      </c>
      <c r="U1262">
        <v>1</v>
      </c>
    </row>
    <row r="1263" spans="1:21" x14ac:dyDescent="0.25">
      <c r="A1263" t="s">
        <v>1310</v>
      </c>
      <c r="B1263">
        <v>65</v>
      </c>
      <c r="C1263" t="s">
        <v>21</v>
      </c>
      <c r="D1263" t="s">
        <v>41</v>
      </c>
      <c r="E1263" t="s">
        <v>31</v>
      </c>
      <c r="F1263" t="s">
        <v>23</v>
      </c>
      <c r="G1263">
        <v>2665.79</v>
      </c>
      <c r="H1263">
        <v>1437.97</v>
      </c>
      <c r="I1263">
        <v>9106.4</v>
      </c>
      <c r="J1263" t="s">
        <v>25</v>
      </c>
      <c r="K1263" t="s">
        <v>45</v>
      </c>
      <c r="L1263">
        <v>331987.76</v>
      </c>
      <c r="M1263">
        <v>120</v>
      </c>
      <c r="N1263">
        <v>3746.05</v>
      </c>
      <c r="O1263">
        <v>6.36</v>
      </c>
      <c r="P1263">
        <v>1.41</v>
      </c>
      <c r="Q1263">
        <v>719</v>
      </c>
      <c r="R1263">
        <v>0.28000000000000003</v>
      </c>
      <c r="S1263" t="s">
        <v>27</v>
      </c>
      <c r="T1263" s="1">
        <v>44694</v>
      </c>
      <c r="U1263">
        <v>1</v>
      </c>
    </row>
    <row r="1264" spans="1:21" x14ac:dyDescent="0.25">
      <c r="A1264" t="s">
        <v>1311</v>
      </c>
      <c r="B1264">
        <v>59</v>
      </c>
      <c r="C1264" t="s">
        <v>29</v>
      </c>
      <c r="D1264" t="s">
        <v>41</v>
      </c>
      <c r="E1264" t="s">
        <v>23</v>
      </c>
      <c r="F1264" t="s">
        <v>42</v>
      </c>
      <c r="G1264">
        <v>4284.9799999999996</v>
      </c>
      <c r="H1264">
        <v>2324.4499999999998</v>
      </c>
      <c r="I1264">
        <v>32848.33</v>
      </c>
      <c r="J1264" t="s">
        <v>25</v>
      </c>
      <c r="K1264" t="s">
        <v>45</v>
      </c>
      <c r="L1264">
        <v>129575.14</v>
      </c>
      <c r="M1264">
        <v>36</v>
      </c>
      <c r="N1264">
        <v>4559.32</v>
      </c>
      <c r="O1264">
        <v>16.059999999999999</v>
      </c>
      <c r="P1264">
        <v>1.06</v>
      </c>
      <c r="Q1264">
        <v>744</v>
      </c>
      <c r="R1264">
        <v>0.64</v>
      </c>
      <c r="S1264" t="s">
        <v>27</v>
      </c>
      <c r="T1264" s="1">
        <v>44408</v>
      </c>
      <c r="U1264">
        <v>1</v>
      </c>
    </row>
    <row r="1265" spans="1:21" x14ac:dyDescent="0.25">
      <c r="A1265" t="s">
        <v>1312</v>
      </c>
      <c r="B1265">
        <v>46</v>
      </c>
      <c r="C1265" t="s">
        <v>29</v>
      </c>
      <c r="D1265" t="s">
        <v>30</v>
      </c>
      <c r="E1265" t="s">
        <v>31</v>
      </c>
      <c r="F1265" t="s">
        <v>32</v>
      </c>
      <c r="G1265">
        <v>703.95</v>
      </c>
      <c r="H1265">
        <v>397.56</v>
      </c>
      <c r="I1265">
        <v>3810.91</v>
      </c>
      <c r="J1265" t="s">
        <v>37</v>
      </c>
      <c r="K1265" t="s">
        <v>38</v>
      </c>
      <c r="L1265">
        <v>0</v>
      </c>
      <c r="M1265">
        <v>0</v>
      </c>
      <c r="N1265">
        <v>0</v>
      </c>
      <c r="O1265">
        <v>0</v>
      </c>
      <c r="P1265">
        <v>0</v>
      </c>
      <c r="Q1265">
        <v>414</v>
      </c>
      <c r="R1265">
        <v>0.45</v>
      </c>
      <c r="S1265" t="s">
        <v>72</v>
      </c>
      <c r="T1265" s="1">
        <v>44429</v>
      </c>
      <c r="U1265">
        <v>0</v>
      </c>
    </row>
    <row r="1266" spans="1:21" x14ac:dyDescent="0.25">
      <c r="A1266" t="s">
        <v>1313</v>
      </c>
      <c r="B1266">
        <v>20</v>
      </c>
      <c r="C1266" t="s">
        <v>29</v>
      </c>
      <c r="D1266" t="s">
        <v>41</v>
      </c>
      <c r="E1266" t="s">
        <v>31</v>
      </c>
      <c r="F1266" t="s">
        <v>44</v>
      </c>
      <c r="G1266">
        <v>990.22</v>
      </c>
      <c r="H1266">
        <v>495.62</v>
      </c>
      <c r="I1266">
        <v>11132.98</v>
      </c>
      <c r="J1266" t="s">
        <v>37</v>
      </c>
      <c r="K1266" t="s">
        <v>38</v>
      </c>
      <c r="L1266">
        <v>0</v>
      </c>
      <c r="M1266">
        <v>0</v>
      </c>
      <c r="N1266">
        <v>0</v>
      </c>
      <c r="O1266">
        <v>0</v>
      </c>
      <c r="P1266">
        <v>0</v>
      </c>
      <c r="Q1266">
        <v>756</v>
      </c>
      <c r="R1266">
        <v>0.94</v>
      </c>
      <c r="S1266" t="s">
        <v>30</v>
      </c>
      <c r="T1266" s="1">
        <v>45674</v>
      </c>
      <c r="U1266">
        <v>0</v>
      </c>
    </row>
    <row r="1267" spans="1:21" x14ac:dyDescent="0.25">
      <c r="A1267" t="s">
        <v>1314</v>
      </c>
      <c r="B1267">
        <v>24</v>
      </c>
      <c r="C1267" t="s">
        <v>29</v>
      </c>
      <c r="D1267" t="s">
        <v>35</v>
      </c>
      <c r="E1267" t="s">
        <v>31</v>
      </c>
      <c r="F1267" t="s">
        <v>44</v>
      </c>
      <c r="G1267">
        <v>5994.63</v>
      </c>
      <c r="H1267">
        <v>2466.9499999999998</v>
      </c>
      <c r="I1267">
        <v>61215.77</v>
      </c>
      <c r="J1267" t="s">
        <v>25</v>
      </c>
      <c r="K1267" t="s">
        <v>45</v>
      </c>
      <c r="L1267">
        <v>155074.82</v>
      </c>
      <c r="M1267">
        <v>36</v>
      </c>
      <c r="N1267">
        <v>4874.5200000000004</v>
      </c>
      <c r="O1267">
        <v>8.2100000000000009</v>
      </c>
      <c r="P1267">
        <v>0.81</v>
      </c>
      <c r="Q1267">
        <v>849</v>
      </c>
      <c r="R1267">
        <v>0.85</v>
      </c>
      <c r="S1267" t="s">
        <v>72</v>
      </c>
      <c r="T1267" s="1">
        <v>45362</v>
      </c>
      <c r="U1267">
        <v>1</v>
      </c>
    </row>
    <row r="1268" spans="1:21" x14ac:dyDescent="0.25">
      <c r="A1268" t="s">
        <v>1315</v>
      </c>
      <c r="B1268">
        <v>42</v>
      </c>
      <c r="C1268" t="s">
        <v>21</v>
      </c>
      <c r="D1268" t="s">
        <v>35</v>
      </c>
      <c r="E1268" t="s">
        <v>31</v>
      </c>
      <c r="F1268" t="s">
        <v>52</v>
      </c>
      <c r="G1268">
        <v>3741.57</v>
      </c>
      <c r="H1268">
        <v>2617.0700000000002</v>
      </c>
      <c r="I1268">
        <v>44192.17</v>
      </c>
      <c r="J1268" t="s">
        <v>25</v>
      </c>
      <c r="K1268" t="s">
        <v>33</v>
      </c>
      <c r="L1268">
        <v>316354.65000000002</v>
      </c>
      <c r="M1268">
        <v>60</v>
      </c>
      <c r="N1268">
        <v>6095.45</v>
      </c>
      <c r="O1268">
        <v>5.86</v>
      </c>
      <c r="P1268">
        <v>1.63</v>
      </c>
      <c r="Q1268">
        <v>730</v>
      </c>
      <c r="R1268">
        <v>0.98</v>
      </c>
      <c r="S1268" t="s">
        <v>72</v>
      </c>
      <c r="T1268" s="1">
        <v>45359</v>
      </c>
      <c r="U1268">
        <v>1</v>
      </c>
    </row>
    <row r="1269" spans="1:21" x14ac:dyDescent="0.25">
      <c r="A1269" t="s">
        <v>1316</v>
      </c>
      <c r="B1269">
        <v>69</v>
      </c>
      <c r="C1269" t="s">
        <v>21</v>
      </c>
      <c r="D1269" t="s">
        <v>41</v>
      </c>
      <c r="E1269" t="s">
        <v>51</v>
      </c>
      <c r="F1269" t="s">
        <v>32</v>
      </c>
      <c r="G1269">
        <v>4113.7700000000004</v>
      </c>
      <c r="H1269">
        <v>2171.91</v>
      </c>
      <c r="I1269">
        <v>45150.48</v>
      </c>
      <c r="J1269" t="s">
        <v>37</v>
      </c>
      <c r="K1269" t="s">
        <v>38</v>
      </c>
      <c r="L1269">
        <v>0</v>
      </c>
      <c r="M1269">
        <v>0</v>
      </c>
      <c r="N1269">
        <v>0</v>
      </c>
      <c r="O1269">
        <v>0</v>
      </c>
      <c r="P1269">
        <v>0</v>
      </c>
      <c r="Q1269">
        <v>377</v>
      </c>
      <c r="R1269">
        <v>0.91</v>
      </c>
      <c r="S1269" t="s">
        <v>39</v>
      </c>
      <c r="T1269" s="1">
        <v>44828</v>
      </c>
      <c r="U1269">
        <v>0</v>
      </c>
    </row>
    <row r="1270" spans="1:21" x14ac:dyDescent="0.25">
      <c r="A1270" t="s">
        <v>1317</v>
      </c>
      <c r="B1270">
        <v>67</v>
      </c>
      <c r="C1270" t="s">
        <v>29</v>
      </c>
      <c r="D1270" t="s">
        <v>35</v>
      </c>
      <c r="E1270" t="s">
        <v>23</v>
      </c>
      <c r="F1270" t="s">
        <v>24</v>
      </c>
      <c r="G1270">
        <v>727.24</v>
      </c>
      <c r="H1270">
        <v>483.77</v>
      </c>
      <c r="I1270">
        <v>7289.67</v>
      </c>
      <c r="J1270" t="s">
        <v>37</v>
      </c>
      <c r="K1270" t="s">
        <v>38</v>
      </c>
      <c r="L1270">
        <v>0</v>
      </c>
      <c r="M1270">
        <v>0</v>
      </c>
      <c r="N1270">
        <v>0</v>
      </c>
      <c r="O1270">
        <v>0</v>
      </c>
      <c r="P1270">
        <v>0</v>
      </c>
      <c r="Q1270">
        <v>792</v>
      </c>
      <c r="R1270">
        <v>0.84</v>
      </c>
      <c r="S1270" t="s">
        <v>27</v>
      </c>
      <c r="T1270" s="1">
        <v>45665</v>
      </c>
      <c r="U1270">
        <v>0</v>
      </c>
    </row>
    <row r="1271" spans="1:21" x14ac:dyDescent="0.25">
      <c r="A1271" t="s">
        <v>1318</v>
      </c>
      <c r="B1271">
        <v>47</v>
      </c>
      <c r="C1271" t="s">
        <v>29</v>
      </c>
      <c r="D1271" t="s">
        <v>30</v>
      </c>
      <c r="E1271" t="s">
        <v>31</v>
      </c>
      <c r="F1271" t="s">
        <v>23</v>
      </c>
      <c r="G1271">
        <v>500</v>
      </c>
      <c r="H1271">
        <v>195.55</v>
      </c>
      <c r="I1271">
        <v>3123.75</v>
      </c>
      <c r="J1271" t="s">
        <v>37</v>
      </c>
      <c r="K1271" t="s">
        <v>38</v>
      </c>
      <c r="L1271">
        <v>0</v>
      </c>
      <c r="M1271">
        <v>0</v>
      </c>
      <c r="N1271">
        <v>0</v>
      </c>
      <c r="O1271">
        <v>0</v>
      </c>
      <c r="P1271">
        <v>0</v>
      </c>
      <c r="Q1271">
        <v>345</v>
      </c>
      <c r="R1271">
        <v>0.52</v>
      </c>
      <c r="S1271" t="s">
        <v>47</v>
      </c>
      <c r="T1271" s="1">
        <v>44889</v>
      </c>
      <c r="U1271">
        <v>0</v>
      </c>
    </row>
    <row r="1272" spans="1:21" x14ac:dyDescent="0.25">
      <c r="A1272" t="s">
        <v>1319</v>
      </c>
      <c r="B1272">
        <v>55</v>
      </c>
      <c r="C1272" t="s">
        <v>21</v>
      </c>
      <c r="D1272" t="s">
        <v>41</v>
      </c>
      <c r="E1272" t="s">
        <v>31</v>
      </c>
      <c r="F1272" t="s">
        <v>23</v>
      </c>
      <c r="G1272">
        <v>3553.29</v>
      </c>
      <c r="H1272">
        <v>1223.79</v>
      </c>
      <c r="I1272">
        <v>9139.2099999999991</v>
      </c>
      <c r="J1272" t="s">
        <v>37</v>
      </c>
      <c r="K1272" t="s">
        <v>38</v>
      </c>
      <c r="L1272">
        <v>0</v>
      </c>
      <c r="M1272">
        <v>0</v>
      </c>
      <c r="N1272">
        <v>0</v>
      </c>
      <c r="O1272">
        <v>0</v>
      </c>
      <c r="P1272">
        <v>0</v>
      </c>
      <c r="Q1272">
        <v>595</v>
      </c>
      <c r="R1272">
        <v>0.21</v>
      </c>
      <c r="S1272" t="s">
        <v>39</v>
      </c>
      <c r="T1272" s="1">
        <v>45509</v>
      </c>
      <c r="U1272">
        <v>0</v>
      </c>
    </row>
    <row r="1273" spans="1:21" x14ac:dyDescent="0.25">
      <c r="A1273" t="s">
        <v>1320</v>
      </c>
      <c r="B1273">
        <v>56</v>
      </c>
      <c r="C1273" t="s">
        <v>29</v>
      </c>
      <c r="D1273" t="s">
        <v>41</v>
      </c>
      <c r="E1273" t="s">
        <v>31</v>
      </c>
      <c r="F1273" t="s">
        <v>63</v>
      </c>
      <c r="G1273">
        <v>2344.71</v>
      </c>
      <c r="H1273">
        <v>1157.1199999999999</v>
      </c>
      <c r="I1273">
        <v>5382.76</v>
      </c>
      <c r="J1273" t="s">
        <v>25</v>
      </c>
      <c r="K1273" t="s">
        <v>26</v>
      </c>
      <c r="L1273">
        <v>321344.45</v>
      </c>
      <c r="M1273">
        <v>300</v>
      </c>
      <c r="N1273">
        <v>4531.25</v>
      </c>
      <c r="O1273">
        <v>16.649999999999999</v>
      </c>
      <c r="P1273">
        <v>1.93</v>
      </c>
      <c r="Q1273">
        <v>328</v>
      </c>
      <c r="R1273">
        <v>0.19</v>
      </c>
      <c r="S1273" t="s">
        <v>27</v>
      </c>
      <c r="T1273" s="1">
        <v>45519</v>
      </c>
      <c r="U1273">
        <v>1</v>
      </c>
    </row>
    <row r="1274" spans="1:21" x14ac:dyDescent="0.25">
      <c r="A1274" t="s">
        <v>1321</v>
      </c>
      <c r="B1274">
        <v>36</v>
      </c>
      <c r="C1274" t="s">
        <v>21</v>
      </c>
      <c r="D1274" t="s">
        <v>22</v>
      </c>
      <c r="E1274" t="s">
        <v>51</v>
      </c>
      <c r="F1274" t="s">
        <v>23</v>
      </c>
      <c r="G1274">
        <v>4389.42</v>
      </c>
      <c r="H1274">
        <v>1618.85</v>
      </c>
      <c r="I1274">
        <v>39242.769999999997</v>
      </c>
      <c r="J1274" t="s">
        <v>37</v>
      </c>
      <c r="K1274" t="s">
        <v>38</v>
      </c>
      <c r="L1274">
        <v>0</v>
      </c>
      <c r="M1274">
        <v>0</v>
      </c>
      <c r="N1274">
        <v>0</v>
      </c>
      <c r="O1274">
        <v>0</v>
      </c>
      <c r="P1274">
        <v>0</v>
      </c>
      <c r="Q1274">
        <v>515</v>
      </c>
      <c r="R1274">
        <v>0.75</v>
      </c>
      <c r="S1274" t="s">
        <v>47</v>
      </c>
      <c r="T1274" s="1">
        <v>45622</v>
      </c>
      <c r="U1274">
        <v>0</v>
      </c>
    </row>
    <row r="1275" spans="1:21" x14ac:dyDescent="0.25">
      <c r="A1275" t="s">
        <v>1322</v>
      </c>
      <c r="B1275">
        <v>26</v>
      </c>
      <c r="C1275" t="s">
        <v>21</v>
      </c>
      <c r="D1275" t="s">
        <v>35</v>
      </c>
      <c r="E1275" t="s">
        <v>51</v>
      </c>
      <c r="F1275" t="s">
        <v>36</v>
      </c>
      <c r="G1275">
        <v>3411.19</v>
      </c>
      <c r="H1275">
        <v>2348.58</v>
      </c>
      <c r="I1275">
        <v>4592.96</v>
      </c>
      <c r="J1275" t="s">
        <v>25</v>
      </c>
      <c r="K1275" t="s">
        <v>33</v>
      </c>
      <c r="L1275">
        <v>150481.29999999999</v>
      </c>
      <c r="M1275">
        <v>24</v>
      </c>
      <c r="N1275">
        <v>6549.38</v>
      </c>
      <c r="O1275">
        <v>4.22</v>
      </c>
      <c r="P1275">
        <v>1.92</v>
      </c>
      <c r="Q1275">
        <v>720</v>
      </c>
      <c r="R1275">
        <v>0.11</v>
      </c>
      <c r="S1275" t="s">
        <v>39</v>
      </c>
      <c r="T1275" s="1">
        <v>45294</v>
      </c>
      <c r="U1275">
        <v>1</v>
      </c>
    </row>
    <row r="1276" spans="1:21" x14ac:dyDescent="0.25">
      <c r="A1276" t="s">
        <v>1323</v>
      </c>
      <c r="B1276">
        <v>40</v>
      </c>
      <c r="C1276" t="s">
        <v>21</v>
      </c>
      <c r="D1276" t="s">
        <v>35</v>
      </c>
      <c r="E1276" t="s">
        <v>31</v>
      </c>
      <c r="F1276" t="s">
        <v>52</v>
      </c>
      <c r="G1276">
        <v>6664.74</v>
      </c>
      <c r="H1276">
        <v>4382.6400000000003</v>
      </c>
      <c r="I1276">
        <v>68090.740000000005</v>
      </c>
      <c r="J1276" t="s">
        <v>37</v>
      </c>
      <c r="K1276" t="s">
        <v>38</v>
      </c>
      <c r="L1276">
        <v>0</v>
      </c>
      <c r="M1276">
        <v>0</v>
      </c>
      <c r="N1276">
        <v>0</v>
      </c>
      <c r="O1276">
        <v>0</v>
      </c>
      <c r="P1276">
        <v>0</v>
      </c>
      <c r="Q1276">
        <v>523</v>
      </c>
      <c r="R1276">
        <v>0.85</v>
      </c>
      <c r="S1276" t="s">
        <v>47</v>
      </c>
      <c r="T1276" s="1">
        <v>45347</v>
      </c>
      <c r="U1276">
        <v>0</v>
      </c>
    </row>
    <row r="1277" spans="1:21" x14ac:dyDescent="0.25">
      <c r="A1277" t="s">
        <v>1324</v>
      </c>
      <c r="B1277">
        <v>18</v>
      </c>
      <c r="C1277" t="s">
        <v>21</v>
      </c>
      <c r="D1277" t="s">
        <v>22</v>
      </c>
      <c r="E1277" t="s">
        <v>31</v>
      </c>
      <c r="F1277" t="s">
        <v>24</v>
      </c>
      <c r="G1277">
        <v>5660.93</v>
      </c>
      <c r="H1277">
        <v>3513.81</v>
      </c>
      <c r="I1277">
        <v>49254.66</v>
      </c>
      <c r="J1277" t="s">
        <v>37</v>
      </c>
      <c r="K1277" t="s">
        <v>38</v>
      </c>
      <c r="L1277">
        <v>0</v>
      </c>
      <c r="M1277">
        <v>0</v>
      </c>
      <c r="N1277">
        <v>0</v>
      </c>
      <c r="O1277">
        <v>0</v>
      </c>
      <c r="P1277">
        <v>0</v>
      </c>
      <c r="Q1277">
        <v>577</v>
      </c>
      <c r="R1277">
        <v>0.73</v>
      </c>
      <c r="S1277" t="s">
        <v>27</v>
      </c>
      <c r="T1277" s="1">
        <v>44517</v>
      </c>
      <c r="U1277">
        <v>0</v>
      </c>
    </row>
    <row r="1278" spans="1:21" x14ac:dyDescent="0.25">
      <c r="A1278" t="s">
        <v>1325</v>
      </c>
      <c r="B1278">
        <v>26</v>
      </c>
      <c r="C1278" t="s">
        <v>21</v>
      </c>
      <c r="D1278" t="s">
        <v>35</v>
      </c>
      <c r="E1278" t="s">
        <v>31</v>
      </c>
      <c r="F1278" t="s">
        <v>63</v>
      </c>
      <c r="G1278">
        <v>3263.64</v>
      </c>
      <c r="H1278">
        <v>1282.1400000000001</v>
      </c>
      <c r="I1278">
        <v>23300.13</v>
      </c>
      <c r="J1278" t="s">
        <v>37</v>
      </c>
      <c r="K1278" t="s">
        <v>38</v>
      </c>
      <c r="L1278">
        <v>0</v>
      </c>
      <c r="M1278">
        <v>0</v>
      </c>
      <c r="N1278">
        <v>0</v>
      </c>
      <c r="O1278">
        <v>0</v>
      </c>
      <c r="P1278">
        <v>0</v>
      </c>
      <c r="Q1278">
        <v>379</v>
      </c>
      <c r="R1278">
        <v>0.59</v>
      </c>
      <c r="S1278" t="s">
        <v>72</v>
      </c>
      <c r="T1278" s="1">
        <v>45462</v>
      </c>
      <c r="U1278">
        <v>0</v>
      </c>
    </row>
    <row r="1279" spans="1:21" x14ac:dyDescent="0.25">
      <c r="A1279" t="s">
        <v>1326</v>
      </c>
      <c r="B1279">
        <v>23</v>
      </c>
      <c r="C1279" t="s">
        <v>29</v>
      </c>
      <c r="D1279" t="s">
        <v>35</v>
      </c>
      <c r="E1279" t="s">
        <v>49</v>
      </c>
      <c r="F1279" t="s">
        <v>63</v>
      </c>
      <c r="G1279">
        <v>5281.49</v>
      </c>
      <c r="H1279">
        <v>2773.49</v>
      </c>
      <c r="I1279">
        <v>47712.07</v>
      </c>
      <c r="J1279" t="s">
        <v>25</v>
      </c>
      <c r="K1279" t="s">
        <v>26</v>
      </c>
      <c r="L1279">
        <v>291602.28000000003</v>
      </c>
      <c r="M1279">
        <v>300</v>
      </c>
      <c r="N1279">
        <v>4382.92</v>
      </c>
      <c r="O1279">
        <v>17.82</v>
      </c>
      <c r="P1279">
        <v>0.83</v>
      </c>
      <c r="Q1279">
        <v>474</v>
      </c>
      <c r="R1279">
        <v>0.75</v>
      </c>
      <c r="S1279" t="s">
        <v>72</v>
      </c>
      <c r="T1279" s="1">
        <v>45546</v>
      </c>
      <c r="U1279">
        <v>1</v>
      </c>
    </row>
    <row r="1280" spans="1:21" x14ac:dyDescent="0.25">
      <c r="A1280" t="s">
        <v>1327</v>
      </c>
      <c r="B1280">
        <v>44</v>
      </c>
      <c r="C1280" t="s">
        <v>21</v>
      </c>
      <c r="D1280" t="s">
        <v>41</v>
      </c>
      <c r="E1280" t="s">
        <v>31</v>
      </c>
      <c r="F1280" t="s">
        <v>52</v>
      </c>
      <c r="G1280">
        <v>5956.53</v>
      </c>
      <c r="H1280">
        <v>4404.91</v>
      </c>
      <c r="I1280">
        <v>69182.39</v>
      </c>
      <c r="J1280" t="s">
        <v>25</v>
      </c>
      <c r="K1280" t="s">
        <v>45</v>
      </c>
      <c r="L1280">
        <v>183325.93</v>
      </c>
      <c r="M1280">
        <v>360</v>
      </c>
      <c r="N1280">
        <v>1003.27</v>
      </c>
      <c r="O1280">
        <v>5.17</v>
      </c>
      <c r="P1280">
        <v>0.17</v>
      </c>
      <c r="Q1280">
        <v>366</v>
      </c>
      <c r="R1280">
        <v>0.97</v>
      </c>
      <c r="S1280" t="s">
        <v>39</v>
      </c>
      <c r="T1280" s="1">
        <v>45646</v>
      </c>
      <c r="U1280">
        <v>0</v>
      </c>
    </row>
    <row r="1281" spans="1:21" x14ac:dyDescent="0.25">
      <c r="A1281" t="s">
        <v>1328</v>
      </c>
      <c r="B1281">
        <v>63</v>
      </c>
      <c r="C1281" t="s">
        <v>29</v>
      </c>
      <c r="D1281" t="s">
        <v>22</v>
      </c>
      <c r="E1281" t="s">
        <v>31</v>
      </c>
      <c r="F1281" t="s">
        <v>24</v>
      </c>
      <c r="G1281">
        <v>3841.05</v>
      </c>
      <c r="H1281">
        <v>1880.58</v>
      </c>
      <c r="I1281">
        <v>5508.88</v>
      </c>
      <c r="J1281" t="s">
        <v>25</v>
      </c>
      <c r="K1281" t="s">
        <v>45</v>
      </c>
      <c r="L1281">
        <v>242112.1</v>
      </c>
      <c r="M1281">
        <v>120</v>
      </c>
      <c r="N1281">
        <v>5542.06</v>
      </c>
      <c r="O1281">
        <v>25.2</v>
      </c>
      <c r="P1281">
        <v>1.44</v>
      </c>
      <c r="Q1281">
        <v>432</v>
      </c>
      <c r="R1281">
        <v>0.12</v>
      </c>
      <c r="S1281" t="s">
        <v>47</v>
      </c>
      <c r="T1281" s="1">
        <v>44473</v>
      </c>
      <c r="U1281">
        <v>1</v>
      </c>
    </row>
    <row r="1282" spans="1:21" x14ac:dyDescent="0.25">
      <c r="A1282" t="s">
        <v>1329</v>
      </c>
      <c r="B1282">
        <v>65</v>
      </c>
      <c r="C1282" t="s">
        <v>29</v>
      </c>
      <c r="D1282" t="s">
        <v>41</v>
      </c>
      <c r="E1282" t="s">
        <v>31</v>
      </c>
      <c r="F1282" t="s">
        <v>44</v>
      </c>
      <c r="G1282">
        <v>2370.12</v>
      </c>
      <c r="H1282">
        <v>2041.24</v>
      </c>
      <c r="I1282">
        <v>3463.46</v>
      </c>
      <c r="J1282" t="s">
        <v>37</v>
      </c>
      <c r="K1282" t="s">
        <v>38</v>
      </c>
      <c r="L1282">
        <v>0</v>
      </c>
      <c r="M1282">
        <v>0</v>
      </c>
      <c r="N1282">
        <v>0</v>
      </c>
      <c r="O1282">
        <v>0</v>
      </c>
      <c r="P1282">
        <v>0</v>
      </c>
      <c r="Q1282">
        <v>588</v>
      </c>
      <c r="R1282">
        <v>0.12</v>
      </c>
      <c r="S1282" t="s">
        <v>39</v>
      </c>
      <c r="T1282" s="1">
        <v>44518</v>
      </c>
      <c r="U1282">
        <v>0</v>
      </c>
    </row>
    <row r="1283" spans="1:21" x14ac:dyDescent="0.25">
      <c r="A1283" t="s">
        <v>1330</v>
      </c>
      <c r="B1283">
        <v>22</v>
      </c>
      <c r="C1283" t="s">
        <v>29</v>
      </c>
      <c r="D1283" t="s">
        <v>41</v>
      </c>
      <c r="E1283" t="s">
        <v>31</v>
      </c>
      <c r="F1283" t="s">
        <v>52</v>
      </c>
      <c r="G1283">
        <v>5246.58</v>
      </c>
      <c r="H1283">
        <v>3763.55</v>
      </c>
      <c r="I1283">
        <v>17010.18</v>
      </c>
      <c r="J1283" t="s">
        <v>37</v>
      </c>
      <c r="K1283" t="s">
        <v>38</v>
      </c>
      <c r="L1283">
        <v>0</v>
      </c>
      <c r="M1283">
        <v>0</v>
      </c>
      <c r="N1283">
        <v>0</v>
      </c>
      <c r="O1283">
        <v>0</v>
      </c>
      <c r="P1283">
        <v>0</v>
      </c>
      <c r="Q1283">
        <v>489</v>
      </c>
      <c r="R1283">
        <v>0.27</v>
      </c>
      <c r="S1283" t="s">
        <v>72</v>
      </c>
      <c r="T1283" s="1">
        <v>45763</v>
      </c>
      <c r="U1283">
        <v>0</v>
      </c>
    </row>
    <row r="1284" spans="1:21" x14ac:dyDescent="0.25">
      <c r="A1284" t="s">
        <v>1331</v>
      </c>
      <c r="B1284">
        <v>40</v>
      </c>
      <c r="C1284" t="s">
        <v>21</v>
      </c>
      <c r="D1284" t="s">
        <v>41</v>
      </c>
      <c r="E1284" t="s">
        <v>51</v>
      </c>
      <c r="F1284" t="s">
        <v>32</v>
      </c>
      <c r="G1284">
        <v>5738.34</v>
      </c>
      <c r="H1284">
        <v>4766.88</v>
      </c>
      <c r="I1284">
        <v>39665.620000000003</v>
      </c>
      <c r="J1284" t="s">
        <v>37</v>
      </c>
      <c r="K1284" t="s">
        <v>38</v>
      </c>
      <c r="L1284">
        <v>0</v>
      </c>
      <c r="M1284">
        <v>0</v>
      </c>
      <c r="N1284">
        <v>0</v>
      </c>
      <c r="O1284">
        <v>0</v>
      </c>
      <c r="P1284">
        <v>0</v>
      </c>
      <c r="Q1284">
        <v>668</v>
      </c>
      <c r="R1284">
        <v>0.57999999999999996</v>
      </c>
      <c r="S1284" t="s">
        <v>47</v>
      </c>
      <c r="T1284" s="1">
        <v>44953</v>
      </c>
      <c r="U1284">
        <v>0</v>
      </c>
    </row>
    <row r="1285" spans="1:21" x14ac:dyDescent="0.25">
      <c r="A1285" t="s">
        <v>1332</v>
      </c>
      <c r="B1285">
        <v>48</v>
      </c>
      <c r="C1285" t="s">
        <v>29</v>
      </c>
      <c r="D1285" t="s">
        <v>41</v>
      </c>
      <c r="E1285" t="s">
        <v>23</v>
      </c>
      <c r="F1285" t="s">
        <v>32</v>
      </c>
      <c r="G1285">
        <v>5693.38</v>
      </c>
      <c r="H1285">
        <v>2568.5300000000002</v>
      </c>
      <c r="I1285">
        <v>66763.59</v>
      </c>
      <c r="J1285" t="s">
        <v>37</v>
      </c>
      <c r="K1285" t="s">
        <v>38</v>
      </c>
      <c r="L1285">
        <v>0</v>
      </c>
      <c r="M1285">
        <v>0</v>
      </c>
      <c r="N1285">
        <v>0</v>
      </c>
      <c r="O1285">
        <v>0</v>
      </c>
      <c r="P1285">
        <v>0</v>
      </c>
      <c r="Q1285">
        <v>570</v>
      </c>
      <c r="R1285">
        <v>0.98</v>
      </c>
      <c r="S1285" t="s">
        <v>39</v>
      </c>
      <c r="T1285" s="1">
        <v>45128</v>
      </c>
      <c r="U1285">
        <v>0</v>
      </c>
    </row>
    <row r="1286" spans="1:21" x14ac:dyDescent="0.25">
      <c r="A1286" t="s">
        <v>1333</v>
      </c>
      <c r="B1286">
        <v>28</v>
      </c>
      <c r="C1286" t="s">
        <v>21</v>
      </c>
      <c r="D1286" t="s">
        <v>22</v>
      </c>
      <c r="E1286" t="s">
        <v>31</v>
      </c>
      <c r="F1286" t="s">
        <v>24</v>
      </c>
      <c r="G1286">
        <v>2643.85</v>
      </c>
      <c r="H1286">
        <v>1196.98</v>
      </c>
      <c r="I1286">
        <v>25721.51</v>
      </c>
      <c r="J1286" t="s">
        <v>25</v>
      </c>
      <c r="K1286" t="s">
        <v>33</v>
      </c>
      <c r="L1286">
        <v>176965.65</v>
      </c>
      <c r="M1286">
        <v>300</v>
      </c>
      <c r="N1286">
        <v>3671.05</v>
      </c>
      <c r="O1286">
        <v>24.84</v>
      </c>
      <c r="P1286">
        <v>1.39</v>
      </c>
      <c r="Q1286">
        <v>639</v>
      </c>
      <c r="R1286">
        <v>0.81</v>
      </c>
      <c r="S1286" t="s">
        <v>72</v>
      </c>
      <c r="T1286" s="1">
        <v>45056</v>
      </c>
      <c r="U1286">
        <v>1</v>
      </c>
    </row>
    <row r="1287" spans="1:21" x14ac:dyDescent="0.25">
      <c r="A1287" t="s">
        <v>1334</v>
      </c>
      <c r="B1287">
        <v>37</v>
      </c>
      <c r="C1287" t="s">
        <v>29</v>
      </c>
      <c r="D1287" t="s">
        <v>41</v>
      </c>
      <c r="E1287" t="s">
        <v>49</v>
      </c>
      <c r="F1287" t="s">
        <v>24</v>
      </c>
      <c r="G1287">
        <v>1922.95</v>
      </c>
      <c r="H1287">
        <v>626.52</v>
      </c>
      <c r="I1287">
        <v>9046.36</v>
      </c>
      <c r="J1287" t="s">
        <v>37</v>
      </c>
      <c r="K1287" t="s">
        <v>38</v>
      </c>
      <c r="L1287">
        <v>0</v>
      </c>
      <c r="M1287">
        <v>0</v>
      </c>
      <c r="N1287">
        <v>0</v>
      </c>
      <c r="O1287">
        <v>0</v>
      </c>
      <c r="P1287">
        <v>0</v>
      </c>
      <c r="Q1287">
        <v>662</v>
      </c>
      <c r="R1287">
        <v>0.39</v>
      </c>
      <c r="S1287" t="s">
        <v>27</v>
      </c>
      <c r="T1287" s="1">
        <v>44816</v>
      </c>
      <c r="U1287">
        <v>0</v>
      </c>
    </row>
    <row r="1288" spans="1:21" x14ac:dyDescent="0.25">
      <c r="A1288" t="s">
        <v>1335</v>
      </c>
      <c r="B1288">
        <v>50</v>
      </c>
      <c r="C1288" t="s">
        <v>21</v>
      </c>
      <c r="D1288" t="s">
        <v>22</v>
      </c>
      <c r="E1288" t="s">
        <v>31</v>
      </c>
      <c r="F1288" t="s">
        <v>44</v>
      </c>
      <c r="G1288">
        <v>3961.5</v>
      </c>
      <c r="H1288">
        <v>2184.81</v>
      </c>
      <c r="I1288">
        <v>21756.05</v>
      </c>
      <c r="J1288" t="s">
        <v>25</v>
      </c>
      <c r="K1288" t="s">
        <v>45</v>
      </c>
      <c r="L1288">
        <v>155436.04999999999</v>
      </c>
      <c r="M1288">
        <v>360</v>
      </c>
      <c r="N1288">
        <v>1630.01</v>
      </c>
      <c r="O1288">
        <v>12.26</v>
      </c>
      <c r="P1288">
        <v>0.41</v>
      </c>
      <c r="Q1288">
        <v>316</v>
      </c>
      <c r="R1288">
        <v>0.46</v>
      </c>
      <c r="S1288" t="s">
        <v>39</v>
      </c>
      <c r="T1288" s="1">
        <v>45578</v>
      </c>
      <c r="U1288">
        <v>1</v>
      </c>
    </row>
    <row r="1289" spans="1:21" x14ac:dyDescent="0.25">
      <c r="A1289" t="s">
        <v>1336</v>
      </c>
      <c r="B1289">
        <v>41</v>
      </c>
      <c r="C1289" t="s">
        <v>21</v>
      </c>
      <c r="D1289" t="s">
        <v>56</v>
      </c>
      <c r="E1289" t="s">
        <v>49</v>
      </c>
      <c r="F1289" t="s">
        <v>23</v>
      </c>
      <c r="G1289">
        <v>4806.1499999999996</v>
      </c>
      <c r="H1289">
        <v>3495.66</v>
      </c>
      <c r="I1289">
        <v>18972.21</v>
      </c>
      <c r="J1289" t="s">
        <v>25</v>
      </c>
      <c r="K1289" t="s">
        <v>33</v>
      </c>
      <c r="L1289">
        <v>53850.21</v>
      </c>
      <c r="M1289">
        <v>120</v>
      </c>
      <c r="N1289">
        <v>1282.8399999999999</v>
      </c>
      <c r="O1289">
        <v>26.51</v>
      </c>
      <c r="P1289">
        <v>0.27</v>
      </c>
      <c r="Q1289">
        <v>817</v>
      </c>
      <c r="R1289">
        <v>0.33</v>
      </c>
      <c r="S1289" t="s">
        <v>30</v>
      </c>
      <c r="T1289" s="1">
        <v>45538</v>
      </c>
      <c r="U1289">
        <v>0</v>
      </c>
    </row>
    <row r="1290" spans="1:21" x14ac:dyDescent="0.25">
      <c r="A1290" t="s">
        <v>1337</v>
      </c>
      <c r="B1290">
        <v>54</v>
      </c>
      <c r="C1290" t="s">
        <v>29</v>
      </c>
      <c r="D1290" t="s">
        <v>22</v>
      </c>
      <c r="E1290" t="s">
        <v>31</v>
      </c>
      <c r="F1290" t="s">
        <v>49</v>
      </c>
      <c r="G1290">
        <v>5624.19</v>
      </c>
      <c r="H1290">
        <v>4914.13</v>
      </c>
      <c r="I1290">
        <v>13526.53</v>
      </c>
      <c r="J1290" t="s">
        <v>25</v>
      </c>
      <c r="K1290" t="s">
        <v>54</v>
      </c>
      <c r="L1290">
        <v>248201.01</v>
      </c>
      <c r="M1290">
        <v>180</v>
      </c>
      <c r="N1290">
        <v>2523.33</v>
      </c>
      <c r="O1290">
        <v>9.0399999999999991</v>
      </c>
      <c r="P1290">
        <v>0.45</v>
      </c>
      <c r="Q1290">
        <v>572</v>
      </c>
      <c r="R1290">
        <v>0.2</v>
      </c>
      <c r="S1290" t="s">
        <v>47</v>
      </c>
      <c r="T1290" s="1">
        <v>45238</v>
      </c>
      <c r="U1290">
        <v>1</v>
      </c>
    </row>
    <row r="1291" spans="1:21" x14ac:dyDescent="0.25">
      <c r="A1291" t="s">
        <v>1338</v>
      </c>
      <c r="B1291">
        <v>48</v>
      </c>
      <c r="C1291" t="s">
        <v>29</v>
      </c>
      <c r="D1291" t="s">
        <v>41</v>
      </c>
      <c r="E1291" t="s">
        <v>23</v>
      </c>
      <c r="F1291" t="s">
        <v>52</v>
      </c>
      <c r="G1291">
        <v>4283.32</v>
      </c>
      <c r="H1291">
        <v>2473.7399999999998</v>
      </c>
      <c r="I1291">
        <v>6943.64</v>
      </c>
      <c r="J1291" t="s">
        <v>37</v>
      </c>
      <c r="K1291" t="s">
        <v>38</v>
      </c>
      <c r="L1291">
        <v>0</v>
      </c>
      <c r="M1291">
        <v>0</v>
      </c>
      <c r="N1291">
        <v>0</v>
      </c>
      <c r="O1291">
        <v>0</v>
      </c>
      <c r="P1291">
        <v>0</v>
      </c>
      <c r="Q1291">
        <v>453</v>
      </c>
      <c r="R1291">
        <v>0.14000000000000001</v>
      </c>
      <c r="S1291" t="s">
        <v>27</v>
      </c>
      <c r="T1291" s="1">
        <v>44973</v>
      </c>
      <c r="U1291">
        <v>0</v>
      </c>
    </row>
    <row r="1292" spans="1:21" x14ac:dyDescent="0.25">
      <c r="A1292" t="s">
        <v>1339</v>
      </c>
      <c r="B1292">
        <v>21</v>
      </c>
      <c r="C1292" t="s">
        <v>21</v>
      </c>
      <c r="D1292" t="s">
        <v>35</v>
      </c>
      <c r="E1292" t="s">
        <v>31</v>
      </c>
      <c r="F1292" t="s">
        <v>44</v>
      </c>
      <c r="G1292">
        <v>5743.38</v>
      </c>
      <c r="H1292">
        <v>3569.64</v>
      </c>
      <c r="I1292">
        <v>36276.26</v>
      </c>
      <c r="J1292" t="s">
        <v>25</v>
      </c>
      <c r="K1292" t="s">
        <v>33</v>
      </c>
      <c r="L1292">
        <v>236232.91</v>
      </c>
      <c r="M1292">
        <v>240</v>
      </c>
      <c r="N1292">
        <v>3154.41</v>
      </c>
      <c r="O1292">
        <v>15.25</v>
      </c>
      <c r="P1292">
        <v>0.55000000000000004</v>
      </c>
      <c r="Q1292">
        <v>404</v>
      </c>
      <c r="R1292">
        <v>0.53</v>
      </c>
      <c r="S1292" t="s">
        <v>72</v>
      </c>
      <c r="T1292" s="1">
        <v>45842</v>
      </c>
      <c r="U1292">
        <v>1</v>
      </c>
    </row>
    <row r="1293" spans="1:21" x14ac:dyDescent="0.25">
      <c r="A1293" t="s">
        <v>1340</v>
      </c>
      <c r="B1293">
        <v>59</v>
      </c>
      <c r="C1293" t="s">
        <v>29</v>
      </c>
      <c r="D1293" t="s">
        <v>35</v>
      </c>
      <c r="E1293" t="s">
        <v>51</v>
      </c>
      <c r="F1293" t="s">
        <v>63</v>
      </c>
      <c r="G1293">
        <v>6033.23</v>
      </c>
      <c r="H1293">
        <v>5371.84</v>
      </c>
      <c r="I1293">
        <v>50139.23</v>
      </c>
      <c r="J1293" t="s">
        <v>37</v>
      </c>
      <c r="K1293" t="s">
        <v>38</v>
      </c>
      <c r="L1293">
        <v>0</v>
      </c>
      <c r="M1293">
        <v>0</v>
      </c>
      <c r="N1293">
        <v>0</v>
      </c>
      <c r="O1293">
        <v>0</v>
      </c>
      <c r="P1293">
        <v>0</v>
      </c>
      <c r="Q1293">
        <v>728</v>
      </c>
      <c r="R1293">
        <v>0.69</v>
      </c>
      <c r="S1293" t="s">
        <v>27</v>
      </c>
      <c r="T1293" s="1">
        <v>45678</v>
      </c>
      <c r="U1293">
        <v>0</v>
      </c>
    </row>
    <row r="1294" spans="1:21" x14ac:dyDescent="0.25">
      <c r="A1294" t="s">
        <v>1341</v>
      </c>
      <c r="B1294">
        <v>39</v>
      </c>
      <c r="C1294" t="s">
        <v>21</v>
      </c>
      <c r="D1294" t="s">
        <v>22</v>
      </c>
      <c r="E1294" t="s">
        <v>31</v>
      </c>
      <c r="F1294" t="s">
        <v>44</v>
      </c>
      <c r="G1294">
        <v>4181.51</v>
      </c>
      <c r="H1294">
        <v>2734.54</v>
      </c>
      <c r="I1294">
        <v>16695.669999999998</v>
      </c>
      <c r="J1294" t="s">
        <v>37</v>
      </c>
      <c r="K1294" t="s">
        <v>38</v>
      </c>
      <c r="L1294">
        <v>0</v>
      </c>
      <c r="M1294">
        <v>0</v>
      </c>
      <c r="N1294">
        <v>0</v>
      </c>
      <c r="O1294">
        <v>0</v>
      </c>
      <c r="P1294">
        <v>0</v>
      </c>
      <c r="Q1294">
        <v>327</v>
      </c>
      <c r="R1294">
        <v>0.33</v>
      </c>
      <c r="S1294" t="s">
        <v>47</v>
      </c>
      <c r="T1294" s="1">
        <v>45684</v>
      </c>
      <c r="U1294">
        <v>0</v>
      </c>
    </row>
    <row r="1295" spans="1:21" x14ac:dyDescent="0.25">
      <c r="A1295" t="s">
        <v>1342</v>
      </c>
      <c r="B1295">
        <v>46</v>
      </c>
      <c r="C1295" t="s">
        <v>21</v>
      </c>
      <c r="D1295" t="s">
        <v>35</v>
      </c>
      <c r="E1295" t="s">
        <v>51</v>
      </c>
      <c r="F1295" t="s">
        <v>52</v>
      </c>
      <c r="G1295">
        <v>4833.3999999999996</v>
      </c>
      <c r="H1295">
        <v>2604.6999999999998</v>
      </c>
      <c r="I1295">
        <v>22433.62</v>
      </c>
      <c r="J1295" t="s">
        <v>37</v>
      </c>
      <c r="K1295" t="s">
        <v>38</v>
      </c>
      <c r="L1295">
        <v>0</v>
      </c>
      <c r="M1295">
        <v>0</v>
      </c>
      <c r="N1295">
        <v>0</v>
      </c>
      <c r="O1295">
        <v>0</v>
      </c>
      <c r="P1295">
        <v>0</v>
      </c>
      <c r="Q1295">
        <v>605</v>
      </c>
      <c r="R1295">
        <v>0.39</v>
      </c>
      <c r="S1295" t="s">
        <v>47</v>
      </c>
      <c r="T1295" s="1">
        <v>45035</v>
      </c>
      <c r="U1295">
        <v>0</v>
      </c>
    </row>
    <row r="1296" spans="1:21" x14ac:dyDescent="0.25">
      <c r="A1296" t="s">
        <v>1343</v>
      </c>
      <c r="B1296">
        <v>31</v>
      </c>
      <c r="C1296" t="s">
        <v>29</v>
      </c>
      <c r="D1296" t="s">
        <v>22</v>
      </c>
      <c r="E1296" t="s">
        <v>51</v>
      </c>
      <c r="F1296" t="s">
        <v>42</v>
      </c>
      <c r="G1296">
        <v>6287.09</v>
      </c>
      <c r="H1296">
        <v>2172.1</v>
      </c>
      <c r="I1296">
        <v>38288.94</v>
      </c>
      <c r="J1296" t="s">
        <v>25</v>
      </c>
      <c r="K1296" t="s">
        <v>45</v>
      </c>
      <c r="L1296">
        <v>481870.16</v>
      </c>
      <c r="M1296">
        <v>180</v>
      </c>
      <c r="N1296">
        <v>8878.85</v>
      </c>
      <c r="O1296">
        <v>21.16</v>
      </c>
      <c r="P1296">
        <v>1.41</v>
      </c>
      <c r="Q1296">
        <v>830</v>
      </c>
      <c r="R1296">
        <v>0.51</v>
      </c>
      <c r="S1296" t="s">
        <v>39</v>
      </c>
      <c r="T1296" s="1">
        <v>45352</v>
      </c>
      <c r="U1296">
        <v>1</v>
      </c>
    </row>
    <row r="1297" spans="1:21" x14ac:dyDescent="0.25">
      <c r="A1297" t="s">
        <v>1344</v>
      </c>
      <c r="B1297">
        <v>54</v>
      </c>
      <c r="C1297" t="s">
        <v>21</v>
      </c>
      <c r="D1297" t="s">
        <v>41</v>
      </c>
      <c r="E1297" t="s">
        <v>23</v>
      </c>
      <c r="F1297" t="s">
        <v>36</v>
      </c>
      <c r="G1297">
        <v>6077.03</v>
      </c>
      <c r="H1297">
        <v>3665.38</v>
      </c>
      <c r="I1297">
        <v>48533.21</v>
      </c>
      <c r="J1297" t="s">
        <v>25</v>
      </c>
      <c r="K1297" t="s">
        <v>54</v>
      </c>
      <c r="L1297">
        <v>154594.79</v>
      </c>
      <c r="M1297">
        <v>24</v>
      </c>
      <c r="N1297">
        <v>8524.1200000000008</v>
      </c>
      <c r="O1297">
        <v>28.49</v>
      </c>
      <c r="P1297">
        <v>1.4</v>
      </c>
      <c r="Q1297">
        <v>798</v>
      </c>
      <c r="R1297">
        <v>0.67</v>
      </c>
      <c r="S1297" t="s">
        <v>47</v>
      </c>
      <c r="T1297" s="1">
        <v>44754</v>
      </c>
      <c r="U1297">
        <v>1</v>
      </c>
    </row>
    <row r="1298" spans="1:21" x14ac:dyDescent="0.25">
      <c r="A1298" t="s">
        <v>1345</v>
      </c>
      <c r="B1298">
        <v>24</v>
      </c>
      <c r="C1298" t="s">
        <v>21</v>
      </c>
      <c r="D1298" t="s">
        <v>56</v>
      </c>
      <c r="E1298" t="s">
        <v>31</v>
      </c>
      <c r="F1298" t="s">
        <v>42</v>
      </c>
      <c r="G1298">
        <v>3443.4</v>
      </c>
      <c r="H1298">
        <v>2687.64</v>
      </c>
      <c r="I1298">
        <v>9148.99</v>
      </c>
      <c r="J1298" t="s">
        <v>37</v>
      </c>
      <c r="K1298" t="s">
        <v>38</v>
      </c>
      <c r="L1298">
        <v>0</v>
      </c>
      <c r="M1298">
        <v>0</v>
      </c>
      <c r="N1298">
        <v>0</v>
      </c>
      <c r="O1298">
        <v>0</v>
      </c>
      <c r="P1298">
        <v>0</v>
      </c>
      <c r="Q1298">
        <v>558</v>
      </c>
      <c r="R1298">
        <v>0.22</v>
      </c>
      <c r="S1298" t="s">
        <v>27</v>
      </c>
      <c r="T1298" s="1">
        <v>44738</v>
      </c>
      <c r="U1298">
        <v>0</v>
      </c>
    </row>
    <row r="1299" spans="1:21" x14ac:dyDescent="0.25">
      <c r="A1299" t="s">
        <v>1346</v>
      </c>
      <c r="B1299">
        <v>67</v>
      </c>
      <c r="C1299" t="s">
        <v>21</v>
      </c>
      <c r="D1299" t="s">
        <v>41</v>
      </c>
      <c r="E1299" t="s">
        <v>31</v>
      </c>
      <c r="F1299" t="s">
        <v>24</v>
      </c>
      <c r="G1299">
        <v>500</v>
      </c>
      <c r="H1299">
        <v>230.29</v>
      </c>
      <c r="I1299">
        <v>4850.9799999999996</v>
      </c>
      <c r="J1299" t="s">
        <v>37</v>
      </c>
      <c r="K1299" t="s">
        <v>38</v>
      </c>
      <c r="L1299">
        <v>0</v>
      </c>
      <c r="M1299">
        <v>0</v>
      </c>
      <c r="N1299">
        <v>0</v>
      </c>
      <c r="O1299">
        <v>0</v>
      </c>
      <c r="P1299">
        <v>0</v>
      </c>
      <c r="Q1299">
        <v>362</v>
      </c>
      <c r="R1299">
        <v>0.81</v>
      </c>
      <c r="S1299" t="s">
        <v>47</v>
      </c>
      <c r="T1299" s="1">
        <v>44893</v>
      </c>
      <c r="U1299">
        <v>0</v>
      </c>
    </row>
    <row r="1300" spans="1:21" x14ac:dyDescent="0.25">
      <c r="A1300" t="s">
        <v>1347</v>
      </c>
      <c r="B1300">
        <v>61</v>
      </c>
      <c r="C1300" t="s">
        <v>21</v>
      </c>
      <c r="D1300" t="s">
        <v>35</v>
      </c>
      <c r="E1300" t="s">
        <v>49</v>
      </c>
      <c r="F1300" t="s">
        <v>32</v>
      </c>
      <c r="G1300">
        <v>4696.6499999999996</v>
      </c>
      <c r="H1300">
        <v>3198.13</v>
      </c>
      <c r="I1300">
        <v>36356.47</v>
      </c>
      <c r="J1300" t="s">
        <v>37</v>
      </c>
      <c r="K1300" t="s">
        <v>38</v>
      </c>
      <c r="L1300">
        <v>0</v>
      </c>
      <c r="M1300">
        <v>0</v>
      </c>
      <c r="N1300">
        <v>0</v>
      </c>
      <c r="O1300">
        <v>0</v>
      </c>
      <c r="P1300">
        <v>0</v>
      </c>
      <c r="Q1300">
        <v>336</v>
      </c>
      <c r="R1300">
        <v>0.65</v>
      </c>
      <c r="S1300" t="s">
        <v>39</v>
      </c>
      <c r="T1300" s="1">
        <v>44670</v>
      </c>
      <c r="U1300">
        <v>0</v>
      </c>
    </row>
    <row r="1301" spans="1:21" x14ac:dyDescent="0.25">
      <c r="A1301" t="s">
        <v>1348</v>
      </c>
      <c r="B1301">
        <v>18</v>
      </c>
      <c r="C1301" t="s">
        <v>21</v>
      </c>
      <c r="D1301" t="s">
        <v>41</v>
      </c>
      <c r="E1301" t="s">
        <v>31</v>
      </c>
      <c r="F1301" t="s">
        <v>49</v>
      </c>
      <c r="G1301">
        <v>4904.3</v>
      </c>
      <c r="H1301">
        <v>4263.57</v>
      </c>
      <c r="I1301">
        <v>14440.62</v>
      </c>
      <c r="J1301" t="s">
        <v>25</v>
      </c>
      <c r="K1301" t="s">
        <v>26</v>
      </c>
      <c r="L1301">
        <v>149813.16</v>
      </c>
      <c r="M1301">
        <v>60</v>
      </c>
      <c r="N1301">
        <v>4162.42</v>
      </c>
      <c r="O1301">
        <v>22.29</v>
      </c>
      <c r="P1301">
        <v>0.85</v>
      </c>
      <c r="Q1301">
        <v>842</v>
      </c>
      <c r="R1301">
        <v>0.25</v>
      </c>
      <c r="S1301" t="s">
        <v>39</v>
      </c>
      <c r="T1301" s="1">
        <v>45364</v>
      </c>
      <c r="U1301">
        <v>1</v>
      </c>
    </row>
    <row r="1302" spans="1:21" x14ac:dyDescent="0.25">
      <c r="A1302" t="s">
        <v>1349</v>
      </c>
      <c r="B1302">
        <v>36</v>
      </c>
      <c r="C1302" t="s">
        <v>29</v>
      </c>
      <c r="D1302" t="s">
        <v>41</v>
      </c>
      <c r="E1302" t="s">
        <v>51</v>
      </c>
      <c r="F1302" t="s">
        <v>24</v>
      </c>
      <c r="G1302">
        <v>6569.56</v>
      </c>
      <c r="H1302">
        <v>5857.77</v>
      </c>
      <c r="I1302">
        <v>9465.5499999999993</v>
      </c>
      <c r="J1302" t="s">
        <v>25</v>
      </c>
      <c r="K1302" t="s">
        <v>45</v>
      </c>
      <c r="L1302">
        <v>43330.81</v>
      </c>
      <c r="M1302">
        <v>36</v>
      </c>
      <c r="N1302">
        <v>1402.85</v>
      </c>
      <c r="O1302">
        <v>10.23</v>
      </c>
      <c r="P1302">
        <v>0.21</v>
      </c>
      <c r="Q1302">
        <v>408</v>
      </c>
      <c r="R1302">
        <v>0.12</v>
      </c>
      <c r="S1302" t="s">
        <v>39</v>
      </c>
      <c r="T1302" s="1">
        <v>45501</v>
      </c>
      <c r="U1302">
        <v>0</v>
      </c>
    </row>
    <row r="1303" spans="1:21" x14ac:dyDescent="0.25">
      <c r="A1303" t="s">
        <v>1350</v>
      </c>
      <c r="B1303">
        <v>19</v>
      </c>
      <c r="C1303" t="s">
        <v>30</v>
      </c>
      <c r="D1303" t="s">
        <v>41</v>
      </c>
      <c r="E1303" t="s">
        <v>31</v>
      </c>
      <c r="F1303" t="s">
        <v>23</v>
      </c>
      <c r="G1303">
        <v>3232.42</v>
      </c>
      <c r="H1303">
        <v>2811.36</v>
      </c>
      <c r="I1303">
        <v>13142.63</v>
      </c>
      <c r="J1303" t="s">
        <v>37</v>
      </c>
      <c r="K1303" t="s">
        <v>38</v>
      </c>
      <c r="L1303">
        <v>0</v>
      </c>
      <c r="M1303">
        <v>0</v>
      </c>
      <c r="N1303">
        <v>0</v>
      </c>
      <c r="O1303">
        <v>0</v>
      </c>
      <c r="P1303">
        <v>0</v>
      </c>
      <c r="Q1303">
        <v>495</v>
      </c>
      <c r="R1303">
        <v>0.34</v>
      </c>
      <c r="S1303" t="s">
        <v>27</v>
      </c>
      <c r="T1303" s="1">
        <v>45446</v>
      </c>
      <c r="U1303">
        <v>0</v>
      </c>
    </row>
    <row r="1304" spans="1:21" x14ac:dyDescent="0.25">
      <c r="A1304" t="s">
        <v>1351</v>
      </c>
      <c r="B1304">
        <v>29</v>
      </c>
      <c r="C1304" t="s">
        <v>29</v>
      </c>
      <c r="D1304" t="s">
        <v>35</v>
      </c>
      <c r="E1304" t="s">
        <v>31</v>
      </c>
      <c r="F1304" t="s">
        <v>49</v>
      </c>
      <c r="G1304">
        <v>8313.61</v>
      </c>
      <c r="H1304">
        <v>4449.6000000000004</v>
      </c>
      <c r="I1304">
        <v>44104.85</v>
      </c>
      <c r="J1304" t="s">
        <v>37</v>
      </c>
      <c r="K1304" t="s">
        <v>38</v>
      </c>
      <c r="L1304">
        <v>0</v>
      </c>
      <c r="M1304">
        <v>0</v>
      </c>
      <c r="N1304">
        <v>0</v>
      </c>
      <c r="O1304">
        <v>0</v>
      </c>
      <c r="P1304">
        <v>0</v>
      </c>
      <c r="Q1304">
        <v>413</v>
      </c>
      <c r="R1304">
        <v>0.44</v>
      </c>
      <c r="S1304" t="s">
        <v>39</v>
      </c>
      <c r="T1304" s="1">
        <v>44430</v>
      </c>
      <c r="U1304">
        <v>0</v>
      </c>
    </row>
    <row r="1305" spans="1:21" x14ac:dyDescent="0.25">
      <c r="A1305" t="s">
        <v>1352</v>
      </c>
      <c r="B1305">
        <v>41</v>
      </c>
      <c r="C1305" t="s">
        <v>21</v>
      </c>
      <c r="D1305" t="s">
        <v>56</v>
      </c>
      <c r="E1305" t="s">
        <v>51</v>
      </c>
      <c r="F1305" t="s">
        <v>52</v>
      </c>
      <c r="G1305">
        <v>2914.01</v>
      </c>
      <c r="H1305">
        <v>1572.93</v>
      </c>
      <c r="I1305">
        <v>34040.949999999997</v>
      </c>
      <c r="J1305" t="s">
        <v>25</v>
      </c>
      <c r="K1305" t="s">
        <v>54</v>
      </c>
      <c r="L1305">
        <v>178284.64</v>
      </c>
      <c r="M1305">
        <v>120</v>
      </c>
      <c r="N1305">
        <v>2603.42</v>
      </c>
      <c r="O1305">
        <v>12.44</v>
      </c>
      <c r="P1305">
        <v>0.89</v>
      </c>
      <c r="Q1305">
        <v>507</v>
      </c>
      <c r="R1305">
        <v>0.97</v>
      </c>
      <c r="S1305" t="s">
        <v>27</v>
      </c>
      <c r="T1305" s="1">
        <v>45638</v>
      </c>
      <c r="U1305">
        <v>1</v>
      </c>
    </row>
    <row r="1306" spans="1:21" x14ac:dyDescent="0.25">
      <c r="A1306" t="s">
        <v>1353</v>
      </c>
      <c r="B1306">
        <v>24</v>
      </c>
      <c r="C1306" t="s">
        <v>29</v>
      </c>
      <c r="D1306" t="s">
        <v>35</v>
      </c>
      <c r="E1306" t="s">
        <v>31</v>
      </c>
      <c r="F1306" t="s">
        <v>32</v>
      </c>
      <c r="G1306">
        <v>1728.35</v>
      </c>
      <c r="H1306">
        <v>684.15</v>
      </c>
      <c r="I1306">
        <v>3980.05</v>
      </c>
      <c r="J1306" t="s">
        <v>37</v>
      </c>
      <c r="K1306" t="s">
        <v>38</v>
      </c>
      <c r="L1306">
        <v>0</v>
      </c>
      <c r="M1306">
        <v>0</v>
      </c>
      <c r="N1306">
        <v>0</v>
      </c>
      <c r="O1306">
        <v>0</v>
      </c>
      <c r="P1306">
        <v>0</v>
      </c>
      <c r="Q1306">
        <v>507</v>
      </c>
      <c r="R1306">
        <v>0.19</v>
      </c>
      <c r="S1306" t="s">
        <v>47</v>
      </c>
      <c r="T1306" s="1">
        <v>45364</v>
      </c>
      <c r="U1306">
        <v>0</v>
      </c>
    </row>
    <row r="1307" spans="1:21" x14ac:dyDescent="0.25">
      <c r="A1307" t="s">
        <v>1354</v>
      </c>
      <c r="B1307">
        <v>18</v>
      </c>
      <c r="C1307" t="s">
        <v>29</v>
      </c>
      <c r="D1307" t="s">
        <v>22</v>
      </c>
      <c r="E1307" t="s">
        <v>23</v>
      </c>
      <c r="F1307" t="s">
        <v>24</v>
      </c>
      <c r="G1307">
        <v>5899.01</v>
      </c>
      <c r="H1307">
        <v>4476.05</v>
      </c>
      <c r="I1307">
        <v>55705.73</v>
      </c>
      <c r="J1307" t="s">
        <v>37</v>
      </c>
      <c r="K1307" t="s">
        <v>38</v>
      </c>
      <c r="L1307">
        <v>0</v>
      </c>
      <c r="M1307">
        <v>0</v>
      </c>
      <c r="N1307">
        <v>0</v>
      </c>
      <c r="O1307">
        <v>0</v>
      </c>
      <c r="P1307">
        <v>0</v>
      </c>
      <c r="Q1307">
        <v>595</v>
      </c>
      <c r="R1307">
        <v>0.79</v>
      </c>
      <c r="S1307" t="s">
        <v>39</v>
      </c>
      <c r="T1307" s="1">
        <v>44982</v>
      </c>
      <c r="U1307">
        <v>0</v>
      </c>
    </row>
    <row r="1308" spans="1:21" x14ac:dyDescent="0.25">
      <c r="A1308" t="s">
        <v>1355</v>
      </c>
      <c r="B1308">
        <v>54</v>
      </c>
      <c r="C1308" t="s">
        <v>21</v>
      </c>
      <c r="D1308" t="s">
        <v>22</v>
      </c>
      <c r="E1308" t="s">
        <v>23</v>
      </c>
      <c r="F1308" t="s">
        <v>52</v>
      </c>
      <c r="G1308">
        <v>2574.4299999999998</v>
      </c>
      <c r="H1308">
        <v>937.09</v>
      </c>
      <c r="I1308">
        <v>6719.71</v>
      </c>
      <c r="J1308" t="s">
        <v>25</v>
      </c>
      <c r="K1308" t="s">
        <v>45</v>
      </c>
      <c r="L1308">
        <v>345202.94</v>
      </c>
      <c r="M1308">
        <v>120</v>
      </c>
      <c r="N1308">
        <v>4117.47</v>
      </c>
      <c r="O1308">
        <v>7.61</v>
      </c>
      <c r="P1308">
        <v>1.6</v>
      </c>
      <c r="Q1308">
        <v>637</v>
      </c>
      <c r="R1308">
        <v>0.22</v>
      </c>
      <c r="S1308" t="s">
        <v>30</v>
      </c>
      <c r="T1308" s="1">
        <v>45255</v>
      </c>
      <c r="U1308">
        <v>1</v>
      </c>
    </row>
    <row r="1309" spans="1:21" x14ac:dyDescent="0.25">
      <c r="A1309" t="s">
        <v>1356</v>
      </c>
      <c r="B1309">
        <v>46</v>
      </c>
      <c r="C1309" t="s">
        <v>29</v>
      </c>
      <c r="D1309" t="s">
        <v>22</v>
      </c>
      <c r="E1309" t="s">
        <v>51</v>
      </c>
      <c r="F1309" t="s">
        <v>42</v>
      </c>
      <c r="G1309">
        <v>5440.89</v>
      </c>
      <c r="H1309">
        <v>2549.06</v>
      </c>
      <c r="I1309">
        <v>10470.51</v>
      </c>
      <c r="J1309" t="s">
        <v>37</v>
      </c>
      <c r="K1309" t="s">
        <v>38</v>
      </c>
      <c r="L1309">
        <v>0</v>
      </c>
      <c r="M1309">
        <v>0</v>
      </c>
      <c r="N1309">
        <v>0</v>
      </c>
      <c r="O1309">
        <v>0</v>
      </c>
      <c r="P1309">
        <v>0</v>
      </c>
      <c r="Q1309">
        <v>407</v>
      </c>
      <c r="R1309">
        <v>0.16</v>
      </c>
      <c r="S1309" t="s">
        <v>30</v>
      </c>
      <c r="T1309" s="1">
        <v>45142</v>
      </c>
      <c r="U1309">
        <v>0</v>
      </c>
    </row>
    <row r="1310" spans="1:21" x14ac:dyDescent="0.25">
      <c r="A1310" t="s">
        <v>1357</v>
      </c>
      <c r="B1310">
        <v>43</v>
      </c>
      <c r="C1310" t="s">
        <v>29</v>
      </c>
      <c r="D1310" t="s">
        <v>41</v>
      </c>
      <c r="E1310" t="s">
        <v>31</v>
      </c>
      <c r="F1310" t="s">
        <v>23</v>
      </c>
      <c r="G1310">
        <v>1675.43</v>
      </c>
      <c r="H1310">
        <v>567.24</v>
      </c>
      <c r="I1310">
        <v>17428.98</v>
      </c>
      <c r="J1310" t="s">
        <v>37</v>
      </c>
      <c r="K1310" t="s">
        <v>38</v>
      </c>
      <c r="L1310">
        <v>0</v>
      </c>
      <c r="M1310">
        <v>0</v>
      </c>
      <c r="N1310">
        <v>0</v>
      </c>
      <c r="O1310">
        <v>0</v>
      </c>
      <c r="P1310">
        <v>0</v>
      </c>
      <c r="Q1310">
        <v>532</v>
      </c>
      <c r="R1310">
        <v>0.87</v>
      </c>
      <c r="S1310" t="s">
        <v>27</v>
      </c>
      <c r="T1310" s="1">
        <v>45543</v>
      </c>
      <c r="U1310">
        <v>0</v>
      </c>
    </row>
    <row r="1311" spans="1:21" x14ac:dyDescent="0.25">
      <c r="A1311" t="s">
        <v>1358</v>
      </c>
      <c r="B1311">
        <v>22</v>
      </c>
      <c r="C1311" t="s">
        <v>29</v>
      </c>
      <c r="D1311" t="s">
        <v>35</v>
      </c>
      <c r="E1311" t="s">
        <v>31</v>
      </c>
      <c r="F1311" t="s">
        <v>44</v>
      </c>
      <c r="G1311">
        <v>3360.46</v>
      </c>
      <c r="H1311">
        <v>2736.26</v>
      </c>
      <c r="I1311">
        <v>37835.01</v>
      </c>
      <c r="J1311" t="s">
        <v>37</v>
      </c>
      <c r="K1311" t="s">
        <v>38</v>
      </c>
      <c r="L1311">
        <v>0</v>
      </c>
      <c r="M1311">
        <v>0</v>
      </c>
      <c r="N1311">
        <v>0</v>
      </c>
      <c r="O1311">
        <v>0</v>
      </c>
      <c r="P1311">
        <v>0</v>
      </c>
      <c r="Q1311">
        <v>552</v>
      </c>
      <c r="R1311">
        <v>0.94</v>
      </c>
      <c r="S1311" t="s">
        <v>30</v>
      </c>
      <c r="T1311" s="1">
        <v>45325</v>
      </c>
      <c r="U1311">
        <v>0</v>
      </c>
    </row>
    <row r="1312" spans="1:21" x14ac:dyDescent="0.25">
      <c r="A1312" t="s">
        <v>1359</v>
      </c>
      <c r="B1312">
        <v>64</v>
      </c>
      <c r="C1312" t="s">
        <v>21</v>
      </c>
      <c r="D1312" t="s">
        <v>35</v>
      </c>
      <c r="E1312" t="s">
        <v>31</v>
      </c>
      <c r="F1312" t="s">
        <v>63</v>
      </c>
      <c r="G1312">
        <v>2274.9299999999998</v>
      </c>
      <c r="H1312">
        <v>866.02</v>
      </c>
      <c r="I1312">
        <v>16579.27</v>
      </c>
      <c r="J1312" t="s">
        <v>37</v>
      </c>
      <c r="K1312" t="s">
        <v>38</v>
      </c>
      <c r="L1312">
        <v>0</v>
      </c>
      <c r="M1312">
        <v>0</v>
      </c>
      <c r="N1312">
        <v>0</v>
      </c>
      <c r="O1312">
        <v>0</v>
      </c>
      <c r="P1312">
        <v>0</v>
      </c>
      <c r="Q1312">
        <v>846</v>
      </c>
      <c r="R1312">
        <v>0.61</v>
      </c>
      <c r="S1312" t="s">
        <v>30</v>
      </c>
      <c r="T1312" s="1">
        <v>44872</v>
      </c>
      <c r="U1312">
        <v>0</v>
      </c>
    </row>
    <row r="1313" spans="1:21" x14ac:dyDescent="0.25">
      <c r="A1313" t="s">
        <v>1360</v>
      </c>
      <c r="B1313">
        <v>30</v>
      </c>
      <c r="C1313" t="s">
        <v>29</v>
      </c>
      <c r="D1313" t="s">
        <v>35</v>
      </c>
      <c r="E1313" t="s">
        <v>31</v>
      </c>
      <c r="F1313" t="s">
        <v>44</v>
      </c>
      <c r="G1313">
        <v>7866.95</v>
      </c>
      <c r="H1313">
        <v>3716.58</v>
      </c>
      <c r="I1313">
        <v>23365.5</v>
      </c>
      <c r="J1313" t="s">
        <v>37</v>
      </c>
      <c r="K1313" t="s">
        <v>38</v>
      </c>
      <c r="L1313">
        <v>0</v>
      </c>
      <c r="M1313">
        <v>0</v>
      </c>
      <c r="N1313">
        <v>0</v>
      </c>
      <c r="O1313">
        <v>0</v>
      </c>
      <c r="P1313">
        <v>0</v>
      </c>
      <c r="Q1313">
        <v>587</v>
      </c>
      <c r="R1313">
        <v>0.25</v>
      </c>
      <c r="S1313" t="s">
        <v>39</v>
      </c>
      <c r="T1313" s="1">
        <v>45293</v>
      </c>
      <c r="U1313">
        <v>0</v>
      </c>
    </row>
    <row r="1314" spans="1:21" x14ac:dyDescent="0.25">
      <c r="A1314" t="s">
        <v>1361</v>
      </c>
      <c r="B1314">
        <v>37</v>
      </c>
      <c r="C1314" t="s">
        <v>21</v>
      </c>
      <c r="D1314" t="s">
        <v>35</v>
      </c>
      <c r="E1314" t="s">
        <v>31</v>
      </c>
      <c r="F1314" t="s">
        <v>49</v>
      </c>
      <c r="G1314">
        <v>6582.47</v>
      </c>
      <c r="H1314">
        <v>3129.32</v>
      </c>
      <c r="I1314">
        <v>17529.919999999998</v>
      </c>
      <c r="J1314" t="s">
        <v>37</v>
      </c>
      <c r="K1314" t="s">
        <v>38</v>
      </c>
      <c r="L1314">
        <v>0</v>
      </c>
      <c r="M1314">
        <v>0</v>
      </c>
      <c r="N1314">
        <v>0</v>
      </c>
      <c r="O1314">
        <v>0</v>
      </c>
      <c r="P1314">
        <v>0</v>
      </c>
      <c r="Q1314">
        <v>614</v>
      </c>
      <c r="R1314">
        <v>0.22</v>
      </c>
      <c r="S1314" t="s">
        <v>72</v>
      </c>
      <c r="T1314" s="1">
        <v>44610</v>
      </c>
      <c r="U1314">
        <v>0</v>
      </c>
    </row>
    <row r="1315" spans="1:21" x14ac:dyDescent="0.25">
      <c r="A1315" t="s">
        <v>1362</v>
      </c>
      <c r="B1315">
        <v>48</v>
      </c>
      <c r="C1315" t="s">
        <v>29</v>
      </c>
      <c r="D1315" t="s">
        <v>22</v>
      </c>
      <c r="E1315" t="s">
        <v>51</v>
      </c>
      <c r="F1315" t="s">
        <v>32</v>
      </c>
      <c r="G1315">
        <v>4082.06</v>
      </c>
      <c r="H1315">
        <v>2648.99</v>
      </c>
      <c r="I1315">
        <v>33747.480000000003</v>
      </c>
      <c r="J1315" t="s">
        <v>37</v>
      </c>
      <c r="K1315" t="s">
        <v>38</v>
      </c>
      <c r="L1315">
        <v>0</v>
      </c>
      <c r="M1315">
        <v>0</v>
      </c>
      <c r="N1315">
        <v>0</v>
      </c>
      <c r="O1315">
        <v>0</v>
      </c>
      <c r="P1315">
        <v>0</v>
      </c>
      <c r="Q1315">
        <v>506</v>
      </c>
      <c r="R1315">
        <v>0.69</v>
      </c>
      <c r="S1315" t="s">
        <v>39</v>
      </c>
      <c r="T1315" s="1">
        <v>45238</v>
      </c>
      <c r="U1315">
        <v>0</v>
      </c>
    </row>
    <row r="1316" spans="1:21" x14ac:dyDescent="0.25">
      <c r="A1316" t="s">
        <v>1363</v>
      </c>
      <c r="B1316">
        <v>52</v>
      </c>
      <c r="C1316" t="s">
        <v>21</v>
      </c>
      <c r="D1316" t="s">
        <v>22</v>
      </c>
      <c r="E1316" t="s">
        <v>23</v>
      </c>
      <c r="F1316" t="s">
        <v>44</v>
      </c>
      <c r="G1316">
        <v>5642.2</v>
      </c>
      <c r="H1316">
        <v>2684.28</v>
      </c>
      <c r="I1316">
        <v>64640.09</v>
      </c>
      <c r="J1316" t="s">
        <v>37</v>
      </c>
      <c r="K1316" t="s">
        <v>38</v>
      </c>
      <c r="L1316">
        <v>0</v>
      </c>
      <c r="M1316">
        <v>0</v>
      </c>
      <c r="N1316">
        <v>0</v>
      </c>
      <c r="O1316">
        <v>0</v>
      </c>
      <c r="P1316">
        <v>0</v>
      </c>
      <c r="Q1316">
        <v>570</v>
      </c>
      <c r="R1316">
        <v>0.95</v>
      </c>
      <c r="S1316" t="s">
        <v>27</v>
      </c>
      <c r="T1316" s="1">
        <v>45666</v>
      </c>
      <c r="U1316">
        <v>0</v>
      </c>
    </row>
    <row r="1317" spans="1:21" x14ac:dyDescent="0.25">
      <c r="A1317" t="s">
        <v>1364</v>
      </c>
      <c r="B1317">
        <v>42</v>
      </c>
      <c r="C1317" t="s">
        <v>29</v>
      </c>
      <c r="D1317" t="s">
        <v>41</v>
      </c>
      <c r="E1317" t="s">
        <v>51</v>
      </c>
      <c r="F1317" t="s">
        <v>52</v>
      </c>
      <c r="G1317">
        <v>5968.16</v>
      </c>
      <c r="H1317">
        <v>5318.2</v>
      </c>
      <c r="I1317">
        <v>54616.88</v>
      </c>
      <c r="J1317" t="s">
        <v>37</v>
      </c>
      <c r="K1317" t="s">
        <v>38</v>
      </c>
      <c r="L1317">
        <v>0</v>
      </c>
      <c r="M1317">
        <v>0</v>
      </c>
      <c r="N1317">
        <v>0</v>
      </c>
      <c r="O1317">
        <v>0</v>
      </c>
      <c r="P1317">
        <v>0</v>
      </c>
      <c r="Q1317">
        <v>774</v>
      </c>
      <c r="R1317">
        <v>0.76</v>
      </c>
      <c r="S1317" t="s">
        <v>39</v>
      </c>
      <c r="T1317" s="1">
        <v>45836</v>
      </c>
      <c r="U1317">
        <v>0</v>
      </c>
    </row>
    <row r="1318" spans="1:21" x14ac:dyDescent="0.25">
      <c r="A1318" t="s">
        <v>1365</v>
      </c>
      <c r="B1318">
        <v>64</v>
      </c>
      <c r="C1318" t="s">
        <v>21</v>
      </c>
      <c r="D1318" t="s">
        <v>35</v>
      </c>
      <c r="E1318" t="s">
        <v>31</v>
      </c>
      <c r="F1318" t="s">
        <v>44</v>
      </c>
      <c r="G1318">
        <v>3506.87</v>
      </c>
      <c r="H1318">
        <v>1443.11</v>
      </c>
      <c r="I1318">
        <v>30789.21</v>
      </c>
      <c r="J1318" t="s">
        <v>25</v>
      </c>
      <c r="K1318" t="s">
        <v>26</v>
      </c>
      <c r="L1318">
        <v>191454.71</v>
      </c>
      <c r="M1318">
        <v>60</v>
      </c>
      <c r="N1318">
        <v>3710.26</v>
      </c>
      <c r="O1318">
        <v>6.1</v>
      </c>
      <c r="P1318">
        <v>1.06</v>
      </c>
      <c r="Q1318">
        <v>582</v>
      </c>
      <c r="R1318">
        <v>0.73</v>
      </c>
      <c r="S1318" t="s">
        <v>30</v>
      </c>
      <c r="T1318" s="1">
        <v>44730</v>
      </c>
      <c r="U1318">
        <v>1</v>
      </c>
    </row>
    <row r="1319" spans="1:21" x14ac:dyDescent="0.25">
      <c r="A1319" t="s">
        <v>1366</v>
      </c>
      <c r="B1319">
        <v>61</v>
      </c>
      <c r="C1319" t="s">
        <v>29</v>
      </c>
      <c r="D1319" t="s">
        <v>56</v>
      </c>
      <c r="E1319" t="s">
        <v>31</v>
      </c>
      <c r="F1319" t="s">
        <v>49</v>
      </c>
      <c r="G1319">
        <v>3999.92</v>
      </c>
      <c r="H1319">
        <v>3190.13</v>
      </c>
      <c r="I1319">
        <v>16839.38</v>
      </c>
      <c r="J1319" t="s">
        <v>37</v>
      </c>
      <c r="K1319" t="s">
        <v>38</v>
      </c>
      <c r="L1319">
        <v>0</v>
      </c>
      <c r="M1319">
        <v>0</v>
      </c>
      <c r="N1319">
        <v>0</v>
      </c>
      <c r="O1319">
        <v>0</v>
      </c>
      <c r="P1319">
        <v>0</v>
      </c>
      <c r="Q1319">
        <v>826</v>
      </c>
      <c r="R1319">
        <v>0.35</v>
      </c>
      <c r="S1319" t="s">
        <v>47</v>
      </c>
      <c r="T1319" s="1">
        <v>45657</v>
      </c>
      <c r="U1319">
        <v>0</v>
      </c>
    </row>
    <row r="1320" spans="1:21" x14ac:dyDescent="0.25">
      <c r="A1320" t="s">
        <v>1367</v>
      </c>
      <c r="B1320">
        <v>37</v>
      </c>
      <c r="C1320" t="s">
        <v>21</v>
      </c>
      <c r="D1320" t="s">
        <v>22</v>
      </c>
      <c r="E1320" t="s">
        <v>23</v>
      </c>
      <c r="F1320" t="s">
        <v>42</v>
      </c>
      <c r="G1320">
        <v>5110.0600000000004</v>
      </c>
      <c r="H1320">
        <v>2930.41</v>
      </c>
      <c r="I1320">
        <v>22672.400000000001</v>
      </c>
      <c r="J1320" t="s">
        <v>37</v>
      </c>
      <c r="K1320" t="s">
        <v>38</v>
      </c>
      <c r="L1320">
        <v>0</v>
      </c>
      <c r="M1320">
        <v>0</v>
      </c>
      <c r="N1320">
        <v>0</v>
      </c>
      <c r="O1320">
        <v>0</v>
      </c>
      <c r="P1320">
        <v>0</v>
      </c>
      <c r="Q1320">
        <v>308</v>
      </c>
      <c r="R1320">
        <v>0.37</v>
      </c>
      <c r="S1320" t="s">
        <v>72</v>
      </c>
      <c r="T1320" s="1">
        <v>45262</v>
      </c>
      <c r="U1320">
        <v>0</v>
      </c>
    </row>
    <row r="1321" spans="1:21" x14ac:dyDescent="0.25">
      <c r="A1321" t="s">
        <v>1368</v>
      </c>
      <c r="B1321">
        <v>43</v>
      </c>
      <c r="C1321" t="s">
        <v>21</v>
      </c>
      <c r="D1321" t="s">
        <v>35</v>
      </c>
      <c r="E1321" t="s">
        <v>23</v>
      </c>
      <c r="F1321" t="s">
        <v>24</v>
      </c>
      <c r="G1321">
        <v>3716.78</v>
      </c>
      <c r="H1321">
        <v>2109.44</v>
      </c>
      <c r="I1321">
        <v>28863.84</v>
      </c>
      <c r="J1321" t="s">
        <v>37</v>
      </c>
      <c r="K1321" t="s">
        <v>38</v>
      </c>
      <c r="L1321">
        <v>0</v>
      </c>
      <c r="M1321">
        <v>0</v>
      </c>
      <c r="N1321">
        <v>0</v>
      </c>
      <c r="O1321">
        <v>0</v>
      </c>
      <c r="P1321">
        <v>0</v>
      </c>
      <c r="Q1321">
        <v>721</v>
      </c>
      <c r="R1321">
        <v>0.65</v>
      </c>
      <c r="S1321" t="s">
        <v>72</v>
      </c>
      <c r="T1321" s="1">
        <v>45698</v>
      </c>
      <c r="U1321">
        <v>0</v>
      </c>
    </row>
    <row r="1322" spans="1:21" x14ac:dyDescent="0.25">
      <c r="A1322" t="s">
        <v>1369</v>
      </c>
      <c r="B1322">
        <v>26</v>
      </c>
      <c r="C1322" t="s">
        <v>29</v>
      </c>
      <c r="D1322" t="s">
        <v>35</v>
      </c>
      <c r="E1322" t="s">
        <v>51</v>
      </c>
      <c r="F1322" t="s">
        <v>23</v>
      </c>
      <c r="G1322">
        <v>6684.5</v>
      </c>
      <c r="H1322">
        <v>2049.33</v>
      </c>
      <c r="I1322">
        <v>66876.66</v>
      </c>
      <c r="J1322" t="s">
        <v>37</v>
      </c>
      <c r="K1322" t="s">
        <v>38</v>
      </c>
      <c r="L1322">
        <v>0</v>
      </c>
      <c r="M1322">
        <v>0</v>
      </c>
      <c r="N1322">
        <v>0</v>
      </c>
      <c r="O1322">
        <v>0</v>
      </c>
      <c r="P1322">
        <v>0</v>
      </c>
      <c r="Q1322">
        <v>750</v>
      </c>
      <c r="R1322">
        <v>0.83</v>
      </c>
      <c r="S1322" t="s">
        <v>27</v>
      </c>
      <c r="T1322" s="1">
        <v>45079</v>
      </c>
      <c r="U1322">
        <v>0</v>
      </c>
    </row>
    <row r="1323" spans="1:21" x14ac:dyDescent="0.25">
      <c r="A1323" t="s">
        <v>1370</v>
      </c>
      <c r="B1323">
        <v>69</v>
      </c>
      <c r="C1323" t="s">
        <v>29</v>
      </c>
      <c r="D1323" t="s">
        <v>30</v>
      </c>
      <c r="E1323" t="s">
        <v>49</v>
      </c>
      <c r="F1323" t="s">
        <v>49</v>
      </c>
      <c r="G1323">
        <v>3556.2</v>
      </c>
      <c r="H1323">
        <v>2506.4299999999998</v>
      </c>
      <c r="I1323">
        <v>15695.05</v>
      </c>
      <c r="J1323" t="s">
        <v>25</v>
      </c>
      <c r="K1323" t="s">
        <v>45</v>
      </c>
      <c r="L1323">
        <v>125647.67999999999</v>
      </c>
      <c r="M1323">
        <v>60</v>
      </c>
      <c r="N1323">
        <v>3368.87</v>
      </c>
      <c r="O1323">
        <v>20.57</v>
      </c>
      <c r="P1323">
        <v>0.95</v>
      </c>
      <c r="Q1323">
        <v>607</v>
      </c>
      <c r="R1323">
        <v>0.37</v>
      </c>
      <c r="S1323" t="s">
        <v>30</v>
      </c>
      <c r="T1323" s="1">
        <v>44728</v>
      </c>
      <c r="U1323">
        <v>1</v>
      </c>
    </row>
    <row r="1324" spans="1:21" x14ac:dyDescent="0.25">
      <c r="A1324" t="s">
        <v>1371</v>
      </c>
      <c r="B1324">
        <v>24</v>
      </c>
      <c r="C1324" t="s">
        <v>29</v>
      </c>
      <c r="D1324" t="s">
        <v>41</v>
      </c>
      <c r="E1324" t="s">
        <v>31</v>
      </c>
      <c r="F1324" t="s">
        <v>42</v>
      </c>
      <c r="G1324">
        <v>3384.58</v>
      </c>
      <c r="H1324">
        <v>1069.1300000000001</v>
      </c>
      <c r="I1324">
        <v>30017.15</v>
      </c>
      <c r="J1324" t="s">
        <v>37</v>
      </c>
      <c r="K1324" t="s">
        <v>38</v>
      </c>
      <c r="L1324">
        <v>0</v>
      </c>
      <c r="M1324">
        <v>0</v>
      </c>
      <c r="N1324">
        <v>0</v>
      </c>
      <c r="O1324">
        <v>0</v>
      </c>
      <c r="P1324">
        <v>0</v>
      </c>
      <c r="Q1324">
        <v>483</v>
      </c>
      <c r="R1324">
        <v>0.74</v>
      </c>
      <c r="S1324" t="s">
        <v>30</v>
      </c>
      <c r="T1324" s="1">
        <v>45783</v>
      </c>
      <c r="U1324">
        <v>0</v>
      </c>
    </row>
    <row r="1325" spans="1:21" x14ac:dyDescent="0.25">
      <c r="A1325" t="s">
        <v>1372</v>
      </c>
      <c r="B1325">
        <v>51</v>
      </c>
      <c r="C1325" t="s">
        <v>21</v>
      </c>
      <c r="D1325" t="s">
        <v>35</v>
      </c>
      <c r="E1325" t="s">
        <v>51</v>
      </c>
      <c r="F1325" t="s">
        <v>52</v>
      </c>
      <c r="G1325">
        <v>2770.39</v>
      </c>
      <c r="H1325">
        <v>1141.75</v>
      </c>
      <c r="I1325">
        <v>18199.25</v>
      </c>
      <c r="J1325" t="s">
        <v>37</v>
      </c>
      <c r="K1325" t="s">
        <v>38</v>
      </c>
      <c r="L1325">
        <v>0</v>
      </c>
      <c r="M1325">
        <v>0</v>
      </c>
      <c r="N1325">
        <v>0</v>
      </c>
      <c r="O1325">
        <v>0</v>
      </c>
      <c r="P1325">
        <v>0</v>
      </c>
      <c r="Q1325">
        <v>513</v>
      </c>
      <c r="R1325">
        <v>0.55000000000000004</v>
      </c>
      <c r="S1325" t="s">
        <v>30</v>
      </c>
      <c r="T1325" s="1">
        <v>45417</v>
      </c>
      <c r="U1325">
        <v>0</v>
      </c>
    </row>
    <row r="1326" spans="1:21" x14ac:dyDescent="0.25">
      <c r="A1326" t="s">
        <v>1373</v>
      </c>
      <c r="B1326">
        <v>41</v>
      </c>
      <c r="C1326" t="s">
        <v>29</v>
      </c>
      <c r="D1326" t="s">
        <v>30</v>
      </c>
      <c r="E1326" t="s">
        <v>23</v>
      </c>
      <c r="F1326" t="s">
        <v>52</v>
      </c>
      <c r="G1326">
        <v>500</v>
      </c>
      <c r="H1326">
        <v>392.14</v>
      </c>
      <c r="I1326">
        <v>3445.59</v>
      </c>
      <c r="J1326" t="s">
        <v>37</v>
      </c>
      <c r="K1326" t="s">
        <v>38</v>
      </c>
      <c r="L1326">
        <v>0</v>
      </c>
      <c r="M1326">
        <v>0</v>
      </c>
      <c r="N1326">
        <v>0</v>
      </c>
      <c r="O1326">
        <v>0</v>
      </c>
      <c r="P1326">
        <v>0</v>
      </c>
      <c r="Q1326">
        <v>609</v>
      </c>
      <c r="R1326">
        <v>0.56999999999999995</v>
      </c>
      <c r="S1326" t="s">
        <v>39</v>
      </c>
      <c r="T1326" s="1">
        <v>45581</v>
      </c>
      <c r="U1326">
        <v>0</v>
      </c>
    </row>
    <row r="1327" spans="1:21" x14ac:dyDescent="0.25">
      <c r="A1327" t="s">
        <v>1374</v>
      </c>
      <c r="B1327">
        <v>46</v>
      </c>
      <c r="C1327" t="s">
        <v>29</v>
      </c>
      <c r="D1327" t="s">
        <v>22</v>
      </c>
      <c r="E1327" t="s">
        <v>31</v>
      </c>
      <c r="F1327" t="s">
        <v>42</v>
      </c>
      <c r="G1327">
        <v>4530.99</v>
      </c>
      <c r="H1327">
        <v>1514.79</v>
      </c>
      <c r="I1327">
        <v>32898.53</v>
      </c>
      <c r="J1327" t="s">
        <v>37</v>
      </c>
      <c r="K1327" t="s">
        <v>38</v>
      </c>
      <c r="L1327">
        <v>0</v>
      </c>
      <c r="M1327">
        <v>0</v>
      </c>
      <c r="N1327">
        <v>0</v>
      </c>
      <c r="O1327">
        <v>0</v>
      </c>
      <c r="P1327">
        <v>0</v>
      </c>
      <c r="Q1327">
        <v>738</v>
      </c>
      <c r="R1327">
        <v>0.61</v>
      </c>
      <c r="S1327" t="s">
        <v>27</v>
      </c>
      <c r="T1327" s="1">
        <v>45498</v>
      </c>
      <c r="U1327">
        <v>0</v>
      </c>
    </row>
    <row r="1328" spans="1:21" x14ac:dyDescent="0.25">
      <c r="A1328" t="s">
        <v>1375</v>
      </c>
      <c r="B1328">
        <v>51</v>
      </c>
      <c r="C1328" t="s">
        <v>21</v>
      </c>
      <c r="D1328" t="s">
        <v>22</v>
      </c>
      <c r="E1328" t="s">
        <v>31</v>
      </c>
      <c r="F1328" t="s">
        <v>42</v>
      </c>
      <c r="G1328">
        <v>4729.7299999999996</v>
      </c>
      <c r="H1328">
        <v>2867.96</v>
      </c>
      <c r="I1328">
        <v>28015.51</v>
      </c>
      <c r="J1328" t="s">
        <v>37</v>
      </c>
      <c r="K1328" t="s">
        <v>38</v>
      </c>
      <c r="L1328">
        <v>0</v>
      </c>
      <c r="M1328">
        <v>0</v>
      </c>
      <c r="N1328">
        <v>0</v>
      </c>
      <c r="O1328">
        <v>0</v>
      </c>
      <c r="P1328">
        <v>0</v>
      </c>
      <c r="Q1328">
        <v>836</v>
      </c>
      <c r="R1328">
        <v>0.49</v>
      </c>
      <c r="S1328" t="s">
        <v>30</v>
      </c>
      <c r="T1328" s="1">
        <v>45400</v>
      </c>
      <c r="U1328">
        <v>0</v>
      </c>
    </row>
    <row r="1329" spans="1:21" x14ac:dyDescent="0.25">
      <c r="A1329" t="s">
        <v>1376</v>
      </c>
      <c r="B1329">
        <v>66</v>
      </c>
      <c r="C1329" t="s">
        <v>21</v>
      </c>
      <c r="D1329" t="s">
        <v>35</v>
      </c>
      <c r="E1329" t="s">
        <v>51</v>
      </c>
      <c r="F1329" t="s">
        <v>36</v>
      </c>
      <c r="G1329">
        <v>5424.98</v>
      </c>
      <c r="H1329">
        <v>1900.38</v>
      </c>
      <c r="I1329">
        <v>60031.57</v>
      </c>
      <c r="J1329" t="s">
        <v>37</v>
      </c>
      <c r="K1329" t="s">
        <v>38</v>
      </c>
      <c r="L1329">
        <v>0</v>
      </c>
      <c r="M1329">
        <v>0</v>
      </c>
      <c r="N1329">
        <v>0</v>
      </c>
      <c r="O1329">
        <v>0</v>
      </c>
      <c r="P1329">
        <v>0</v>
      </c>
      <c r="Q1329">
        <v>592</v>
      </c>
      <c r="R1329">
        <v>0.92</v>
      </c>
      <c r="S1329" t="s">
        <v>30</v>
      </c>
      <c r="T1329" s="1">
        <v>45628</v>
      </c>
      <c r="U1329">
        <v>0</v>
      </c>
    </row>
    <row r="1330" spans="1:21" x14ac:dyDescent="0.25">
      <c r="A1330" t="s">
        <v>1377</v>
      </c>
      <c r="B1330">
        <v>36</v>
      </c>
      <c r="C1330" t="s">
        <v>29</v>
      </c>
      <c r="D1330" t="s">
        <v>41</v>
      </c>
      <c r="E1330" t="s">
        <v>51</v>
      </c>
      <c r="F1330" t="s">
        <v>23</v>
      </c>
      <c r="G1330">
        <v>2312.12</v>
      </c>
      <c r="H1330">
        <v>768.5</v>
      </c>
      <c r="I1330">
        <v>26686.98</v>
      </c>
      <c r="J1330" t="s">
        <v>37</v>
      </c>
      <c r="K1330" t="s">
        <v>38</v>
      </c>
      <c r="L1330">
        <v>0</v>
      </c>
      <c r="M1330">
        <v>0</v>
      </c>
      <c r="N1330">
        <v>0</v>
      </c>
      <c r="O1330">
        <v>0</v>
      </c>
      <c r="P1330">
        <v>0</v>
      </c>
      <c r="Q1330">
        <v>387</v>
      </c>
      <c r="R1330">
        <v>0.96</v>
      </c>
      <c r="S1330" t="s">
        <v>39</v>
      </c>
      <c r="T1330" s="1">
        <v>45013</v>
      </c>
      <c r="U1330">
        <v>0</v>
      </c>
    </row>
    <row r="1331" spans="1:21" x14ac:dyDescent="0.25">
      <c r="A1331" t="s">
        <v>1378</v>
      </c>
      <c r="B1331">
        <v>34</v>
      </c>
      <c r="C1331" t="s">
        <v>30</v>
      </c>
      <c r="D1331" t="s">
        <v>22</v>
      </c>
      <c r="E1331" t="s">
        <v>51</v>
      </c>
      <c r="F1331" t="s">
        <v>32</v>
      </c>
      <c r="G1331">
        <v>2948.7</v>
      </c>
      <c r="H1331">
        <v>2218.44</v>
      </c>
      <c r="I1331">
        <v>16003.59</v>
      </c>
      <c r="J1331" t="s">
        <v>37</v>
      </c>
      <c r="K1331" t="s">
        <v>38</v>
      </c>
      <c r="L1331">
        <v>0</v>
      </c>
      <c r="M1331">
        <v>0</v>
      </c>
      <c r="N1331">
        <v>0</v>
      </c>
      <c r="O1331">
        <v>0</v>
      </c>
      <c r="P1331">
        <v>0</v>
      </c>
      <c r="Q1331">
        <v>674</v>
      </c>
      <c r="R1331">
        <v>0.45</v>
      </c>
      <c r="S1331" t="s">
        <v>39</v>
      </c>
      <c r="T1331" s="1">
        <v>45515</v>
      </c>
      <c r="U1331">
        <v>0</v>
      </c>
    </row>
    <row r="1332" spans="1:21" x14ac:dyDescent="0.25">
      <c r="A1332" t="s">
        <v>1379</v>
      </c>
      <c r="B1332">
        <v>41</v>
      </c>
      <c r="C1332" t="s">
        <v>21</v>
      </c>
      <c r="D1332" t="s">
        <v>22</v>
      </c>
      <c r="E1332" t="s">
        <v>31</v>
      </c>
      <c r="F1332" t="s">
        <v>42</v>
      </c>
      <c r="G1332">
        <v>859.26</v>
      </c>
      <c r="H1332">
        <v>265.51</v>
      </c>
      <c r="I1332">
        <v>3913.91</v>
      </c>
      <c r="J1332" t="s">
        <v>37</v>
      </c>
      <c r="K1332" t="s">
        <v>38</v>
      </c>
      <c r="L1332">
        <v>0</v>
      </c>
      <c r="M1332">
        <v>0</v>
      </c>
      <c r="N1332">
        <v>0</v>
      </c>
      <c r="O1332">
        <v>0</v>
      </c>
      <c r="P1332">
        <v>0</v>
      </c>
      <c r="Q1332">
        <v>522</v>
      </c>
      <c r="R1332">
        <v>0.38</v>
      </c>
      <c r="S1332" t="s">
        <v>39</v>
      </c>
      <c r="T1332" s="1">
        <v>45344</v>
      </c>
      <c r="U1332">
        <v>0</v>
      </c>
    </row>
    <row r="1333" spans="1:21" x14ac:dyDescent="0.25">
      <c r="A1333" t="s">
        <v>1380</v>
      </c>
      <c r="B1333">
        <v>45</v>
      </c>
      <c r="C1333" t="s">
        <v>29</v>
      </c>
      <c r="D1333" t="s">
        <v>41</v>
      </c>
      <c r="E1333" t="s">
        <v>49</v>
      </c>
      <c r="F1333" t="s">
        <v>63</v>
      </c>
      <c r="G1333">
        <v>2439.2399999999998</v>
      </c>
      <c r="H1333">
        <v>1411.39</v>
      </c>
      <c r="I1333">
        <v>15801.92</v>
      </c>
      <c r="J1333" t="s">
        <v>37</v>
      </c>
      <c r="K1333" t="s">
        <v>38</v>
      </c>
      <c r="L1333">
        <v>0</v>
      </c>
      <c r="M1333">
        <v>0</v>
      </c>
      <c r="N1333">
        <v>0</v>
      </c>
      <c r="O1333">
        <v>0</v>
      </c>
      <c r="P1333">
        <v>0</v>
      </c>
      <c r="Q1333">
        <v>352</v>
      </c>
      <c r="R1333">
        <v>0.54</v>
      </c>
      <c r="S1333" t="s">
        <v>47</v>
      </c>
      <c r="T1333" s="1">
        <v>44514</v>
      </c>
      <c r="U1333">
        <v>0</v>
      </c>
    </row>
    <row r="1334" spans="1:21" x14ac:dyDescent="0.25">
      <c r="A1334" t="s">
        <v>1381</v>
      </c>
      <c r="B1334">
        <v>36</v>
      </c>
      <c r="C1334" t="s">
        <v>21</v>
      </c>
      <c r="D1334" t="s">
        <v>35</v>
      </c>
      <c r="E1334" t="s">
        <v>23</v>
      </c>
      <c r="F1334" t="s">
        <v>24</v>
      </c>
      <c r="G1334">
        <v>3791.99</v>
      </c>
      <c r="H1334">
        <v>1552.36</v>
      </c>
      <c r="I1334">
        <v>17991.72</v>
      </c>
      <c r="J1334" t="s">
        <v>25</v>
      </c>
      <c r="K1334" t="s">
        <v>45</v>
      </c>
      <c r="L1334">
        <v>214105.53</v>
      </c>
      <c r="M1334">
        <v>300</v>
      </c>
      <c r="N1334">
        <v>2356.9</v>
      </c>
      <c r="O1334">
        <v>12.64</v>
      </c>
      <c r="P1334">
        <v>0.62</v>
      </c>
      <c r="Q1334">
        <v>654</v>
      </c>
      <c r="R1334">
        <v>0.4</v>
      </c>
      <c r="S1334" t="s">
        <v>39</v>
      </c>
      <c r="T1334" s="1">
        <v>44627</v>
      </c>
      <c r="U1334">
        <v>1</v>
      </c>
    </row>
    <row r="1335" spans="1:21" x14ac:dyDescent="0.25">
      <c r="A1335" t="s">
        <v>1382</v>
      </c>
      <c r="B1335">
        <v>44</v>
      </c>
      <c r="C1335" t="s">
        <v>21</v>
      </c>
      <c r="D1335" t="s">
        <v>41</v>
      </c>
      <c r="E1335" t="s">
        <v>31</v>
      </c>
      <c r="F1335" t="s">
        <v>44</v>
      </c>
      <c r="G1335">
        <v>2112.89</v>
      </c>
      <c r="H1335">
        <v>1258.74</v>
      </c>
      <c r="I1335">
        <v>20729.27</v>
      </c>
      <c r="J1335" t="s">
        <v>37</v>
      </c>
      <c r="K1335" t="s">
        <v>38</v>
      </c>
      <c r="L1335">
        <v>0</v>
      </c>
      <c r="M1335">
        <v>0</v>
      </c>
      <c r="N1335">
        <v>0</v>
      </c>
      <c r="O1335">
        <v>0</v>
      </c>
      <c r="P1335">
        <v>0</v>
      </c>
      <c r="Q1335">
        <v>434</v>
      </c>
      <c r="R1335">
        <v>0.82</v>
      </c>
      <c r="S1335" t="s">
        <v>27</v>
      </c>
      <c r="T1335" s="1">
        <v>44990</v>
      </c>
      <c r="U1335">
        <v>0</v>
      </c>
    </row>
    <row r="1336" spans="1:21" x14ac:dyDescent="0.25">
      <c r="A1336" t="s">
        <v>1383</v>
      </c>
      <c r="B1336">
        <v>62</v>
      </c>
      <c r="C1336" t="s">
        <v>29</v>
      </c>
      <c r="D1336" t="s">
        <v>22</v>
      </c>
      <c r="E1336" t="s">
        <v>51</v>
      </c>
      <c r="F1336" t="s">
        <v>36</v>
      </c>
      <c r="G1336">
        <v>2151.8000000000002</v>
      </c>
      <c r="H1336">
        <v>1587.44</v>
      </c>
      <c r="I1336">
        <v>5026.37</v>
      </c>
      <c r="J1336" t="s">
        <v>37</v>
      </c>
      <c r="K1336" t="s">
        <v>38</v>
      </c>
      <c r="L1336">
        <v>0</v>
      </c>
      <c r="M1336">
        <v>0</v>
      </c>
      <c r="N1336">
        <v>0</v>
      </c>
      <c r="O1336">
        <v>0</v>
      </c>
      <c r="P1336">
        <v>0</v>
      </c>
      <c r="Q1336">
        <v>844</v>
      </c>
      <c r="R1336">
        <v>0.19</v>
      </c>
      <c r="S1336" t="s">
        <v>39</v>
      </c>
      <c r="T1336" s="1">
        <v>44439</v>
      </c>
      <c r="U1336">
        <v>0</v>
      </c>
    </row>
    <row r="1337" spans="1:21" x14ac:dyDescent="0.25">
      <c r="A1337" t="s">
        <v>1384</v>
      </c>
      <c r="B1337">
        <v>26</v>
      </c>
      <c r="C1337" t="s">
        <v>29</v>
      </c>
      <c r="D1337" t="s">
        <v>41</v>
      </c>
      <c r="E1337" t="s">
        <v>31</v>
      </c>
      <c r="F1337" t="s">
        <v>42</v>
      </c>
      <c r="G1337">
        <v>1638.49</v>
      </c>
      <c r="H1337">
        <v>1256.08</v>
      </c>
      <c r="I1337">
        <v>4080.63</v>
      </c>
      <c r="J1337" t="s">
        <v>37</v>
      </c>
      <c r="K1337" t="s">
        <v>38</v>
      </c>
      <c r="L1337">
        <v>0</v>
      </c>
      <c r="M1337">
        <v>0</v>
      </c>
      <c r="N1337">
        <v>0</v>
      </c>
      <c r="O1337">
        <v>0</v>
      </c>
      <c r="P1337">
        <v>0</v>
      </c>
      <c r="Q1337">
        <v>665</v>
      </c>
      <c r="R1337">
        <v>0.21</v>
      </c>
      <c r="S1337" t="s">
        <v>47</v>
      </c>
      <c r="T1337" s="1">
        <v>44880</v>
      </c>
      <c r="U1337">
        <v>0</v>
      </c>
    </row>
    <row r="1338" spans="1:21" x14ac:dyDescent="0.25">
      <c r="A1338" t="s">
        <v>1385</v>
      </c>
      <c r="B1338">
        <v>53</v>
      </c>
      <c r="C1338" t="s">
        <v>21</v>
      </c>
      <c r="D1338" t="s">
        <v>41</v>
      </c>
      <c r="E1338" t="s">
        <v>31</v>
      </c>
      <c r="F1338" t="s">
        <v>42</v>
      </c>
      <c r="G1338">
        <v>6535.59</v>
      </c>
      <c r="H1338">
        <v>2474.17</v>
      </c>
      <c r="I1338">
        <v>18024.52</v>
      </c>
      <c r="J1338" t="s">
        <v>37</v>
      </c>
      <c r="K1338" t="s">
        <v>38</v>
      </c>
      <c r="L1338">
        <v>0</v>
      </c>
      <c r="M1338">
        <v>0</v>
      </c>
      <c r="N1338">
        <v>0</v>
      </c>
      <c r="O1338">
        <v>0</v>
      </c>
      <c r="P1338">
        <v>0</v>
      </c>
      <c r="Q1338">
        <v>761</v>
      </c>
      <c r="R1338">
        <v>0.23</v>
      </c>
      <c r="S1338" t="s">
        <v>72</v>
      </c>
      <c r="T1338" s="1">
        <v>44769</v>
      </c>
      <c r="U1338">
        <v>0</v>
      </c>
    </row>
    <row r="1339" spans="1:21" x14ac:dyDescent="0.25">
      <c r="A1339" t="s">
        <v>1386</v>
      </c>
      <c r="B1339">
        <v>66</v>
      </c>
      <c r="C1339" t="s">
        <v>21</v>
      </c>
      <c r="D1339" t="s">
        <v>22</v>
      </c>
      <c r="E1339" t="s">
        <v>31</v>
      </c>
      <c r="F1339" t="s">
        <v>52</v>
      </c>
      <c r="G1339">
        <v>7002.23</v>
      </c>
      <c r="H1339">
        <v>2648.22</v>
      </c>
      <c r="I1339">
        <v>52469.21</v>
      </c>
      <c r="J1339" t="s">
        <v>25</v>
      </c>
      <c r="K1339" t="s">
        <v>45</v>
      </c>
      <c r="L1339">
        <v>395346.02</v>
      </c>
      <c r="M1339">
        <v>360</v>
      </c>
      <c r="N1339">
        <v>5636.35</v>
      </c>
      <c r="O1339">
        <v>17</v>
      </c>
      <c r="P1339">
        <v>0.8</v>
      </c>
      <c r="Q1339">
        <v>797</v>
      </c>
      <c r="R1339">
        <v>0.62</v>
      </c>
      <c r="S1339" t="s">
        <v>30</v>
      </c>
      <c r="T1339" s="1">
        <v>45300</v>
      </c>
      <c r="U1339">
        <v>1</v>
      </c>
    </row>
    <row r="1340" spans="1:21" x14ac:dyDescent="0.25">
      <c r="A1340" t="s">
        <v>1387</v>
      </c>
      <c r="B1340">
        <v>19</v>
      </c>
      <c r="C1340" t="s">
        <v>21</v>
      </c>
      <c r="D1340" t="s">
        <v>41</v>
      </c>
      <c r="E1340" t="s">
        <v>31</v>
      </c>
      <c r="F1340" t="s">
        <v>23</v>
      </c>
      <c r="G1340">
        <v>5540.32</v>
      </c>
      <c r="H1340">
        <v>3513.88</v>
      </c>
      <c r="I1340">
        <v>13830.87</v>
      </c>
      <c r="J1340" t="s">
        <v>37</v>
      </c>
      <c r="K1340" t="s">
        <v>38</v>
      </c>
      <c r="L1340">
        <v>0</v>
      </c>
      <c r="M1340">
        <v>0</v>
      </c>
      <c r="N1340">
        <v>0</v>
      </c>
      <c r="O1340">
        <v>0</v>
      </c>
      <c r="P1340">
        <v>0</v>
      </c>
      <c r="Q1340">
        <v>378</v>
      </c>
      <c r="R1340">
        <v>0.21</v>
      </c>
      <c r="S1340" t="s">
        <v>47</v>
      </c>
      <c r="T1340" s="1">
        <v>44555</v>
      </c>
      <c r="U1340">
        <v>0</v>
      </c>
    </row>
    <row r="1341" spans="1:21" x14ac:dyDescent="0.25">
      <c r="A1341" t="s">
        <v>1388</v>
      </c>
      <c r="B1341">
        <v>33</v>
      </c>
      <c r="C1341" t="s">
        <v>29</v>
      </c>
      <c r="D1341" t="s">
        <v>41</v>
      </c>
      <c r="E1341" t="s">
        <v>31</v>
      </c>
      <c r="F1341" t="s">
        <v>49</v>
      </c>
      <c r="G1341">
        <v>4408.8900000000003</v>
      </c>
      <c r="H1341">
        <v>1786.27</v>
      </c>
      <c r="I1341">
        <v>47087.69</v>
      </c>
      <c r="J1341" t="s">
        <v>37</v>
      </c>
      <c r="K1341" t="s">
        <v>38</v>
      </c>
      <c r="L1341">
        <v>0</v>
      </c>
      <c r="M1341">
        <v>0</v>
      </c>
      <c r="N1341">
        <v>0</v>
      </c>
      <c r="O1341">
        <v>0</v>
      </c>
      <c r="P1341">
        <v>0</v>
      </c>
      <c r="Q1341">
        <v>727</v>
      </c>
      <c r="R1341">
        <v>0.89</v>
      </c>
      <c r="S1341" t="s">
        <v>47</v>
      </c>
      <c r="T1341" s="1">
        <v>45701</v>
      </c>
      <c r="U1341">
        <v>0</v>
      </c>
    </row>
    <row r="1342" spans="1:21" x14ac:dyDescent="0.25">
      <c r="A1342" t="s">
        <v>1389</v>
      </c>
      <c r="B1342">
        <v>18</v>
      </c>
      <c r="C1342" t="s">
        <v>29</v>
      </c>
      <c r="D1342" t="s">
        <v>41</v>
      </c>
      <c r="E1342" t="s">
        <v>31</v>
      </c>
      <c r="F1342" t="s">
        <v>36</v>
      </c>
      <c r="G1342">
        <v>3880.57</v>
      </c>
      <c r="H1342">
        <v>1318.51</v>
      </c>
      <c r="I1342">
        <v>19554.8</v>
      </c>
      <c r="J1342" t="s">
        <v>37</v>
      </c>
      <c r="K1342" t="s">
        <v>38</v>
      </c>
      <c r="L1342">
        <v>0</v>
      </c>
      <c r="M1342">
        <v>0</v>
      </c>
      <c r="N1342">
        <v>0</v>
      </c>
      <c r="O1342">
        <v>0</v>
      </c>
      <c r="P1342">
        <v>0</v>
      </c>
      <c r="Q1342">
        <v>709</v>
      </c>
      <c r="R1342">
        <v>0.42</v>
      </c>
      <c r="S1342" t="s">
        <v>27</v>
      </c>
      <c r="T1342" s="1">
        <v>44842</v>
      </c>
      <c r="U1342">
        <v>0</v>
      </c>
    </row>
    <row r="1343" spans="1:21" x14ac:dyDescent="0.25">
      <c r="A1343" t="s">
        <v>1390</v>
      </c>
      <c r="B1343">
        <v>68</v>
      </c>
      <c r="C1343" t="s">
        <v>29</v>
      </c>
      <c r="D1343" t="s">
        <v>41</v>
      </c>
      <c r="E1343" t="s">
        <v>31</v>
      </c>
      <c r="F1343" t="s">
        <v>63</v>
      </c>
      <c r="G1343">
        <v>3108.26</v>
      </c>
      <c r="H1343">
        <v>2184.0300000000002</v>
      </c>
      <c r="I1343">
        <v>23390.97</v>
      </c>
      <c r="J1343" t="s">
        <v>37</v>
      </c>
      <c r="K1343" t="s">
        <v>38</v>
      </c>
      <c r="L1343">
        <v>0</v>
      </c>
      <c r="M1343">
        <v>0</v>
      </c>
      <c r="N1343">
        <v>0</v>
      </c>
      <c r="O1343">
        <v>0</v>
      </c>
      <c r="P1343">
        <v>0</v>
      </c>
      <c r="Q1343">
        <v>417</v>
      </c>
      <c r="R1343">
        <v>0.63</v>
      </c>
      <c r="S1343" t="s">
        <v>30</v>
      </c>
      <c r="T1343" s="1">
        <v>45850</v>
      </c>
      <c r="U1343">
        <v>0</v>
      </c>
    </row>
    <row r="1344" spans="1:21" x14ac:dyDescent="0.25">
      <c r="A1344" t="s">
        <v>1391</v>
      </c>
      <c r="B1344">
        <v>69</v>
      </c>
      <c r="C1344" t="s">
        <v>29</v>
      </c>
      <c r="D1344" t="s">
        <v>35</v>
      </c>
      <c r="E1344" t="s">
        <v>23</v>
      </c>
      <c r="F1344" t="s">
        <v>63</v>
      </c>
      <c r="G1344">
        <v>3845.48</v>
      </c>
      <c r="H1344">
        <v>2966.52</v>
      </c>
      <c r="I1344">
        <v>40299.93</v>
      </c>
      <c r="J1344" t="s">
        <v>25</v>
      </c>
      <c r="K1344" t="s">
        <v>26</v>
      </c>
      <c r="L1344">
        <v>222913.24</v>
      </c>
      <c r="M1344">
        <v>300</v>
      </c>
      <c r="N1344">
        <v>3048.4</v>
      </c>
      <c r="O1344">
        <v>16.11</v>
      </c>
      <c r="P1344">
        <v>0.79</v>
      </c>
      <c r="Q1344">
        <v>580</v>
      </c>
      <c r="R1344">
        <v>0.87</v>
      </c>
      <c r="S1344" t="s">
        <v>39</v>
      </c>
      <c r="T1344" s="1">
        <v>44496</v>
      </c>
      <c r="U1344">
        <v>1</v>
      </c>
    </row>
    <row r="1345" spans="1:21" x14ac:dyDescent="0.25">
      <c r="A1345" t="s">
        <v>1392</v>
      </c>
      <c r="B1345">
        <v>45</v>
      </c>
      <c r="C1345" t="s">
        <v>21</v>
      </c>
      <c r="D1345" t="s">
        <v>41</v>
      </c>
      <c r="E1345" t="s">
        <v>51</v>
      </c>
      <c r="F1345" t="s">
        <v>32</v>
      </c>
      <c r="G1345">
        <v>3919.52</v>
      </c>
      <c r="H1345">
        <v>1861.35</v>
      </c>
      <c r="I1345">
        <v>45063.69</v>
      </c>
      <c r="J1345" t="s">
        <v>25</v>
      </c>
      <c r="K1345" t="s">
        <v>45</v>
      </c>
      <c r="L1345">
        <v>380457.58</v>
      </c>
      <c r="M1345">
        <v>180</v>
      </c>
      <c r="N1345">
        <v>4212.6499999999996</v>
      </c>
      <c r="O1345">
        <v>10.53</v>
      </c>
      <c r="P1345">
        <v>1.07</v>
      </c>
      <c r="Q1345">
        <v>845</v>
      </c>
      <c r="R1345">
        <v>0.96</v>
      </c>
      <c r="S1345" t="s">
        <v>27</v>
      </c>
      <c r="T1345" s="1">
        <v>44548</v>
      </c>
      <c r="U1345">
        <v>1</v>
      </c>
    </row>
    <row r="1346" spans="1:21" x14ac:dyDescent="0.25">
      <c r="A1346" t="s">
        <v>1393</v>
      </c>
      <c r="B1346">
        <v>37</v>
      </c>
      <c r="C1346" t="s">
        <v>21</v>
      </c>
      <c r="D1346" t="s">
        <v>30</v>
      </c>
      <c r="E1346" t="s">
        <v>31</v>
      </c>
      <c r="F1346" t="s">
        <v>52</v>
      </c>
      <c r="G1346">
        <v>4770.71</v>
      </c>
      <c r="H1346">
        <v>3137.71</v>
      </c>
      <c r="I1346">
        <v>20396.95</v>
      </c>
      <c r="J1346" t="s">
        <v>37</v>
      </c>
      <c r="K1346" t="s">
        <v>38</v>
      </c>
      <c r="L1346">
        <v>0</v>
      </c>
      <c r="M1346">
        <v>0</v>
      </c>
      <c r="N1346">
        <v>0</v>
      </c>
      <c r="O1346">
        <v>0</v>
      </c>
      <c r="P1346">
        <v>0</v>
      </c>
      <c r="Q1346">
        <v>649</v>
      </c>
      <c r="R1346">
        <v>0.36</v>
      </c>
      <c r="S1346" t="s">
        <v>27</v>
      </c>
      <c r="T1346" s="1">
        <v>44545</v>
      </c>
      <c r="U1346">
        <v>0</v>
      </c>
    </row>
    <row r="1347" spans="1:21" x14ac:dyDescent="0.25">
      <c r="A1347" t="s">
        <v>1394</v>
      </c>
      <c r="B1347">
        <v>32</v>
      </c>
      <c r="C1347" t="s">
        <v>21</v>
      </c>
      <c r="D1347" t="s">
        <v>35</v>
      </c>
      <c r="E1347" t="s">
        <v>31</v>
      </c>
      <c r="F1347" t="s">
        <v>32</v>
      </c>
      <c r="G1347">
        <v>6346.02</v>
      </c>
      <c r="H1347">
        <v>4089.47</v>
      </c>
      <c r="I1347">
        <v>61449.7</v>
      </c>
      <c r="J1347" t="s">
        <v>25</v>
      </c>
      <c r="K1347" t="s">
        <v>54</v>
      </c>
      <c r="L1347">
        <v>316717.83</v>
      </c>
      <c r="M1347">
        <v>180</v>
      </c>
      <c r="N1347">
        <v>3442.32</v>
      </c>
      <c r="O1347">
        <v>10.199999999999999</v>
      </c>
      <c r="P1347">
        <v>0.54</v>
      </c>
      <c r="Q1347">
        <v>427</v>
      </c>
      <c r="R1347">
        <v>0.81</v>
      </c>
      <c r="S1347" t="s">
        <v>30</v>
      </c>
      <c r="T1347" s="1">
        <v>44567</v>
      </c>
      <c r="U1347">
        <v>1</v>
      </c>
    </row>
    <row r="1348" spans="1:21" x14ac:dyDescent="0.25">
      <c r="A1348" t="s">
        <v>1395</v>
      </c>
      <c r="B1348">
        <v>41</v>
      </c>
      <c r="C1348" t="s">
        <v>29</v>
      </c>
      <c r="D1348" t="s">
        <v>30</v>
      </c>
      <c r="E1348" t="s">
        <v>49</v>
      </c>
      <c r="F1348" t="s">
        <v>36</v>
      </c>
      <c r="G1348">
        <v>5387.88</v>
      </c>
      <c r="H1348">
        <v>1977.98</v>
      </c>
      <c r="I1348">
        <v>21454.23</v>
      </c>
      <c r="J1348" t="s">
        <v>25</v>
      </c>
      <c r="K1348" t="s">
        <v>33</v>
      </c>
      <c r="L1348">
        <v>199817.8</v>
      </c>
      <c r="M1348">
        <v>180</v>
      </c>
      <c r="N1348">
        <v>3327.76</v>
      </c>
      <c r="O1348">
        <v>18.760000000000002</v>
      </c>
      <c r="P1348">
        <v>0.62</v>
      </c>
      <c r="Q1348">
        <v>436</v>
      </c>
      <c r="R1348">
        <v>0.33</v>
      </c>
      <c r="S1348" t="s">
        <v>39</v>
      </c>
      <c r="T1348" s="1">
        <v>45341</v>
      </c>
      <c r="U1348">
        <v>1</v>
      </c>
    </row>
    <row r="1349" spans="1:21" x14ac:dyDescent="0.25">
      <c r="A1349" t="s">
        <v>1396</v>
      </c>
      <c r="B1349">
        <v>44</v>
      </c>
      <c r="C1349" t="s">
        <v>21</v>
      </c>
      <c r="D1349" t="s">
        <v>41</v>
      </c>
      <c r="E1349" t="s">
        <v>51</v>
      </c>
      <c r="F1349" t="s">
        <v>63</v>
      </c>
      <c r="G1349">
        <v>6680.61</v>
      </c>
      <c r="H1349">
        <v>2781.96</v>
      </c>
      <c r="I1349">
        <v>18995.259999999998</v>
      </c>
      <c r="J1349" t="s">
        <v>25</v>
      </c>
      <c r="K1349" t="s">
        <v>45</v>
      </c>
      <c r="L1349">
        <v>330172.62</v>
      </c>
      <c r="M1349">
        <v>36</v>
      </c>
      <c r="N1349">
        <v>12096.14</v>
      </c>
      <c r="O1349">
        <v>18.96</v>
      </c>
      <c r="P1349">
        <v>1.81</v>
      </c>
      <c r="Q1349">
        <v>376</v>
      </c>
      <c r="R1349">
        <v>0.24</v>
      </c>
      <c r="S1349" t="s">
        <v>72</v>
      </c>
      <c r="T1349" s="1">
        <v>44919</v>
      </c>
      <c r="U1349">
        <v>1</v>
      </c>
    </row>
    <row r="1350" spans="1:21" x14ac:dyDescent="0.25">
      <c r="A1350" t="s">
        <v>1397</v>
      </c>
      <c r="B1350">
        <v>26</v>
      </c>
      <c r="C1350" t="s">
        <v>29</v>
      </c>
      <c r="D1350" t="s">
        <v>30</v>
      </c>
      <c r="E1350" t="s">
        <v>31</v>
      </c>
      <c r="F1350" t="s">
        <v>52</v>
      </c>
      <c r="G1350">
        <v>6038.9</v>
      </c>
      <c r="H1350">
        <v>5090.71</v>
      </c>
      <c r="I1350">
        <v>38761.32</v>
      </c>
      <c r="J1350" t="s">
        <v>37</v>
      </c>
      <c r="K1350" t="s">
        <v>38</v>
      </c>
      <c r="L1350">
        <v>0</v>
      </c>
      <c r="M1350">
        <v>0</v>
      </c>
      <c r="N1350">
        <v>0</v>
      </c>
      <c r="O1350">
        <v>0</v>
      </c>
      <c r="P1350">
        <v>0</v>
      </c>
      <c r="Q1350">
        <v>436</v>
      </c>
      <c r="R1350">
        <v>0.53</v>
      </c>
      <c r="S1350" t="s">
        <v>72</v>
      </c>
      <c r="T1350" s="1">
        <v>45128</v>
      </c>
      <c r="U1350">
        <v>0</v>
      </c>
    </row>
    <row r="1351" spans="1:21" x14ac:dyDescent="0.25">
      <c r="A1351" t="s">
        <v>1398</v>
      </c>
      <c r="B1351">
        <v>66</v>
      </c>
      <c r="C1351" t="s">
        <v>30</v>
      </c>
      <c r="D1351" t="s">
        <v>35</v>
      </c>
      <c r="E1351" t="s">
        <v>51</v>
      </c>
      <c r="F1351" t="s">
        <v>24</v>
      </c>
      <c r="G1351">
        <v>7013.44</v>
      </c>
      <c r="H1351">
        <v>3904.75</v>
      </c>
      <c r="I1351">
        <v>33022.92</v>
      </c>
      <c r="J1351" t="s">
        <v>25</v>
      </c>
      <c r="K1351" t="s">
        <v>45</v>
      </c>
      <c r="L1351">
        <v>250993.71</v>
      </c>
      <c r="M1351">
        <v>240</v>
      </c>
      <c r="N1351">
        <v>2865.81</v>
      </c>
      <c r="O1351">
        <v>12.58</v>
      </c>
      <c r="P1351">
        <v>0.41</v>
      </c>
      <c r="Q1351">
        <v>703</v>
      </c>
      <c r="R1351">
        <v>0.39</v>
      </c>
      <c r="S1351" t="s">
        <v>39</v>
      </c>
      <c r="T1351" s="1">
        <v>45067</v>
      </c>
      <c r="U1351">
        <v>1</v>
      </c>
    </row>
    <row r="1352" spans="1:21" x14ac:dyDescent="0.25">
      <c r="A1352" t="s">
        <v>1399</v>
      </c>
      <c r="B1352">
        <v>66</v>
      </c>
      <c r="C1352" t="s">
        <v>29</v>
      </c>
      <c r="D1352" t="s">
        <v>41</v>
      </c>
      <c r="E1352" t="s">
        <v>51</v>
      </c>
      <c r="F1352" t="s">
        <v>42</v>
      </c>
      <c r="G1352">
        <v>4975.54</v>
      </c>
      <c r="H1352">
        <v>2171.3200000000002</v>
      </c>
      <c r="I1352">
        <v>47474.77</v>
      </c>
      <c r="J1352" t="s">
        <v>25</v>
      </c>
      <c r="K1352" t="s">
        <v>45</v>
      </c>
      <c r="L1352">
        <v>171187.15</v>
      </c>
      <c r="M1352">
        <v>300</v>
      </c>
      <c r="N1352">
        <v>2699.21</v>
      </c>
      <c r="O1352">
        <v>18.739999999999998</v>
      </c>
      <c r="P1352">
        <v>0.54</v>
      </c>
      <c r="Q1352">
        <v>634</v>
      </c>
      <c r="R1352">
        <v>0.8</v>
      </c>
      <c r="S1352" t="s">
        <v>72</v>
      </c>
      <c r="T1352" s="1">
        <v>44825</v>
      </c>
      <c r="U1352">
        <v>1</v>
      </c>
    </row>
    <row r="1353" spans="1:21" x14ac:dyDescent="0.25">
      <c r="A1353" t="s">
        <v>1400</v>
      </c>
      <c r="B1353">
        <v>66</v>
      </c>
      <c r="C1353" t="s">
        <v>29</v>
      </c>
      <c r="D1353" t="s">
        <v>35</v>
      </c>
      <c r="E1353" t="s">
        <v>31</v>
      </c>
      <c r="F1353" t="s">
        <v>49</v>
      </c>
      <c r="G1353">
        <v>5148.49</v>
      </c>
      <c r="H1353">
        <v>4537.9799999999996</v>
      </c>
      <c r="I1353">
        <v>50421.64</v>
      </c>
      <c r="J1353" t="s">
        <v>25</v>
      </c>
      <c r="K1353" t="s">
        <v>54</v>
      </c>
      <c r="L1353">
        <v>309057.08</v>
      </c>
      <c r="M1353">
        <v>360</v>
      </c>
      <c r="N1353">
        <v>7197.69</v>
      </c>
      <c r="O1353">
        <v>27.94</v>
      </c>
      <c r="P1353">
        <v>1.4</v>
      </c>
      <c r="Q1353">
        <v>309</v>
      </c>
      <c r="R1353">
        <v>0.82</v>
      </c>
      <c r="S1353" t="s">
        <v>72</v>
      </c>
      <c r="T1353" s="1">
        <v>45256</v>
      </c>
      <c r="U1353">
        <v>1</v>
      </c>
    </row>
    <row r="1354" spans="1:21" x14ac:dyDescent="0.25">
      <c r="A1354" t="s">
        <v>1401</v>
      </c>
      <c r="B1354">
        <v>66</v>
      </c>
      <c r="C1354" t="s">
        <v>29</v>
      </c>
      <c r="D1354" t="s">
        <v>41</v>
      </c>
      <c r="E1354" t="s">
        <v>51</v>
      </c>
      <c r="F1354" t="s">
        <v>49</v>
      </c>
      <c r="G1354">
        <v>4729.3999999999996</v>
      </c>
      <c r="H1354">
        <v>2136.88</v>
      </c>
      <c r="I1354">
        <v>20218.66</v>
      </c>
      <c r="J1354" t="s">
        <v>25</v>
      </c>
      <c r="K1354" t="s">
        <v>33</v>
      </c>
      <c r="L1354">
        <v>250996.65</v>
      </c>
      <c r="M1354">
        <v>180</v>
      </c>
      <c r="N1354">
        <v>6129.38</v>
      </c>
      <c r="O1354">
        <v>28.9</v>
      </c>
      <c r="P1354">
        <v>1.3</v>
      </c>
      <c r="Q1354">
        <v>682</v>
      </c>
      <c r="R1354">
        <v>0.36</v>
      </c>
      <c r="S1354" t="s">
        <v>30</v>
      </c>
      <c r="T1354" s="1">
        <v>44893</v>
      </c>
      <c r="U1354">
        <v>1</v>
      </c>
    </row>
    <row r="1355" spans="1:21" x14ac:dyDescent="0.25">
      <c r="A1355" t="s">
        <v>1402</v>
      </c>
      <c r="B1355">
        <v>33</v>
      </c>
      <c r="C1355" t="s">
        <v>29</v>
      </c>
      <c r="D1355" t="s">
        <v>35</v>
      </c>
      <c r="E1355" t="s">
        <v>23</v>
      </c>
      <c r="F1355" t="s">
        <v>63</v>
      </c>
      <c r="G1355">
        <v>6218.93</v>
      </c>
      <c r="H1355">
        <v>2071.0500000000002</v>
      </c>
      <c r="I1355">
        <v>73296.73</v>
      </c>
      <c r="J1355" t="s">
        <v>25</v>
      </c>
      <c r="K1355" t="s">
        <v>26</v>
      </c>
      <c r="L1355">
        <v>50456.84</v>
      </c>
      <c r="M1355">
        <v>24</v>
      </c>
      <c r="N1355">
        <v>2308.58</v>
      </c>
      <c r="O1355">
        <v>9.15</v>
      </c>
      <c r="P1355">
        <v>0.37</v>
      </c>
      <c r="Q1355">
        <v>671</v>
      </c>
      <c r="R1355">
        <v>0.98</v>
      </c>
      <c r="S1355" t="s">
        <v>39</v>
      </c>
      <c r="T1355" s="1">
        <v>45008</v>
      </c>
      <c r="U1355">
        <v>0</v>
      </c>
    </row>
    <row r="1356" spans="1:21" x14ac:dyDescent="0.25">
      <c r="A1356" t="s">
        <v>1403</v>
      </c>
      <c r="B1356">
        <v>31</v>
      </c>
      <c r="C1356" t="s">
        <v>21</v>
      </c>
      <c r="D1356" t="s">
        <v>41</v>
      </c>
      <c r="E1356" t="s">
        <v>51</v>
      </c>
      <c r="F1356" t="s">
        <v>32</v>
      </c>
      <c r="G1356">
        <v>3990.65</v>
      </c>
      <c r="H1356">
        <v>1683.73</v>
      </c>
      <c r="I1356">
        <v>20268.3</v>
      </c>
      <c r="J1356" t="s">
        <v>37</v>
      </c>
      <c r="K1356" t="s">
        <v>38</v>
      </c>
      <c r="L1356">
        <v>0</v>
      </c>
      <c r="M1356">
        <v>0</v>
      </c>
      <c r="N1356">
        <v>0</v>
      </c>
      <c r="O1356">
        <v>0</v>
      </c>
      <c r="P1356">
        <v>0</v>
      </c>
      <c r="Q1356">
        <v>821</v>
      </c>
      <c r="R1356">
        <v>0.42</v>
      </c>
      <c r="S1356" t="s">
        <v>47</v>
      </c>
      <c r="T1356" s="1">
        <v>44423</v>
      </c>
      <c r="U1356">
        <v>0</v>
      </c>
    </row>
    <row r="1357" spans="1:21" x14ac:dyDescent="0.25">
      <c r="A1357" t="s">
        <v>1404</v>
      </c>
      <c r="B1357">
        <v>62</v>
      </c>
      <c r="C1357" t="s">
        <v>29</v>
      </c>
      <c r="D1357" t="s">
        <v>35</v>
      </c>
      <c r="E1357" t="s">
        <v>23</v>
      </c>
      <c r="F1357" t="s">
        <v>42</v>
      </c>
      <c r="G1357">
        <v>1663.79</v>
      </c>
      <c r="H1357">
        <v>931.17</v>
      </c>
      <c r="I1357">
        <v>14767.91</v>
      </c>
      <c r="J1357" t="s">
        <v>37</v>
      </c>
      <c r="K1357" t="s">
        <v>38</v>
      </c>
      <c r="L1357">
        <v>0</v>
      </c>
      <c r="M1357">
        <v>0</v>
      </c>
      <c r="N1357">
        <v>0</v>
      </c>
      <c r="O1357">
        <v>0</v>
      </c>
      <c r="P1357">
        <v>0</v>
      </c>
      <c r="Q1357">
        <v>659</v>
      </c>
      <c r="R1357">
        <v>0.74</v>
      </c>
      <c r="S1357" t="s">
        <v>39</v>
      </c>
      <c r="T1357" s="1">
        <v>45047</v>
      </c>
      <c r="U1357">
        <v>0</v>
      </c>
    </row>
    <row r="1358" spans="1:21" x14ac:dyDescent="0.25">
      <c r="A1358" t="s">
        <v>1405</v>
      </c>
      <c r="B1358">
        <v>35</v>
      </c>
      <c r="C1358" t="s">
        <v>21</v>
      </c>
      <c r="D1358" t="s">
        <v>41</v>
      </c>
      <c r="E1358" t="s">
        <v>31</v>
      </c>
      <c r="F1358" t="s">
        <v>49</v>
      </c>
      <c r="G1358">
        <v>6062.52</v>
      </c>
      <c r="H1358">
        <v>4815.41</v>
      </c>
      <c r="I1358">
        <v>31321.22</v>
      </c>
      <c r="J1358" t="s">
        <v>25</v>
      </c>
      <c r="K1358" t="s">
        <v>26</v>
      </c>
      <c r="L1358">
        <v>38800.839999999997</v>
      </c>
      <c r="M1358">
        <v>180</v>
      </c>
      <c r="N1358">
        <v>591.38</v>
      </c>
      <c r="O1358">
        <v>16.79</v>
      </c>
      <c r="P1358">
        <v>0.1</v>
      </c>
      <c r="Q1358">
        <v>510</v>
      </c>
      <c r="R1358">
        <v>0.43</v>
      </c>
      <c r="S1358" t="s">
        <v>47</v>
      </c>
      <c r="T1358" s="1">
        <v>45348</v>
      </c>
      <c r="U1358">
        <v>0</v>
      </c>
    </row>
    <row r="1359" spans="1:21" x14ac:dyDescent="0.25">
      <c r="A1359" t="s">
        <v>1406</v>
      </c>
      <c r="B1359">
        <v>33</v>
      </c>
      <c r="C1359" t="s">
        <v>29</v>
      </c>
      <c r="D1359" t="s">
        <v>22</v>
      </c>
      <c r="E1359" t="s">
        <v>31</v>
      </c>
      <c r="F1359" t="s">
        <v>52</v>
      </c>
      <c r="G1359">
        <v>2310.9299999999998</v>
      </c>
      <c r="H1359">
        <v>1081.83</v>
      </c>
      <c r="I1359">
        <v>23215.41</v>
      </c>
      <c r="J1359" t="s">
        <v>25</v>
      </c>
      <c r="K1359" t="s">
        <v>26</v>
      </c>
      <c r="L1359">
        <v>8842.1200000000008</v>
      </c>
      <c r="M1359">
        <v>180</v>
      </c>
      <c r="N1359">
        <v>175.36</v>
      </c>
      <c r="O1359">
        <v>23.02</v>
      </c>
      <c r="P1359">
        <v>0.08</v>
      </c>
      <c r="Q1359">
        <v>497</v>
      </c>
      <c r="R1359">
        <v>0.84</v>
      </c>
      <c r="S1359" t="s">
        <v>27</v>
      </c>
      <c r="T1359" s="1">
        <v>45071</v>
      </c>
      <c r="U1359">
        <v>0</v>
      </c>
    </row>
    <row r="1360" spans="1:21" x14ac:dyDescent="0.25">
      <c r="A1360" t="s">
        <v>1407</v>
      </c>
      <c r="B1360">
        <v>68</v>
      </c>
      <c r="C1360" t="s">
        <v>21</v>
      </c>
      <c r="D1360" t="s">
        <v>41</v>
      </c>
      <c r="E1360" t="s">
        <v>31</v>
      </c>
      <c r="F1360" t="s">
        <v>24</v>
      </c>
      <c r="G1360">
        <v>7467.2</v>
      </c>
      <c r="H1360">
        <v>6488.09</v>
      </c>
      <c r="I1360">
        <v>59524.34</v>
      </c>
      <c r="J1360" t="s">
        <v>37</v>
      </c>
      <c r="K1360" t="s">
        <v>38</v>
      </c>
      <c r="L1360">
        <v>0</v>
      </c>
      <c r="M1360">
        <v>0</v>
      </c>
      <c r="N1360">
        <v>0</v>
      </c>
      <c r="O1360">
        <v>0</v>
      </c>
      <c r="P1360">
        <v>0</v>
      </c>
      <c r="Q1360">
        <v>485</v>
      </c>
      <c r="R1360">
        <v>0.66</v>
      </c>
      <c r="S1360" t="s">
        <v>27</v>
      </c>
      <c r="T1360" s="1">
        <v>44757</v>
      </c>
      <c r="U1360">
        <v>0</v>
      </c>
    </row>
    <row r="1361" spans="1:21" x14ac:dyDescent="0.25">
      <c r="A1361" t="s">
        <v>1408</v>
      </c>
      <c r="B1361">
        <v>49</v>
      </c>
      <c r="C1361" t="s">
        <v>21</v>
      </c>
      <c r="D1361" t="s">
        <v>22</v>
      </c>
      <c r="E1361" t="s">
        <v>31</v>
      </c>
      <c r="F1361" t="s">
        <v>23</v>
      </c>
      <c r="G1361">
        <v>3814.11</v>
      </c>
      <c r="H1361">
        <v>1582.5</v>
      </c>
      <c r="I1361">
        <v>25540.05</v>
      </c>
      <c r="J1361" t="s">
        <v>37</v>
      </c>
      <c r="K1361" t="s">
        <v>38</v>
      </c>
      <c r="L1361">
        <v>0</v>
      </c>
      <c r="M1361">
        <v>0</v>
      </c>
      <c r="N1361">
        <v>0</v>
      </c>
      <c r="O1361">
        <v>0</v>
      </c>
      <c r="P1361">
        <v>0</v>
      </c>
      <c r="Q1361">
        <v>356</v>
      </c>
      <c r="R1361">
        <v>0.56000000000000005</v>
      </c>
      <c r="S1361" t="s">
        <v>39</v>
      </c>
      <c r="T1361" s="1">
        <v>45151</v>
      </c>
      <c r="U1361">
        <v>0</v>
      </c>
    </row>
    <row r="1362" spans="1:21" x14ac:dyDescent="0.25">
      <c r="A1362" t="s">
        <v>1409</v>
      </c>
      <c r="B1362">
        <v>61</v>
      </c>
      <c r="C1362" t="s">
        <v>21</v>
      </c>
      <c r="D1362" t="s">
        <v>41</v>
      </c>
      <c r="E1362" t="s">
        <v>31</v>
      </c>
      <c r="F1362" t="s">
        <v>36</v>
      </c>
      <c r="G1362">
        <v>7238.69</v>
      </c>
      <c r="H1362">
        <v>2529.5700000000002</v>
      </c>
      <c r="I1362">
        <v>79585.67</v>
      </c>
      <c r="J1362" t="s">
        <v>37</v>
      </c>
      <c r="K1362" t="s">
        <v>38</v>
      </c>
      <c r="L1362">
        <v>0</v>
      </c>
      <c r="M1362">
        <v>0</v>
      </c>
      <c r="N1362">
        <v>0</v>
      </c>
      <c r="O1362">
        <v>0</v>
      </c>
      <c r="P1362">
        <v>0</v>
      </c>
      <c r="Q1362">
        <v>531</v>
      </c>
      <c r="R1362">
        <v>0.92</v>
      </c>
      <c r="S1362" t="s">
        <v>39</v>
      </c>
      <c r="T1362" s="1">
        <v>45579</v>
      </c>
      <c r="U1362">
        <v>0</v>
      </c>
    </row>
    <row r="1363" spans="1:21" x14ac:dyDescent="0.25">
      <c r="A1363" t="s">
        <v>1410</v>
      </c>
      <c r="B1363">
        <v>30</v>
      </c>
      <c r="C1363" t="s">
        <v>29</v>
      </c>
      <c r="D1363" t="s">
        <v>35</v>
      </c>
      <c r="E1363" t="s">
        <v>31</v>
      </c>
      <c r="F1363" t="s">
        <v>52</v>
      </c>
      <c r="G1363">
        <v>2964.01</v>
      </c>
      <c r="H1363">
        <v>1420.88</v>
      </c>
      <c r="I1363">
        <v>23767.27</v>
      </c>
      <c r="J1363" t="s">
        <v>25</v>
      </c>
      <c r="K1363" t="s">
        <v>45</v>
      </c>
      <c r="L1363">
        <v>228252.23</v>
      </c>
      <c r="M1363">
        <v>360</v>
      </c>
      <c r="N1363">
        <v>2258.62</v>
      </c>
      <c r="O1363">
        <v>11.49</v>
      </c>
      <c r="P1363">
        <v>0.76</v>
      </c>
      <c r="Q1363">
        <v>752</v>
      </c>
      <c r="R1363">
        <v>0.67</v>
      </c>
      <c r="S1363" t="s">
        <v>30</v>
      </c>
      <c r="T1363" s="1">
        <v>44536</v>
      </c>
      <c r="U1363">
        <v>1</v>
      </c>
    </row>
    <row r="1364" spans="1:21" x14ac:dyDescent="0.25">
      <c r="A1364" t="s">
        <v>1411</v>
      </c>
      <c r="B1364">
        <v>38</v>
      </c>
      <c r="C1364" t="s">
        <v>21</v>
      </c>
      <c r="D1364" t="s">
        <v>35</v>
      </c>
      <c r="E1364" t="s">
        <v>49</v>
      </c>
      <c r="F1364" t="s">
        <v>32</v>
      </c>
      <c r="G1364">
        <v>2898.49</v>
      </c>
      <c r="H1364">
        <v>1284.92</v>
      </c>
      <c r="I1364">
        <v>13618.09</v>
      </c>
      <c r="J1364" t="s">
        <v>37</v>
      </c>
      <c r="K1364" t="s">
        <v>38</v>
      </c>
      <c r="L1364">
        <v>0</v>
      </c>
      <c r="M1364">
        <v>0</v>
      </c>
      <c r="N1364">
        <v>0</v>
      </c>
      <c r="O1364">
        <v>0</v>
      </c>
      <c r="P1364">
        <v>0</v>
      </c>
      <c r="Q1364">
        <v>502</v>
      </c>
      <c r="R1364">
        <v>0.39</v>
      </c>
      <c r="S1364" t="s">
        <v>27</v>
      </c>
      <c r="T1364" s="1">
        <v>45650</v>
      </c>
      <c r="U1364">
        <v>0</v>
      </c>
    </row>
    <row r="1365" spans="1:21" x14ac:dyDescent="0.25">
      <c r="A1365" t="s">
        <v>1412</v>
      </c>
      <c r="B1365">
        <v>46</v>
      </c>
      <c r="C1365" t="s">
        <v>29</v>
      </c>
      <c r="D1365" t="s">
        <v>35</v>
      </c>
      <c r="E1365" t="s">
        <v>31</v>
      </c>
      <c r="F1365" t="s">
        <v>36</v>
      </c>
      <c r="G1365">
        <v>2864.39</v>
      </c>
      <c r="H1365">
        <v>2402.83</v>
      </c>
      <c r="I1365">
        <v>28379.01</v>
      </c>
      <c r="J1365" t="s">
        <v>37</v>
      </c>
      <c r="K1365" t="s">
        <v>38</v>
      </c>
      <c r="L1365">
        <v>0</v>
      </c>
      <c r="M1365">
        <v>0</v>
      </c>
      <c r="N1365">
        <v>0</v>
      </c>
      <c r="O1365">
        <v>0</v>
      </c>
      <c r="P1365">
        <v>0</v>
      </c>
      <c r="Q1365">
        <v>653</v>
      </c>
      <c r="R1365">
        <v>0.83</v>
      </c>
      <c r="S1365" t="s">
        <v>47</v>
      </c>
      <c r="T1365" s="1">
        <v>44769</v>
      </c>
      <c r="U1365">
        <v>0</v>
      </c>
    </row>
    <row r="1366" spans="1:21" x14ac:dyDescent="0.25">
      <c r="A1366" t="s">
        <v>1413</v>
      </c>
      <c r="B1366">
        <v>56</v>
      </c>
      <c r="C1366" t="s">
        <v>21</v>
      </c>
      <c r="D1366" t="s">
        <v>56</v>
      </c>
      <c r="E1366" t="s">
        <v>23</v>
      </c>
      <c r="F1366" t="s">
        <v>36</v>
      </c>
      <c r="G1366">
        <v>2065.5700000000002</v>
      </c>
      <c r="H1366">
        <v>1549.52</v>
      </c>
      <c r="I1366">
        <v>4694.4399999999996</v>
      </c>
      <c r="J1366" t="s">
        <v>37</v>
      </c>
      <c r="K1366" t="s">
        <v>38</v>
      </c>
      <c r="L1366">
        <v>0</v>
      </c>
      <c r="M1366">
        <v>0</v>
      </c>
      <c r="N1366">
        <v>0</v>
      </c>
      <c r="O1366">
        <v>0</v>
      </c>
      <c r="P1366">
        <v>0</v>
      </c>
      <c r="Q1366">
        <v>808</v>
      </c>
      <c r="R1366">
        <v>0.19</v>
      </c>
      <c r="S1366" t="s">
        <v>30</v>
      </c>
      <c r="T1366" s="1">
        <v>45297</v>
      </c>
      <c r="U1366">
        <v>0</v>
      </c>
    </row>
    <row r="1367" spans="1:21" x14ac:dyDescent="0.25">
      <c r="A1367" t="s">
        <v>1414</v>
      </c>
      <c r="B1367">
        <v>58</v>
      </c>
      <c r="C1367" t="s">
        <v>21</v>
      </c>
      <c r="D1367" t="s">
        <v>35</v>
      </c>
      <c r="E1367" t="s">
        <v>51</v>
      </c>
      <c r="F1367" t="s">
        <v>44</v>
      </c>
      <c r="G1367">
        <v>6971.32</v>
      </c>
      <c r="H1367">
        <v>3434.39</v>
      </c>
      <c r="I1367">
        <v>67475.33</v>
      </c>
      <c r="J1367" t="s">
        <v>37</v>
      </c>
      <c r="K1367" t="s">
        <v>38</v>
      </c>
      <c r="L1367">
        <v>0</v>
      </c>
      <c r="M1367">
        <v>0</v>
      </c>
      <c r="N1367">
        <v>0</v>
      </c>
      <c r="O1367">
        <v>0</v>
      </c>
      <c r="P1367">
        <v>0</v>
      </c>
      <c r="Q1367">
        <v>722</v>
      </c>
      <c r="R1367">
        <v>0.81</v>
      </c>
      <c r="S1367" t="s">
        <v>30</v>
      </c>
      <c r="T1367" s="1">
        <v>45043</v>
      </c>
      <c r="U1367">
        <v>0</v>
      </c>
    </row>
    <row r="1368" spans="1:21" x14ac:dyDescent="0.25">
      <c r="A1368" t="s">
        <v>1415</v>
      </c>
      <c r="B1368">
        <v>58</v>
      </c>
      <c r="C1368" t="s">
        <v>21</v>
      </c>
      <c r="D1368" t="s">
        <v>41</v>
      </c>
      <c r="E1368" t="s">
        <v>51</v>
      </c>
      <c r="F1368" t="s">
        <v>44</v>
      </c>
      <c r="G1368">
        <v>6045.53</v>
      </c>
      <c r="H1368">
        <v>3747.75</v>
      </c>
      <c r="I1368">
        <v>31615.14</v>
      </c>
      <c r="J1368" t="s">
        <v>25</v>
      </c>
      <c r="K1368" t="s">
        <v>26</v>
      </c>
      <c r="L1368">
        <v>189118.56</v>
      </c>
      <c r="M1368">
        <v>180</v>
      </c>
      <c r="N1368">
        <v>4003.51</v>
      </c>
      <c r="O1368">
        <v>24.76</v>
      </c>
      <c r="P1368">
        <v>0.66</v>
      </c>
      <c r="Q1368">
        <v>640</v>
      </c>
      <c r="R1368">
        <v>0.44</v>
      </c>
      <c r="S1368" t="s">
        <v>47</v>
      </c>
      <c r="T1368" s="1">
        <v>45833</v>
      </c>
      <c r="U1368">
        <v>1</v>
      </c>
    </row>
    <row r="1369" spans="1:21" x14ac:dyDescent="0.25">
      <c r="A1369" t="s">
        <v>1416</v>
      </c>
      <c r="B1369">
        <v>19</v>
      </c>
      <c r="C1369" t="s">
        <v>21</v>
      </c>
      <c r="D1369" t="s">
        <v>22</v>
      </c>
      <c r="E1369" t="s">
        <v>31</v>
      </c>
      <c r="F1369" t="s">
        <v>32</v>
      </c>
      <c r="G1369">
        <v>2729.2</v>
      </c>
      <c r="H1369">
        <v>1633.78</v>
      </c>
      <c r="I1369">
        <v>15575.61</v>
      </c>
      <c r="J1369" t="s">
        <v>37</v>
      </c>
      <c r="K1369" t="s">
        <v>38</v>
      </c>
      <c r="L1369">
        <v>0</v>
      </c>
      <c r="M1369">
        <v>0</v>
      </c>
      <c r="N1369">
        <v>0</v>
      </c>
      <c r="O1369">
        <v>0</v>
      </c>
      <c r="P1369">
        <v>0</v>
      </c>
      <c r="Q1369">
        <v>578</v>
      </c>
      <c r="R1369">
        <v>0.48</v>
      </c>
      <c r="S1369" t="s">
        <v>39</v>
      </c>
      <c r="T1369" s="1">
        <v>45011</v>
      </c>
      <c r="U1369">
        <v>0</v>
      </c>
    </row>
    <row r="1370" spans="1:21" x14ac:dyDescent="0.25">
      <c r="A1370" t="s">
        <v>1417</v>
      </c>
      <c r="B1370">
        <v>47</v>
      </c>
      <c r="C1370" t="s">
        <v>30</v>
      </c>
      <c r="D1370" t="s">
        <v>41</v>
      </c>
      <c r="E1370" t="s">
        <v>51</v>
      </c>
      <c r="F1370" t="s">
        <v>44</v>
      </c>
      <c r="G1370">
        <v>5593.13</v>
      </c>
      <c r="H1370">
        <v>4624.2299999999996</v>
      </c>
      <c r="I1370">
        <v>18709.75</v>
      </c>
      <c r="J1370" t="s">
        <v>37</v>
      </c>
      <c r="K1370" t="s">
        <v>38</v>
      </c>
      <c r="L1370">
        <v>0</v>
      </c>
      <c r="M1370">
        <v>0</v>
      </c>
      <c r="N1370">
        <v>0</v>
      </c>
      <c r="O1370">
        <v>0</v>
      </c>
      <c r="P1370">
        <v>0</v>
      </c>
      <c r="Q1370">
        <v>746</v>
      </c>
      <c r="R1370">
        <v>0.28000000000000003</v>
      </c>
      <c r="S1370" t="s">
        <v>72</v>
      </c>
      <c r="T1370" s="1">
        <v>45502</v>
      </c>
      <c r="U1370">
        <v>0</v>
      </c>
    </row>
    <row r="1371" spans="1:21" x14ac:dyDescent="0.25">
      <c r="A1371" t="s">
        <v>1418</v>
      </c>
      <c r="B1371">
        <v>51</v>
      </c>
      <c r="C1371" t="s">
        <v>29</v>
      </c>
      <c r="D1371" t="s">
        <v>35</v>
      </c>
      <c r="E1371" t="s">
        <v>51</v>
      </c>
      <c r="F1371" t="s">
        <v>36</v>
      </c>
      <c r="G1371">
        <v>3314.35</v>
      </c>
      <c r="H1371">
        <v>1675.44</v>
      </c>
      <c r="I1371">
        <v>29265.97</v>
      </c>
      <c r="J1371" t="s">
        <v>37</v>
      </c>
      <c r="K1371" t="s">
        <v>38</v>
      </c>
      <c r="L1371">
        <v>0</v>
      </c>
      <c r="M1371">
        <v>0</v>
      </c>
      <c r="N1371">
        <v>0</v>
      </c>
      <c r="O1371">
        <v>0</v>
      </c>
      <c r="P1371">
        <v>0</v>
      </c>
      <c r="Q1371">
        <v>324</v>
      </c>
      <c r="R1371">
        <v>0.74</v>
      </c>
      <c r="S1371" t="s">
        <v>30</v>
      </c>
      <c r="T1371" s="1">
        <v>45345</v>
      </c>
      <c r="U1371">
        <v>0</v>
      </c>
    </row>
    <row r="1372" spans="1:21" x14ac:dyDescent="0.25">
      <c r="A1372" t="s">
        <v>1419</v>
      </c>
      <c r="B1372">
        <v>33</v>
      </c>
      <c r="C1372" t="s">
        <v>21</v>
      </c>
      <c r="D1372" t="s">
        <v>41</v>
      </c>
      <c r="E1372" t="s">
        <v>51</v>
      </c>
      <c r="F1372" t="s">
        <v>24</v>
      </c>
      <c r="G1372">
        <v>4424.78</v>
      </c>
      <c r="H1372">
        <v>3395.41</v>
      </c>
      <c r="I1372">
        <v>45325.32</v>
      </c>
      <c r="J1372" t="s">
        <v>37</v>
      </c>
      <c r="K1372" t="s">
        <v>38</v>
      </c>
      <c r="L1372">
        <v>0</v>
      </c>
      <c r="M1372">
        <v>0</v>
      </c>
      <c r="N1372">
        <v>0</v>
      </c>
      <c r="O1372">
        <v>0</v>
      </c>
      <c r="P1372">
        <v>0</v>
      </c>
      <c r="Q1372">
        <v>452</v>
      </c>
      <c r="R1372">
        <v>0.85</v>
      </c>
      <c r="S1372" t="s">
        <v>27</v>
      </c>
      <c r="T1372" s="1">
        <v>44683</v>
      </c>
      <c r="U1372">
        <v>0</v>
      </c>
    </row>
    <row r="1373" spans="1:21" x14ac:dyDescent="0.25">
      <c r="A1373" t="s">
        <v>1420</v>
      </c>
      <c r="B1373">
        <v>26</v>
      </c>
      <c r="C1373" t="s">
        <v>29</v>
      </c>
      <c r="D1373" t="s">
        <v>41</v>
      </c>
      <c r="E1373" t="s">
        <v>23</v>
      </c>
      <c r="F1373" t="s">
        <v>52</v>
      </c>
      <c r="G1373">
        <v>3633.68</v>
      </c>
      <c r="H1373">
        <v>2015.3</v>
      </c>
      <c r="I1373">
        <v>35060.370000000003</v>
      </c>
      <c r="J1373" t="s">
        <v>25</v>
      </c>
      <c r="K1373" t="s">
        <v>33</v>
      </c>
      <c r="L1373">
        <v>167131.85999999999</v>
      </c>
      <c r="M1373">
        <v>360</v>
      </c>
      <c r="N1373">
        <v>2009.44</v>
      </c>
      <c r="O1373">
        <v>14.22</v>
      </c>
      <c r="P1373">
        <v>0.55000000000000004</v>
      </c>
      <c r="Q1373">
        <v>415</v>
      </c>
      <c r="R1373">
        <v>0.8</v>
      </c>
      <c r="S1373" t="s">
        <v>30</v>
      </c>
      <c r="T1373" s="1">
        <v>45501</v>
      </c>
      <c r="U1373">
        <v>1</v>
      </c>
    </row>
    <row r="1374" spans="1:21" x14ac:dyDescent="0.25">
      <c r="A1374" t="s">
        <v>1421</v>
      </c>
      <c r="B1374">
        <v>38</v>
      </c>
      <c r="C1374" t="s">
        <v>29</v>
      </c>
      <c r="D1374" t="s">
        <v>41</v>
      </c>
      <c r="E1374" t="s">
        <v>23</v>
      </c>
      <c r="F1374" t="s">
        <v>32</v>
      </c>
      <c r="G1374">
        <v>2922.57</v>
      </c>
      <c r="H1374">
        <v>1686.09</v>
      </c>
      <c r="I1374">
        <v>34369.480000000003</v>
      </c>
      <c r="J1374" t="s">
        <v>25</v>
      </c>
      <c r="K1374" t="s">
        <v>33</v>
      </c>
      <c r="L1374">
        <v>98547.83</v>
      </c>
      <c r="M1374">
        <v>60</v>
      </c>
      <c r="N1374">
        <v>3008.01</v>
      </c>
      <c r="O1374">
        <v>26.98</v>
      </c>
      <c r="P1374">
        <v>1.03</v>
      </c>
      <c r="Q1374">
        <v>801</v>
      </c>
      <c r="R1374">
        <v>0.98</v>
      </c>
      <c r="S1374" t="s">
        <v>72</v>
      </c>
      <c r="T1374" s="1">
        <v>44956</v>
      </c>
      <c r="U1374">
        <v>1</v>
      </c>
    </row>
    <row r="1375" spans="1:21" x14ac:dyDescent="0.25">
      <c r="A1375" t="s">
        <v>1422</v>
      </c>
      <c r="B1375">
        <v>42</v>
      </c>
      <c r="C1375" t="s">
        <v>29</v>
      </c>
      <c r="D1375" t="s">
        <v>41</v>
      </c>
      <c r="E1375" t="s">
        <v>51</v>
      </c>
      <c r="F1375" t="s">
        <v>63</v>
      </c>
      <c r="G1375">
        <v>5228.04</v>
      </c>
      <c r="H1375">
        <v>4577.68</v>
      </c>
      <c r="I1375">
        <v>16609.84</v>
      </c>
      <c r="J1375" t="s">
        <v>37</v>
      </c>
      <c r="K1375" t="s">
        <v>38</v>
      </c>
      <c r="L1375">
        <v>0</v>
      </c>
      <c r="M1375">
        <v>0</v>
      </c>
      <c r="N1375">
        <v>0</v>
      </c>
      <c r="O1375">
        <v>0</v>
      </c>
      <c r="P1375">
        <v>0</v>
      </c>
      <c r="Q1375">
        <v>716</v>
      </c>
      <c r="R1375">
        <v>0.26</v>
      </c>
      <c r="S1375" t="s">
        <v>72</v>
      </c>
      <c r="T1375" s="1">
        <v>45753</v>
      </c>
      <c r="U1375">
        <v>0</v>
      </c>
    </row>
    <row r="1376" spans="1:21" x14ac:dyDescent="0.25">
      <c r="A1376" t="s">
        <v>1423</v>
      </c>
      <c r="B1376">
        <v>63</v>
      </c>
      <c r="C1376" t="s">
        <v>21</v>
      </c>
      <c r="D1376" t="s">
        <v>35</v>
      </c>
      <c r="E1376" t="s">
        <v>31</v>
      </c>
      <c r="F1376" t="s">
        <v>63</v>
      </c>
      <c r="G1376">
        <v>3036.47</v>
      </c>
      <c r="H1376">
        <v>1124.6400000000001</v>
      </c>
      <c r="I1376">
        <v>27897.09</v>
      </c>
      <c r="J1376" t="s">
        <v>37</v>
      </c>
      <c r="K1376" t="s">
        <v>38</v>
      </c>
      <c r="L1376">
        <v>0</v>
      </c>
      <c r="M1376">
        <v>0</v>
      </c>
      <c r="N1376">
        <v>0</v>
      </c>
      <c r="O1376">
        <v>0</v>
      </c>
      <c r="P1376">
        <v>0</v>
      </c>
      <c r="Q1376">
        <v>687</v>
      </c>
      <c r="R1376">
        <v>0.77</v>
      </c>
      <c r="S1376" t="s">
        <v>27</v>
      </c>
      <c r="T1376" s="1">
        <v>44401</v>
      </c>
      <c r="U1376">
        <v>0</v>
      </c>
    </row>
    <row r="1377" spans="1:21" x14ac:dyDescent="0.25">
      <c r="A1377" t="s">
        <v>1424</v>
      </c>
      <c r="B1377">
        <v>53</v>
      </c>
      <c r="C1377" t="s">
        <v>30</v>
      </c>
      <c r="D1377" t="s">
        <v>35</v>
      </c>
      <c r="E1377" t="s">
        <v>23</v>
      </c>
      <c r="F1377" t="s">
        <v>63</v>
      </c>
      <c r="G1377">
        <v>7766.34</v>
      </c>
      <c r="H1377">
        <v>4577.91</v>
      </c>
      <c r="I1377">
        <v>50289.41</v>
      </c>
      <c r="J1377" t="s">
        <v>37</v>
      </c>
      <c r="K1377" t="s">
        <v>38</v>
      </c>
      <c r="L1377">
        <v>0</v>
      </c>
      <c r="M1377">
        <v>0</v>
      </c>
      <c r="N1377">
        <v>0</v>
      </c>
      <c r="O1377">
        <v>0</v>
      </c>
      <c r="P1377">
        <v>0</v>
      </c>
      <c r="Q1377">
        <v>328</v>
      </c>
      <c r="R1377">
        <v>0.54</v>
      </c>
      <c r="S1377" t="s">
        <v>30</v>
      </c>
      <c r="T1377" s="1">
        <v>45588</v>
      </c>
      <c r="U1377">
        <v>0</v>
      </c>
    </row>
    <row r="1378" spans="1:21" x14ac:dyDescent="0.25">
      <c r="A1378" t="s">
        <v>1425</v>
      </c>
      <c r="B1378">
        <v>58</v>
      </c>
      <c r="C1378" t="s">
        <v>29</v>
      </c>
      <c r="D1378" t="s">
        <v>22</v>
      </c>
      <c r="E1378" t="s">
        <v>31</v>
      </c>
      <c r="F1378" t="s">
        <v>52</v>
      </c>
      <c r="G1378">
        <v>4833.6099999999997</v>
      </c>
      <c r="H1378">
        <v>1994.59</v>
      </c>
      <c r="I1378">
        <v>39028.31</v>
      </c>
      <c r="J1378" t="s">
        <v>37</v>
      </c>
      <c r="K1378" t="s">
        <v>38</v>
      </c>
      <c r="L1378">
        <v>0</v>
      </c>
      <c r="M1378">
        <v>0</v>
      </c>
      <c r="N1378">
        <v>0</v>
      </c>
      <c r="O1378">
        <v>0</v>
      </c>
      <c r="P1378">
        <v>0</v>
      </c>
      <c r="Q1378">
        <v>599</v>
      </c>
      <c r="R1378">
        <v>0.67</v>
      </c>
      <c r="S1378" t="s">
        <v>30</v>
      </c>
      <c r="T1378" s="1">
        <v>44843</v>
      </c>
      <c r="U1378">
        <v>0</v>
      </c>
    </row>
    <row r="1379" spans="1:21" x14ac:dyDescent="0.25">
      <c r="A1379" t="s">
        <v>1426</v>
      </c>
      <c r="B1379">
        <v>38</v>
      </c>
      <c r="C1379" t="s">
        <v>29</v>
      </c>
      <c r="D1379" t="s">
        <v>22</v>
      </c>
      <c r="E1379" t="s">
        <v>31</v>
      </c>
      <c r="F1379" t="s">
        <v>32</v>
      </c>
      <c r="G1379">
        <v>3754.12</v>
      </c>
      <c r="H1379">
        <v>2658.8</v>
      </c>
      <c r="I1379">
        <v>7939.64</v>
      </c>
      <c r="J1379" t="s">
        <v>25</v>
      </c>
      <c r="K1379" t="s">
        <v>33</v>
      </c>
      <c r="L1379">
        <v>233195.49</v>
      </c>
      <c r="M1379">
        <v>360</v>
      </c>
      <c r="N1379">
        <v>1149.9100000000001</v>
      </c>
      <c r="O1379">
        <v>4.2699999999999996</v>
      </c>
      <c r="P1379">
        <v>0.31</v>
      </c>
      <c r="Q1379">
        <v>723</v>
      </c>
      <c r="R1379">
        <v>0.18</v>
      </c>
      <c r="S1379" t="s">
        <v>72</v>
      </c>
      <c r="T1379" s="1">
        <v>45516</v>
      </c>
      <c r="U1379">
        <v>0</v>
      </c>
    </row>
    <row r="1380" spans="1:21" x14ac:dyDescent="0.25">
      <c r="A1380" t="s">
        <v>1427</v>
      </c>
      <c r="B1380">
        <v>35</v>
      </c>
      <c r="C1380" t="s">
        <v>21</v>
      </c>
      <c r="D1380" t="s">
        <v>41</v>
      </c>
      <c r="E1380" t="s">
        <v>31</v>
      </c>
      <c r="F1380" t="s">
        <v>44</v>
      </c>
      <c r="G1380">
        <v>1880.98</v>
      </c>
      <c r="H1380">
        <v>1682.55</v>
      </c>
      <c r="I1380">
        <v>13725.38</v>
      </c>
      <c r="J1380" t="s">
        <v>37</v>
      </c>
      <c r="K1380" t="s">
        <v>38</v>
      </c>
      <c r="L1380">
        <v>0</v>
      </c>
      <c r="M1380">
        <v>0</v>
      </c>
      <c r="N1380">
        <v>0</v>
      </c>
      <c r="O1380">
        <v>0</v>
      </c>
      <c r="P1380">
        <v>0</v>
      </c>
      <c r="Q1380">
        <v>758</v>
      </c>
      <c r="R1380">
        <v>0.61</v>
      </c>
      <c r="S1380" t="s">
        <v>27</v>
      </c>
      <c r="T1380" s="1">
        <v>45607</v>
      </c>
      <c r="U1380">
        <v>0</v>
      </c>
    </row>
    <row r="1381" spans="1:21" x14ac:dyDescent="0.25">
      <c r="A1381" t="s">
        <v>1428</v>
      </c>
      <c r="B1381">
        <v>43</v>
      </c>
      <c r="C1381" t="s">
        <v>21</v>
      </c>
      <c r="D1381" t="s">
        <v>41</v>
      </c>
      <c r="E1381" t="s">
        <v>31</v>
      </c>
      <c r="F1381" t="s">
        <v>52</v>
      </c>
      <c r="G1381">
        <v>7757.14</v>
      </c>
      <c r="H1381">
        <v>5204.7700000000004</v>
      </c>
      <c r="I1381">
        <v>54827.99</v>
      </c>
      <c r="J1381" t="s">
        <v>37</v>
      </c>
      <c r="K1381" t="s">
        <v>38</v>
      </c>
      <c r="L1381">
        <v>0</v>
      </c>
      <c r="M1381">
        <v>0</v>
      </c>
      <c r="N1381">
        <v>0</v>
      </c>
      <c r="O1381">
        <v>0</v>
      </c>
      <c r="P1381">
        <v>0</v>
      </c>
      <c r="Q1381">
        <v>572</v>
      </c>
      <c r="R1381">
        <v>0.59</v>
      </c>
      <c r="S1381" t="s">
        <v>39</v>
      </c>
      <c r="T1381" s="1">
        <v>44636</v>
      </c>
      <c r="U1381">
        <v>0</v>
      </c>
    </row>
    <row r="1382" spans="1:21" x14ac:dyDescent="0.25">
      <c r="A1382" t="s">
        <v>1429</v>
      </c>
      <c r="B1382">
        <v>32</v>
      </c>
      <c r="C1382" t="s">
        <v>29</v>
      </c>
      <c r="D1382" t="s">
        <v>35</v>
      </c>
      <c r="E1382" t="s">
        <v>31</v>
      </c>
      <c r="F1382" t="s">
        <v>63</v>
      </c>
      <c r="G1382">
        <v>5214.8900000000003</v>
      </c>
      <c r="H1382">
        <v>3842.48</v>
      </c>
      <c r="I1382">
        <v>57413.27</v>
      </c>
      <c r="J1382" t="s">
        <v>25</v>
      </c>
      <c r="K1382" t="s">
        <v>45</v>
      </c>
      <c r="L1382">
        <v>371080.23</v>
      </c>
      <c r="M1382">
        <v>180</v>
      </c>
      <c r="N1382">
        <v>8152.56</v>
      </c>
      <c r="O1382">
        <v>25.79</v>
      </c>
      <c r="P1382">
        <v>1.56</v>
      </c>
      <c r="Q1382">
        <v>812</v>
      </c>
      <c r="R1382">
        <v>0.92</v>
      </c>
      <c r="S1382" t="s">
        <v>39</v>
      </c>
      <c r="T1382" s="1">
        <v>45802</v>
      </c>
      <c r="U1382">
        <v>1</v>
      </c>
    </row>
    <row r="1383" spans="1:21" x14ac:dyDescent="0.25">
      <c r="A1383" t="s">
        <v>1430</v>
      </c>
      <c r="B1383">
        <v>46</v>
      </c>
      <c r="C1383" t="s">
        <v>29</v>
      </c>
      <c r="D1383" t="s">
        <v>41</v>
      </c>
      <c r="E1383" t="s">
        <v>23</v>
      </c>
      <c r="F1383" t="s">
        <v>24</v>
      </c>
      <c r="G1383">
        <v>8872.81</v>
      </c>
      <c r="H1383">
        <v>7123.66</v>
      </c>
      <c r="I1383">
        <v>51914.97</v>
      </c>
      <c r="J1383" t="s">
        <v>25</v>
      </c>
      <c r="K1383" t="s">
        <v>45</v>
      </c>
      <c r="L1383">
        <v>493178.54</v>
      </c>
      <c r="M1383">
        <v>240</v>
      </c>
      <c r="N1383">
        <v>5676.38</v>
      </c>
      <c r="O1383">
        <v>12.71</v>
      </c>
      <c r="P1383">
        <v>0.64</v>
      </c>
      <c r="Q1383">
        <v>406</v>
      </c>
      <c r="R1383">
        <v>0.49</v>
      </c>
      <c r="S1383" t="s">
        <v>47</v>
      </c>
      <c r="T1383" s="1">
        <v>45073</v>
      </c>
      <c r="U1383">
        <v>1</v>
      </c>
    </row>
    <row r="1384" spans="1:21" x14ac:dyDescent="0.25">
      <c r="A1384" t="s">
        <v>1431</v>
      </c>
      <c r="B1384">
        <v>42</v>
      </c>
      <c r="C1384" t="s">
        <v>21</v>
      </c>
      <c r="D1384" t="s">
        <v>35</v>
      </c>
      <c r="E1384" t="s">
        <v>31</v>
      </c>
      <c r="F1384" t="s">
        <v>42</v>
      </c>
      <c r="G1384">
        <v>1370.02</v>
      </c>
      <c r="H1384">
        <v>1095.76</v>
      </c>
      <c r="I1384">
        <v>4537.53</v>
      </c>
      <c r="J1384" t="s">
        <v>37</v>
      </c>
      <c r="K1384" t="s">
        <v>38</v>
      </c>
      <c r="L1384">
        <v>0</v>
      </c>
      <c r="M1384">
        <v>0</v>
      </c>
      <c r="N1384">
        <v>0</v>
      </c>
      <c r="O1384">
        <v>0</v>
      </c>
      <c r="P1384">
        <v>0</v>
      </c>
      <c r="Q1384">
        <v>753</v>
      </c>
      <c r="R1384">
        <v>0.28000000000000003</v>
      </c>
      <c r="S1384" t="s">
        <v>72</v>
      </c>
      <c r="T1384" s="1">
        <v>44674</v>
      </c>
      <c r="U1384">
        <v>0</v>
      </c>
    </row>
    <row r="1385" spans="1:21" x14ac:dyDescent="0.25">
      <c r="A1385" t="s">
        <v>1432</v>
      </c>
      <c r="B1385">
        <v>18</v>
      </c>
      <c r="C1385" t="s">
        <v>21</v>
      </c>
      <c r="D1385" t="s">
        <v>30</v>
      </c>
      <c r="E1385" t="s">
        <v>31</v>
      </c>
      <c r="F1385" t="s">
        <v>24</v>
      </c>
      <c r="G1385">
        <v>1751.72</v>
      </c>
      <c r="H1385">
        <v>621.08000000000004</v>
      </c>
      <c r="I1385">
        <v>14614.21</v>
      </c>
      <c r="J1385" t="s">
        <v>37</v>
      </c>
      <c r="K1385" t="s">
        <v>38</v>
      </c>
      <c r="L1385">
        <v>0</v>
      </c>
      <c r="M1385">
        <v>0</v>
      </c>
      <c r="N1385">
        <v>0</v>
      </c>
      <c r="O1385">
        <v>0</v>
      </c>
      <c r="P1385">
        <v>0</v>
      </c>
      <c r="Q1385">
        <v>353</v>
      </c>
      <c r="R1385">
        <v>0.7</v>
      </c>
      <c r="S1385" t="s">
        <v>47</v>
      </c>
      <c r="T1385" s="1">
        <v>45326</v>
      </c>
      <c r="U1385">
        <v>0</v>
      </c>
    </row>
    <row r="1386" spans="1:21" x14ac:dyDescent="0.25">
      <c r="A1386" t="s">
        <v>1433</v>
      </c>
      <c r="B1386">
        <v>60</v>
      </c>
      <c r="C1386" t="s">
        <v>30</v>
      </c>
      <c r="D1386" t="s">
        <v>41</v>
      </c>
      <c r="E1386" t="s">
        <v>31</v>
      </c>
      <c r="F1386" t="s">
        <v>36</v>
      </c>
      <c r="G1386">
        <v>6512.19</v>
      </c>
      <c r="H1386">
        <v>3086.25</v>
      </c>
      <c r="I1386">
        <v>73038.87</v>
      </c>
      <c r="J1386" t="s">
        <v>25</v>
      </c>
      <c r="K1386" t="s">
        <v>26</v>
      </c>
      <c r="L1386">
        <v>200458.69</v>
      </c>
      <c r="M1386">
        <v>240</v>
      </c>
      <c r="N1386">
        <v>4805.92</v>
      </c>
      <c r="O1386">
        <v>28.67</v>
      </c>
      <c r="P1386">
        <v>0.74</v>
      </c>
      <c r="Q1386">
        <v>664</v>
      </c>
      <c r="R1386">
        <v>0.93</v>
      </c>
      <c r="S1386" t="s">
        <v>72</v>
      </c>
      <c r="T1386" s="1">
        <v>45187</v>
      </c>
      <c r="U1386">
        <v>1</v>
      </c>
    </row>
    <row r="1387" spans="1:21" x14ac:dyDescent="0.25">
      <c r="A1387" t="s">
        <v>1434</v>
      </c>
      <c r="B1387">
        <v>22</v>
      </c>
      <c r="C1387" t="s">
        <v>29</v>
      </c>
      <c r="D1387" t="s">
        <v>22</v>
      </c>
      <c r="E1387" t="s">
        <v>31</v>
      </c>
      <c r="F1387" t="s">
        <v>63</v>
      </c>
      <c r="G1387">
        <v>2768.16</v>
      </c>
      <c r="H1387">
        <v>2038.38</v>
      </c>
      <c r="I1387">
        <v>27920.02</v>
      </c>
      <c r="J1387" t="s">
        <v>37</v>
      </c>
      <c r="K1387" t="s">
        <v>38</v>
      </c>
      <c r="L1387">
        <v>0</v>
      </c>
      <c r="M1387">
        <v>0</v>
      </c>
      <c r="N1387">
        <v>0</v>
      </c>
      <c r="O1387">
        <v>0</v>
      </c>
      <c r="P1387">
        <v>0</v>
      </c>
      <c r="Q1387">
        <v>470</v>
      </c>
      <c r="R1387">
        <v>0.84</v>
      </c>
      <c r="S1387" t="s">
        <v>27</v>
      </c>
      <c r="T1387" s="1">
        <v>45838</v>
      </c>
      <c r="U1387">
        <v>0</v>
      </c>
    </row>
    <row r="1388" spans="1:21" x14ac:dyDescent="0.25">
      <c r="A1388" t="s">
        <v>1435</v>
      </c>
      <c r="B1388">
        <v>32</v>
      </c>
      <c r="C1388" t="s">
        <v>29</v>
      </c>
      <c r="D1388" t="s">
        <v>41</v>
      </c>
      <c r="E1388" t="s">
        <v>31</v>
      </c>
      <c r="F1388" t="s">
        <v>49</v>
      </c>
      <c r="G1388">
        <v>5713.52</v>
      </c>
      <c r="H1388">
        <v>2193.4699999999998</v>
      </c>
      <c r="I1388">
        <v>16798.009999999998</v>
      </c>
      <c r="J1388" t="s">
        <v>37</v>
      </c>
      <c r="K1388" t="s">
        <v>38</v>
      </c>
      <c r="L1388">
        <v>0</v>
      </c>
      <c r="M1388">
        <v>0</v>
      </c>
      <c r="N1388">
        <v>0</v>
      </c>
      <c r="O1388">
        <v>0</v>
      </c>
      <c r="P1388">
        <v>0</v>
      </c>
      <c r="Q1388">
        <v>568</v>
      </c>
      <c r="R1388">
        <v>0.25</v>
      </c>
      <c r="S1388" t="s">
        <v>72</v>
      </c>
      <c r="T1388" s="1">
        <v>44455</v>
      </c>
      <c r="U1388">
        <v>0</v>
      </c>
    </row>
    <row r="1389" spans="1:21" x14ac:dyDescent="0.25">
      <c r="A1389" t="s">
        <v>1436</v>
      </c>
      <c r="B1389">
        <v>66</v>
      </c>
      <c r="C1389" t="s">
        <v>29</v>
      </c>
      <c r="D1389" t="s">
        <v>35</v>
      </c>
      <c r="E1389" t="s">
        <v>31</v>
      </c>
      <c r="F1389" t="s">
        <v>44</v>
      </c>
      <c r="G1389">
        <v>3490.42</v>
      </c>
      <c r="H1389">
        <v>2995.88</v>
      </c>
      <c r="I1389">
        <v>7576.38</v>
      </c>
      <c r="J1389" t="s">
        <v>25</v>
      </c>
      <c r="K1389" t="s">
        <v>26</v>
      </c>
      <c r="L1389">
        <v>121265.17</v>
      </c>
      <c r="M1389">
        <v>180</v>
      </c>
      <c r="N1389">
        <v>1912.01</v>
      </c>
      <c r="O1389">
        <v>17.53</v>
      </c>
      <c r="P1389">
        <v>0.55000000000000004</v>
      </c>
      <c r="Q1389">
        <v>439</v>
      </c>
      <c r="R1389">
        <v>0.18</v>
      </c>
      <c r="S1389" t="s">
        <v>47</v>
      </c>
      <c r="T1389" s="1">
        <v>44798</v>
      </c>
      <c r="U1389">
        <v>1</v>
      </c>
    </row>
    <row r="1390" spans="1:21" x14ac:dyDescent="0.25">
      <c r="A1390" t="s">
        <v>1437</v>
      </c>
      <c r="B1390">
        <v>39</v>
      </c>
      <c r="C1390" t="s">
        <v>21</v>
      </c>
      <c r="D1390" t="s">
        <v>22</v>
      </c>
      <c r="E1390" t="s">
        <v>31</v>
      </c>
      <c r="F1390" t="s">
        <v>23</v>
      </c>
      <c r="G1390">
        <v>2329.75</v>
      </c>
      <c r="H1390">
        <v>882.52</v>
      </c>
      <c r="I1390">
        <v>19652.29</v>
      </c>
      <c r="J1390" t="s">
        <v>37</v>
      </c>
      <c r="K1390" t="s">
        <v>38</v>
      </c>
      <c r="L1390">
        <v>0</v>
      </c>
      <c r="M1390">
        <v>0</v>
      </c>
      <c r="N1390">
        <v>0</v>
      </c>
      <c r="O1390">
        <v>0</v>
      </c>
      <c r="P1390">
        <v>0</v>
      </c>
      <c r="Q1390">
        <v>366</v>
      </c>
      <c r="R1390">
        <v>0.7</v>
      </c>
      <c r="S1390" t="s">
        <v>30</v>
      </c>
      <c r="T1390" s="1">
        <v>45309</v>
      </c>
      <c r="U1390">
        <v>0</v>
      </c>
    </row>
    <row r="1391" spans="1:21" x14ac:dyDescent="0.25">
      <c r="A1391" t="s">
        <v>1438</v>
      </c>
      <c r="B1391">
        <v>38</v>
      </c>
      <c r="C1391" t="s">
        <v>21</v>
      </c>
      <c r="D1391" t="s">
        <v>41</v>
      </c>
      <c r="E1391" t="s">
        <v>31</v>
      </c>
      <c r="F1391" t="s">
        <v>32</v>
      </c>
      <c r="G1391">
        <v>3013.28</v>
      </c>
      <c r="H1391">
        <v>1507.48</v>
      </c>
      <c r="I1391">
        <v>28875.919999999998</v>
      </c>
      <c r="J1391" t="s">
        <v>25</v>
      </c>
      <c r="K1391" t="s">
        <v>26</v>
      </c>
      <c r="L1391">
        <v>346164.4</v>
      </c>
      <c r="M1391">
        <v>240</v>
      </c>
      <c r="N1391">
        <v>3596.66</v>
      </c>
      <c r="O1391">
        <v>11.1</v>
      </c>
      <c r="P1391">
        <v>1.19</v>
      </c>
      <c r="Q1391">
        <v>743</v>
      </c>
      <c r="R1391">
        <v>0.8</v>
      </c>
      <c r="S1391" t="s">
        <v>30</v>
      </c>
      <c r="T1391" s="1">
        <v>45106</v>
      </c>
      <c r="U1391">
        <v>1</v>
      </c>
    </row>
    <row r="1392" spans="1:21" x14ac:dyDescent="0.25">
      <c r="A1392" t="s">
        <v>1439</v>
      </c>
      <c r="B1392">
        <v>52</v>
      </c>
      <c r="C1392" t="s">
        <v>21</v>
      </c>
      <c r="D1392" t="s">
        <v>41</v>
      </c>
      <c r="E1392" t="s">
        <v>31</v>
      </c>
      <c r="F1392" t="s">
        <v>52</v>
      </c>
      <c r="G1392">
        <v>3748</v>
      </c>
      <c r="H1392">
        <v>1923.74</v>
      </c>
      <c r="I1392">
        <v>30722.43</v>
      </c>
      <c r="J1392" t="s">
        <v>37</v>
      </c>
      <c r="K1392" t="s">
        <v>38</v>
      </c>
      <c r="L1392">
        <v>0</v>
      </c>
      <c r="M1392">
        <v>0</v>
      </c>
      <c r="N1392">
        <v>0</v>
      </c>
      <c r="O1392">
        <v>0</v>
      </c>
      <c r="P1392">
        <v>0</v>
      </c>
      <c r="Q1392">
        <v>484</v>
      </c>
      <c r="R1392">
        <v>0.68</v>
      </c>
      <c r="S1392" t="s">
        <v>39</v>
      </c>
      <c r="T1392" s="1">
        <v>45812</v>
      </c>
      <c r="U1392">
        <v>0</v>
      </c>
    </row>
    <row r="1393" spans="1:21" x14ac:dyDescent="0.25">
      <c r="A1393" t="s">
        <v>1440</v>
      </c>
      <c r="B1393">
        <v>24</v>
      </c>
      <c r="C1393" t="s">
        <v>29</v>
      </c>
      <c r="D1393" t="s">
        <v>22</v>
      </c>
      <c r="E1393" t="s">
        <v>31</v>
      </c>
      <c r="F1393" t="s">
        <v>63</v>
      </c>
      <c r="G1393">
        <v>2699.14</v>
      </c>
      <c r="H1393">
        <v>1324.04</v>
      </c>
      <c r="I1393">
        <v>10153.07</v>
      </c>
      <c r="J1393" t="s">
        <v>25</v>
      </c>
      <c r="K1393" t="s">
        <v>54</v>
      </c>
      <c r="L1393">
        <v>249697.49</v>
      </c>
      <c r="M1393">
        <v>240</v>
      </c>
      <c r="N1393">
        <v>4710.75</v>
      </c>
      <c r="O1393">
        <v>22.37</v>
      </c>
      <c r="P1393">
        <v>1.75</v>
      </c>
      <c r="Q1393">
        <v>616</v>
      </c>
      <c r="R1393">
        <v>0.31</v>
      </c>
      <c r="S1393" t="s">
        <v>39</v>
      </c>
      <c r="T1393" s="1">
        <v>44524</v>
      </c>
      <c r="U1393">
        <v>1</v>
      </c>
    </row>
    <row r="1394" spans="1:21" x14ac:dyDescent="0.25">
      <c r="A1394" t="s">
        <v>1441</v>
      </c>
      <c r="B1394">
        <v>48</v>
      </c>
      <c r="C1394" t="s">
        <v>29</v>
      </c>
      <c r="D1394" t="s">
        <v>35</v>
      </c>
      <c r="E1394" t="s">
        <v>51</v>
      </c>
      <c r="F1394" t="s">
        <v>23</v>
      </c>
      <c r="G1394">
        <v>4541.9399999999996</v>
      </c>
      <c r="H1394">
        <v>3746.95</v>
      </c>
      <c r="I1394">
        <v>13124.06</v>
      </c>
      <c r="J1394" t="s">
        <v>25</v>
      </c>
      <c r="K1394" t="s">
        <v>26</v>
      </c>
      <c r="L1394">
        <v>377757.63</v>
      </c>
      <c r="M1394">
        <v>300</v>
      </c>
      <c r="N1394">
        <v>4663.2700000000004</v>
      </c>
      <c r="O1394">
        <v>14.4</v>
      </c>
      <c r="P1394">
        <v>1.03</v>
      </c>
      <c r="Q1394">
        <v>509</v>
      </c>
      <c r="R1394">
        <v>0.24</v>
      </c>
      <c r="S1394" t="s">
        <v>27</v>
      </c>
      <c r="T1394" s="1">
        <v>44960</v>
      </c>
      <c r="U1394">
        <v>1</v>
      </c>
    </row>
    <row r="1395" spans="1:21" x14ac:dyDescent="0.25">
      <c r="A1395" t="s">
        <v>1442</v>
      </c>
      <c r="B1395">
        <v>23</v>
      </c>
      <c r="C1395" t="s">
        <v>29</v>
      </c>
      <c r="D1395" t="s">
        <v>41</v>
      </c>
      <c r="E1395" t="s">
        <v>31</v>
      </c>
      <c r="F1395" t="s">
        <v>23</v>
      </c>
      <c r="G1395">
        <v>3146.81</v>
      </c>
      <c r="H1395">
        <v>2251.9299999999998</v>
      </c>
      <c r="I1395">
        <v>18104.84</v>
      </c>
      <c r="J1395" t="s">
        <v>37</v>
      </c>
      <c r="K1395" t="s">
        <v>38</v>
      </c>
      <c r="L1395">
        <v>0</v>
      </c>
      <c r="M1395">
        <v>0</v>
      </c>
      <c r="N1395">
        <v>0</v>
      </c>
      <c r="O1395">
        <v>0</v>
      </c>
      <c r="P1395">
        <v>0</v>
      </c>
      <c r="Q1395">
        <v>594</v>
      </c>
      <c r="R1395">
        <v>0.48</v>
      </c>
      <c r="S1395" t="s">
        <v>39</v>
      </c>
      <c r="T1395" s="1">
        <v>45607</v>
      </c>
      <c r="U1395">
        <v>0</v>
      </c>
    </row>
    <row r="1396" spans="1:21" x14ac:dyDescent="0.25">
      <c r="A1396" t="s">
        <v>1443</v>
      </c>
      <c r="B1396">
        <v>43</v>
      </c>
      <c r="C1396" t="s">
        <v>21</v>
      </c>
      <c r="D1396" t="s">
        <v>22</v>
      </c>
      <c r="E1396" t="s">
        <v>31</v>
      </c>
      <c r="F1396" t="s">
        <v>44</v>
      </c>
      <c r="G1396">
        <v>3389.99</v>
      </c>
      <c r="H1396">
        <v>2917.43</v>
      </c>
      <c r="I1396">
        <v>14303.69</v>
      </c>
      <c r="J1396" t="s">
        <v>37</v>
      </c>
      <c r="K1396" t="s">
        <v>38</v>
      </c>
      <c r="L1396">
        <v>0</v>
      </c>
      <c r="M1396">
        <v>0</v>
      </c>
      <c r="N1396">
        <v>0</v>
      </c>
      <c r="O1396">
        <v>0</v>
      </c>
      <c r="P1396">
        <v>0</v>
      </c>
      <c r="Q1396">
        <v>681</v>
      </c>
      <c r="R1396">
        <v>0.35</v>
      </c>
      <c r="S1396" t="s">
        <v>39</v>
      </c>
      <c r="T1396" s="1">
        <v>45585</v>
      </c>
      <c r="U1396">
        <v>0</v>
      </c>
    </row>
    <row r="1397" spans="1:21" x14ac:dyDescent="0.25">
      <c r="A1397" t="s">
        <v>1444</v>
      </c>
      <c r="B1397">
        <v>44</v>
      </c>
      <c r="C1397" t="s">
        <v>21</v>
      </c>
      <c r="D1397" t="s">
        <v>41</v>
      </c>
      <c r="E1397" t="s">
        <v>51</v>
      </c>
      <c r="F1397" t="s">
        <v>42</v>
      </c>
      <c r="G1397">
        <v>6470.93</v>
      </c>
      <c r="H1397">
        <v>4528.5600000000004</v>
      </c>
      <c r="I1397">
        <v>67833.5</v>
      </c>
      <c r="J1397" t="s">
        <v>25</v>
      </c>
      <c r="K1397" t="s">
        <v>26</v>
      </c>
      <c r="L1397">
        <v>150894.29999999999</v>
      </c>
      <c r="M1397">
        <v>180</v>
      </c>
      <c r="N1397">
        <v>2028.82</v>
      </c>
      <c r="O1397">
        <v>14.19</v>
      </c>
      <c r="P1397">
        <v>0.31</v>
      </c>
      <c r="Q1397">
        <v>571</v>
      </c>
      <c r="R1397">
        <v>0.87</v>
      </c>
      <c r="S1397" t="s">
        <v>47</v>
      </c>
      <c r="T1397" s="1">
        <v>45346</v>
      </c>
      <c r="U1397">
        <v>0</v>
      </c>
    </row>
    <row r="1398" spans="1:21" x14ac:dyDescent="0.25">
      <c r="A1398" t="s">
        <v>1445</v>
      </c>
      <c r="B1398">
        <v>55</v>
      </c>
      <c r="C1398" t="s">
        <v>21</v>
      </c>
      <c r="D1398" t="s">
        <v>35</v>
      </c>
      <c r="E1398" t="s">
        <v>51</v>
      </c>
      <c r="F1398" t="s">
        <v>63</v>
      </c>
      <c r="G1398">
        <v>1506.94</v>
      </c>
      <c r="H1398">
        <v>954.47</v>
      </c>
      <c r="I1398">
        <v>16184.24</v>
      </c>
      <c r="J1398" t="s">
        <v>25</v>
      </c>
      <c r="K1398" t="s">
        <v>54</v>
      </c>
      <c r="L1398">
        <v>157277.57999999999</v>
      </c>
      <c r="M1398">
        <v>240</v>
      </c>
      <c r="N1398">
        <v>2205.85</v>
      </c>
      <c r="O1398">
        <v>16.149999999999999</v>
      </c>
      <c r="P1398">
        <v>1.46</v>
      </c>
      <c r="Q1398">
        <v>505</v>
      </c>
      <c r="R1398">
        <v>0.89</v>
      </c>
      <c r="S1398" t="s">
        <v>27</v>
      </c>
      <c r="T1398" s="1">
        <v>45109</v>
      </c>
      <c r="U1398">
        <v>1</v>
      </c>
    </row>
    <row r="1399" spans="1:21" x14ac:dyDescent="0.25">
      <c r="A1399" t="s">
        <v>1446</v>
      </c>
      <c r="B1399">
        <v>42</v>
      </c>
      <c r="C1399" t="s">
        <v>29</v>
      </c>
      <c r="D1399" t="s">
        <v>41</v>
      </c>
      <c r="E1399" t="s">
        <v>51</v>
      </c>
      <c r="F1399" t="s">
        <v>23</v>
      </c>
      <c r="G1399">
        <v>3068.34</v>
      </c>
      <c r="H1399">
        <v>2392.33</v>
      </c>
      <c r="I1399">
        <v>16724.89</v>
      </c>
      <c r="J1399" t="s">
        <v>37</v>
      </c>
      <c r="K1399" t="s">
        <v>38</v>
      </c>
      <c r="L1399">
        <v>0</v>
      </c>
      <c r="M1399">
        <v>0</v>
      </c>
      <c r="N1399">
        <v>0</v>
      </c>
      <c r="O1399">
        <v>0</v>
      </c>
      <c r="P1399">
        <v>0</v>
      </c>
      <c r="Q1399">
        <v>613</v>
      </c>
      <c r="R1399">
        <v>0.45</v>
      </c>
      <c r="S1399" t="s">
        <v>39</v>
      </c>
      <c r="T1399" s="1">
        <v>44408</v>
      </c>
      <c r="U1399">
        <v>0</v>
      </c>
    </row>
    <row r="1400" spans="1:21" x14ac:dyDescent="0.25">
      <c r="A1400" t="s">
        <v>1447</v>
      </c>
      <c r="B1400">
        <v>18</v>
      </c>
      <c r="C1400" t="s">
        <v>29</v>
      </c>
      <c r="D1400" t="s">
        <v>41</v>
      </c>
      <c r="E1400" t="s">
        <v>23</v>
      </c>
      <c r="F1400" t="s">
        <v>44</v>
      </c>
      <c r="G1400">
        <v>4168.3100000000004</v>
      </c>
      <c r="H1400">
        <v>2750.61</v>
      </c>
      <c r="I1400">
        <v>14782.5</v>
      </c>
      <c r="J1400" t="s">
        <v>37</v>
      </c>
      <c r="K1400" t="s">
        <v>38</v>
      </c>
      <c r="L1400">
        <v>0</v>
      </c>
      <c r="M1400">
        <v>0</v>
      </c>
      <c r="N1400">
        <v>0</v>
      </c>
      <c r="O1400">
        <v>0</v>
      </c>
      <c r="P1400">
        <v>0</v>
      </c>
      <c r="Q1400">
        <v>840</v>
      </c>
      <c r="R1400">
        <v>0.3</v>
      </c>
      <c r="S1400" t="s">
        <v>47</v>
      </c>
      <c r="T1400" s="1">
        <v>44921</v>
      </c>
      <c r="U1400">
        <v>0</v>
      </c>
    </row>
    <row r="1401" spans="1:21" x14ac:dyDescent="0.25">
      <c r="A1401" t="s">
        <v>1448</v>
      </c>
      <c r="B1401">
        <v>59</v>
      </c>
      <c r="C1401" t="s">
        <v>21</v>
      </c>
      <c r="D1401" t="s">
        <v>41</v>
      </c>
      <c r="E1401" t="s">
        <v>23</v>
      </c>
      <c r="F1401" t="s">
        <v>36</v>
      </c>
      <c r="G1401">
        <v>1413.88</v>
      </c>
      <c r="H1401">
        <v>550.91</v>
      </c>
      <c r="I1401">
        <v>7243.14</v>
      </c>
      <c r="J1401" t="s">
        <v>37</v>
      </c>
      <c r="K1401" t="s">
        <v>38</v>
      </c>
      <c r="L1401">
        <v>0</v>
      </c>
      <c r="M1401">
        <v>0</v>
      </c>
      <c r="N1401">
        <v>0</v>
      </c>
      <c r="O1401">
        <v>0</v>
      </c>
      <c r="P1401">
        <v>0</v>
      </c>
      <c r="Q1401">
        <v>493</v>
      </c>
      <c r="R1401">
        <v>0.43</v>
      </c>
      <c r="S1401" t="s">
        <v>47</v>
      </c>
      <c r="T1401" s="1">
        <v>45737</v>
      </c>
      <c r="U1401">
        <v>0</v>
      </c>
    </row>
    <row r="1402" spans="1:21" x14ac:dyDescent="0.25">
      <c r="A1402" t="s">
        <v>1449</v>
      </c>
      <c r="B1402">
        <v>53</v>
      </c>
      <c r="C1402" t="s">
        <v>21</v>
      </c>
      <c r="D1402" t="s">
        <v>30</v>
      </c>
      <c r="E1402" t="s">
        <v>31</v>
      </c>
      <c r="F1402" t="s">
        <v>63</v>
      </c>
      <c r="G1402">
        <v>5587.27</v>
      </c>
      <c r="H1402">
        <v>1858.36</v>
      </c>
      <c r="I1402">
        <v>52120.84</v>
      </c>
      <c r="J1402" t="s">
        <v>37</v>
      </c>
      <c r="K1402" t="s">
        <v>38</v>
      </c>
      <c r="L1402">
        <v>0</v>
      </c>
      <c r="M1402">
        <v>0</v>
      </c>
      <c r="N1402">
        <v>0</v>
      </c>
      <c r="O1402">
        <v>0</v>
      </c>
      <c r="P1402">
        <v>0</v>
      </c>
      <c r="Q1402">
        <v>410</v>
      </c>
      <c r="R1402">
        <v>0.78</v>
      </c>
      <c r="S1402" t="s">
        <v>72</v>
      </c>
      <c r="T1402" s="1">
        <v>45750</v>
      </c>
      <c r="U1402">
        <v>0</v>
      </c>
    </row>
    <row r="1403" spans="1:21" x14ac:dyDescent="0.25">
      <c r="A1403" t="s">
        <v>1450</v>
      </c>
      <c r="B1403">
        <v>45</v>
      </c>
      <c r="C1403" t="s">
        <v>29</v>
      </c>
      <c r="D1403" t="s">
        <v>41</v>
      </c>
      <c r="E1403" t="s">
        <v>51</v>
      </c>
      <c r="F1403" t="s">
        <v>42</v>
      </c>
      <c r="G1403">
        <v>3103.18</v>
      </c>
      <c r="H1403">
        <v>1170.83</v>
      </c>
      <c r="I1403">
        <v>33731.57</v>
      </c>
      <c r="J1403" t="s">
        <v>37</v>
      </c>
      <c r="K1403" t="s">
        <v>38</v>
      </c>
      <c r="L1403">
        <v>0</v>
      </c>
      <c r="M1403">
        <v>0</v>
      </c>
      <c r="N1403">
        <v>0</v>
      </c>
      <c r="O1403">
        <v>0</v>
      </c>
      <c r="P1403">
        <v>0</v>
      </c>
      <c r="Q1403">
        <v>830</v>
      </c>
      <c r="R1403">
        <v>0.91</v>
      </c>
      <c r="S1403" t="s">
        <v>72</v>
      </c>
      <c r="T1403" s="1">
        <v>44447</v>
      </c>
      <c r="U1403">
        <v>0</v>
      </c>
    </row>
    <row r="1404" spans="1:21" x14ac:dyDescent="0.25">
      <c r="A1404" t="s">
        <v>1451</v>
      </c>
      <c r="B1404">
        <v>58</v>
      </c>
      <c r="C1404" t="s">
        <v>29</v>
      </c>
      <c r="D1404" t="s">
        <v>35</v>
      </c>
      <c r="E1404" t="s">
        <v>23</v>
      </c>
      <c r="F1404" t="s">
        <v>24</v>
      </c>
      <c r="G1404">
        <v>2303.41</v>
      </c>
      <c r="H1404">
        <v>1849.54</v>
      </c>
      <c r="I1404">
        <v>8897.23</v>
      </c>
      <c r="J1404" t="s">
        <v>37</v>
      </c>
      <c r="K1404" t="s">
        <v>38</v>
      </c>
      <c r="L1404">
        <v>0</v>
      </c>
      <c r="M1404">
        <v>0</v>
      </c>
      <c r="N1404">
        <v>0</v>
      </c>
      <c r="O1404">
        <v>0</v>
      </c>
      <c r="P1404">
        <v>0</v>
      </c>
      <c r="Q1404">
        <v>650</v>
      </c>
      <c r="R1404">
        <v>0.32</v>
      </c>
      <c r="S1404" t="s">
        <v>72</v>
      </c>
      <c r="T1404" s="1">
        <v>44477</v>
      </c>
      <c r="U1404">
        <v>0</v>
      </c>
    </row>
    <row r="1405" spans="1:21" x14ac:dyDescent="0.25">
      <c r="A1405" t="s">
        <v>1452</v>
      </c>
      <c r="B1405">
        <v>45</v>
      </c>
      <c r="C1405" t="s">
        <v>21</v>
      </c>
      <c r="D1405" t="s">
        <v>22</v>
      </c>
      <c r="E1405" t="s">
        <v>31</v>
      </c>
      <c r="F1405" t="s">
        <v>63</v>
      </c>
      <c r="G1405">
        <v>3615.9</v>
      </c>
      <c r="H1405">
        <v>2113.48</v>
      </c>
      <c r="I1405">
        <v>39784.5</v>
      </c>
      <c r="J1405" t="s">
        <v>37</v>
      </c>
      <c r="K1405" t="s">
        <v>38</v>
      </c>
      <c r="L1405">
        <v>0</v>
      </c>
      <c r="M1405">
        <v>0</v>
      </c>
      <c r="N1405">
        <v>0</v>
      </c>
      <c r="O1405">
        <v>0</v>
      </c>
      <c r="P1405">
        <v>0</v>
      </c>
      <c r="Q1405">
        <v>681</v>
      </c>
      <c r="R1405">
        <v>0.92</v>
      </c>
      <c r="S1405" t="s">
        <v>39</v>
      </c>
      <c r="T1405" s="1">
        <v>45400</v>
      </c>
      <c r="U1405">
        <v>0</v>
      </c>
    </row>
    <row r="1406" spans="1:21" x14ac:dyDescent="0.25">
      <c r="A1406" t="s">
        <v>1453</v>
      </c>
      <c r="B1406">
        <v>56</v>
      </c>
      <c r="C1406" t="s">
        <v>21</v>
      </c>
      <c r="D1406" t="s">
        <v>41</v>
      </c>
      <c r="E1406" t="s">
        <v>51</v>
      </c>
      <c r="F1406" t="s">
        <v>42</v>
      </c>
      <c r="G1406">
        <v>4105.28</v>
      </c>
      <c r="H1406">
        <v>3217.57</v>
      </c>
      <c r="I1406">
        <v>22146.959999999999</v>
      </c>
      <c r="J1406" t="s">
        <v>37</v>
      </c>
      <c r="K1406" t="s">
        <v>38</v>
      </c>
      <c r="L1406">
        <v>0</v>
      </c>
      <c r="M1406">
        <v>0</v>
      </c>
      <c r="N1406">
        <v>0</v>
      </c>
      <c r="O1406">
        <v>0</v>
      </c>
      <c r="P1406">
        <v>0</v>
      </c>
      <c r="Q1406">
        <v>710</v>
      </c>
      <c r="R1406">
        <v>0.45</v>
      </c>
      <c r="S1406" t="s">
        <v>30</v>
      </c>
      <c r="T1406" s="1">
        <v>45441</v>
      </c>
      <c r="U1406">
        <v>0</v>
      </c>
    </row>
    <row r="1407" spans="1:21" x14ac:dyDescent="0.25">
      <c r="A1407" t="s">
        <v>1454</v>
      </c>
      <c r="B1407">
        <v>56</v>
      </c>
      <c r="C1407" t="s">
        <v>30</v>
      </c>
      <c r="D1407" t="s">
        <v>35</v>
      </c>
      <c r="E1407" t="s">
        <v>31</v>
      </c>
      <c r="F1407" t="s">
        <v>44</v>
      </c>
      <c r="G1407">
        <v>1834.67</v>
      </c>
      <c r="H1407">
        <v>605.05999999999995</v>
      </c>
      <c r="I1407">
        <v>17721.689999999999</v>
      </c>
      <c r="J1407" t="s">
        <v>37</v>
      </c>
      <c r="K1407" t="s">
        <v>38</v>
      </c>
      <c r="L1407">
        <v>0</v>
      </c>
      <c r="M1407">
        <v>0</v>
      </c>
      <c r="N1407">
        <v>0</v>
      </c>
      <c r="O1407">
        <v>0</v>
      </c>
      <c r="P1407">
        <v>0</v>
      </c>
      <c r="Q1407">
        <v>798</v>
      </c>
      <c r="R1407">
        <v>0.8</v>
      </c>
      <c r="S1407" t="s">
        <v>47</v>
      </c>
      <c r="T1407" s="1">
        <v>45404</v>
      </c>
      <c r="U1407">
        <v>0</v>
      </c>
    </row>
    <row r="1408" spans="1:21" x14ac:dyDescent="0.25">
      <c r="A1408" t="s">
        <v>1455</v>
      </c>
      <c r="B1408">
        <v>30</v>
      </c>
      <c r="C1408" t="s">
        <v>21</v>
      </c>
      <c r="D1408" t="s">
        <v>41</v>
      </c>
      <c r="E1408" t="s">
        <v>31</v>
      </c>
      <c r="F1408" t="s">
        <v>36</v>
      </c>
      <c r="G1408">
        <v>2100.85</v>
      </c>
      <c r="H1408">
        <v>913.81</v>
      </c>
      <c r="I1408">
        <v>14334.56</v>
      </c>
      <c r="J1408" t="s">
        <v>25</v>
      </c>
      <c r="K1408" t="s">
        <v>45</v>
      </c>
      <c r="L1408">
        <v>380268.73</v>
      </c>
      <c r="M1408">
        <v>300</v>
      </c>
      <c r="N1408">
        <v>4081.16</v>
      </c>
      <c r="O1408">
        <v>12.27</v>
      </c>
      <c r="P1408">
        <v>1.94</v>
      </c>
      <c r="Q1408">
        <v>405</v>
      </c>
      <c r="R1408">
        <v>0.56999999999999995</v>
      </c>
      <c r="S1408" t="s">
        <v>47</v>
      </c>
      <c r="T1408" s="1">
        <v>45750</v>
      </c>
      <c r="U1408">
        <v>1</v>
      </c>
    </row>
    <row r="1409" spans="1:21" x14ac:dyDescent="0.25">
      <c r="A1409" t="s">
        <v>1456</v>
      </c>
      <c r="B1409">
        <v>26</v>
      </c>
      <c r="C1409" t="s">
        <v>21</v>
      </c>
      <c r="D1409" t="s">
        <v>41</v>
      </c>
      <c r="E1409" t="s">
        <v>49</v>
      </c>
      <c r="F1409" t="s">
        <v>44</v>
      </c>
      <c r="G1409">
        <v>7617.43</v>
      </c>
      <c r="H1409">
        <v>4826.3</v>
      </c>
      <c r="I1409">
        <v>53459.28</v>
      </c>
      <c r="J1409" t="s">
        <v>37</v>
      </c>
      <c r="K1409" t="s">
        <v>38</v>
      </c>
      <c r="L1409">
        <v>0</v>
      </c>
      <c r="M1409">
        <v>0</v>
      </c>
      <c r="N1409">
        <v>0</v>
      </c>
      <c r="O1409">
        <v>0</v>
      </c>
      <c r="P1409">
        <v>0</v>
      </c>
      <c r="Q1409">
        <v>430</v>
      </c>
      <c r="R1409">
        <v>0.57999999999999996</v>
      </c>
      <c r="S1409" t="s">
        <v>30</v>
      </c>
      <c r="T1409" s="1">
        <v>45267</v>
      </c>
      <c r="U1409">
        <v>0</v>
      </c>
    </row>
    <row r="1410" spans="1:21" x14ac:dyDescent="0.25">
      <c r="A1410" t="s">
        <v>1457</v>
      </c>
      <c r="B1410">
        <v>50</v>
      </c>
      <c r="C1410" t="s">
        <v>21</v>
      </c>
      <c r="D1410" t="s">
        <v>22</v>
      </c>
      <c r="E1410" t="s">
        <v>51</v>
      </c>
      <c r="F1410" t="s">
        <v>36</v>
      </c>
      <c r="G1410">
        <v>4076.44</v>
      </c>
      <c r="H1410">
        <v>1301.32</v>
      </c>
      <c r="I1410">
        <v>25452.78</v>
      </c>
      <c r="J1410" t="s">
        <v>25</v>
      </c>
      <c r="K1410" t="s">
        <v>33</v>
      </c>
      <c r="L1410">
        <v>241395.15</v>
      </c>
      <c r="M1410">
        <v>60</v>
      </c>
      <c r="N1410">
        <v>4392.4799999999996</v>
      </c>
      <c r="O1410">
        <v>3.51</v>
      </c>
      <c r="P1410">
        <v>1.08</v>
      </c>
      <c r="Q1410">
        <v>484</v>
      </c>
      <c r="R1410">
        <v>0.52</v>
      </c>
      <c r="S1410" t="s">
        <v>27</v>
      </c>
      <c r="T1410" s="1">
        <v>45389</v>
      </c>
      <c r="U1410">
        <v>1</v>
      </c>
    </row>
    <row r="1411" spans="1:21" x14ac:dyDescent="0.25">
      <c r="A1411" t="s">
        <v>1458</v>
      </c>
      <c r="B1411">
        <v>66</v>
      </c>
      <c r="C1411" t="s">
        <v>21</v>
      </c>
      <c r="D1411" t="s">
        <v>35</v>
      </c>
      <c r="E1411" t="s">
        <v>49</v>
      </c>
      <c r="F1411" t="s">
        <v>49</v>
      </c>
      <c r="G1411">
        <v>4397.54</v>
      </c>
      <c r="H1411">
        <v>3294.43</v>
      </c>
      <c r="I1411">
        <v>42953.23</v>
      </c>
      <c r="J1411" t="s">
        <v>37</v>
      </c>
      <c r="K1411" t="s">
        <v>38</v>
      </c>
      <c r="L1411">
        <v>0</v>
      </c>
      <c r="M1411">
        <v>0</v>
      </c>
      <c r="N1411">
        <v>0</v>
      </c>
      <c r="O1411">
        <v>0</v>
      </c>
      <c r="P1411">
        <v>0</v>
      </c>
      <c r="Q1411">
        <v>602</v>
      </c>
      <c r="R1411">
        <v>0.81</v>
      </c>
      <c r="S1411" t="s">
        <v>72</v>
      </c>
      <c r="T1411" s="1">
        <v>45399</v>
      </c>
      <c r="U1411">
        <v>0</v>
      </c>
    </row>
    <row r="1412" spans="1:21" x14ac:dyDescent="0.25">
      <c r="A1412" t="s">
        <v>1459</v>
      </c>
      <c r="B1412">
        <v>41</v>
      </c>
      <c r="C1412" t="s">
        <v>21</v>
      </c>
      <c r="D1412" t="s">
        <v>41</v>
      </c>
      <c r="E1412" t="s">
        <v>51</v>
      </c>
      <c r="F1412" t="s">
        <v>24</v>
      </c>
      <c r="G1412">
        <v>5840.41</v>
      </c>
      <c r="H1412">
        <v>4349.91</v>
      </c>
      <c r="I1412">
        <v>16423.09</v>
      </c>
      <c r="J1412" t="s">
        <v>25</v>
      </c>
      <c r="K1412" t="s">
        <v>33</v>
      </c>
      <c r="L1412">
        <v>10510.43</v>
      </c>
      <c r="M1412">
        <v>12</v>
      </c>
      <c r="N1412">
        <v>930.25</v>
      </c>
      <c r="O1412">
        <v>11.27</v>
      </c>
      <c r="P1412">
        <v>0.16</v>
      </c>
      <c r="Q1412">
        <v>730</v>
      </c>
      <c r="R1412">
        <v>0.23</v>
      </c>
      <c r="S1412" t="s">
        <v>39</v>
      </c>
      <c r="T1412" s="1">
        <v>45531</v>
      </c>
      <c r="U1412">
        <v>0</v>
      </c>
    </row>
    <row r="1413" spans="1:21" x14ac:dyDescent="0.25">
      <c r="A1413" t="s">
        <v>1460</v>
      </c>
      <c r="B1413">
        <v>31</v>
      </c>
      <c r="C1413" t="s">
        <v>21</v>
      </c>
      <c r="D1413" t="s">
        <v>35</v>
      </c>
      <c r="E1413" t="s">
        <v>31</v>
      </c>
      <c r="F1413" t="s">
        <v>32</v>
      </c>
      <c r="G1413">
        <v>7214.07</v>
      </c>
      <c r="H1413">
        <v>4234.05</v>
      </c>
      <c r="I1413">
        <v>36243.870000000003</v>
      </c>
      <c r="J1413" t="s">
        <v>37</v>
      </c>
      <c r="K1413" t="s">
        <v>38</v>
      </c>
      <c r="L1413">
        <v>0</v>
      </c>
      <c r="M1413">
        <v>0</v>
      </c>
      <c r="N1413">
        <v>0</v>
      </c>
      <c r="O1413">
        <v>0</v>
      </c>
      <c r="P1413">
        <v>0</v>
      </c>
      <c r="Q1413">
        <v>846</v>
      </c>
      <c r="R1413">
        <v>0.42</v>
      </c>
      <c r="S1413" t="s">
        <v>39</v>
      </c>
      <c r="T1413" s="1">
        <v>44565</v>
      </c>
      <c r="U1413">
        <v>0</v>
      </c>
    </row>
    <row r="1414" spans="1:21" x14ac:dyDescent="0.25">
      <c r="A1414" t="s">
        <v>1461</v>
      </c>
      <c r="B1414">
        <v>50</v>
      </c>
      <c r="C1414" t="s">
        <v>29</v>
      </c>
      <c r="D1414" t="s">
        <v>35</v>
      </c>
      <c r="E1414" t="s">
        <v>49</v>
      </c>
      <c r="F1414" t="s">
        <v>63</v>
      </c>
      <c r="G1414">
        <v>5712.56</v>
      </c>
      <c r="H1414">
        <v>4087.01</v>
      </c>
      <c r="I1414">
        <v>25378.63</v>
      </c>
      <c r="J1414" t="s">
        <v>37</v>
      </c>
      <c r="K1414" t="s">
        <v>38</v>
      </c>
      <c r="L1414">
        <v>0</v>
      </c>
      <c r="M1414">
        <v>0</v>
      </c>
      <c r="N1414">
        <v>0</v>
      </c>
      <c r="O1414">
        <v>0</v>
      </c>
      <c r="P1414">
        <v>0</v>
      </c>
      <c r="Q1414">
        <v>783</v>
      </c>
      <c r="R1414">
        <v>0.37</v>
      </c>
      <c r="S1414" t="s">
        <v>39</v>
      </c>
      <c r="T1414" s="1">
        <v>45053</v>
      </c>
      <c r="U1414">
        <v>0</v>
      </c>
    </row>
    <row r="1415" spans="1:21" x14ac:dyDescent="0.25">
      <c r="A1415" t="s">
        <v>1462</v>
      </c>
      <c r="B1415">
        <v>46</v>
      </c>
      <c r="C1415" t="s">
        <v>29</v>
      </c>
      <c r="D1415" t="s">
        <v>56</v>
      </c>
      <c r="E1415" t="s">
        <v>51</v>
      </c>
      <c r="F1415" t="s">
        <v>32</v>
      </c>
      <c r="G1415">
        <v>2790.4</v>
      </c>
      <c r="H1415">
        <v>1628.57</v>
      </c>
      <c r="I1415">
        <v>8791.19</v>
      </c>
      <c r="J1415" t="s">
        <v>37</v>
      </c>
      <c r="K1415" t="s">
        <v>38</v>
      </c>
      <c r="L1415">
        <v>0</v>
      </c>
      <c r="M1415">
        <v>0</v>
      </c>
      <c r="N1415">
        <v>0</v>
      </c>
      <c r="O1415">
        <v>0</v>
      </c>
      <c r="P1415">
        <v>0</v>
      </c>
      <c r="Q1415">
        <v>801</v>
      </c>
      <c r="R1415">
        <v>0.26</v>
      </c>
      <c r="S1415" t="s">
        <v>47</v>
      </c>
      <c r="T1415" s="1">
        <v>45114</v>
      </c>
      <c r="U1415">
        <v>0</v>
      </c>
    </row>
    <row r="1416" spans="1:21" x14ac:dyDescent="0.25">
      <c r="A1416" t="s">
        <v>1463</v>
      </c>
      <c r="B1416">
        <v>63</v>
      </c>
      <c r="C1416" t="s">
        <v>21</v>
      </c>
      <c r="D1416" t="s">
        <v>41</v>
      </c>
      <c r="E1416" t="s">
        <v>31</v>
      </c>
      <c r="F1416" t="s">
        <v>63</v>
      </c>
      <c r="G1416">
        <v>6851.33</v>
      </c>
      <c r="H1416">
        <v>5960.66</v>
      </c>
      <c r="I1416">
        <v>46410.55</v>
      </c>
      <c r="J1416" t="s">
        <v>37</v>
      </c>
      <c r="K1416" t="s">
        <v>38</v>
      </c>
      <c r="L1416">
        <v>0</v>
      </c>
      <c r="M1416">
        <v>0</v>
      </c>
      <c r="N1416">
        <v>0</v>
      </c>
      <c r="O1416">
        <v>0</v>
      </c>
      <c r="P1416">
        <v>0</v>
      </c>
      <c r="Q1416">
        <v>585</v>
      </c>
      <c r="R1416">
        <v>0.56000000000000005</v>
      </c>
      <c r="S1416" t="s">
        <v>72</v>
      </c>
      <c r="T1416" s="1">
        <v>45223</v>
      </c>
      <c r="U1416">
        <v>0</v>
      </c>
    </row>
    <row r="1417" spans="1:21" x14ac:dyDescent="0.25">
      <c r="A1417" t="s">
        <v>1464</v>
      </c>
      <c r="B1417">
        <v>32</v>
      </c>
      <c r="C1417" t="s">
        <v>21</v>
      </c>
      <c r="D1417" t="s">
        <v>22</v>
      </c>
      <c r="E1417" t="s">
        <v>23</v>
      </c>
      <c r="F1417" t="s">
        <v>42</v>
      </c>
      <c r="G1417">
        <v>2288.2399999999998</v>
      </c>
      <c r="H1417">
        <v>1659.83</v>
      </c>
      <c r="I1417">
        <v>25705.71</v>
      </c>
      <c r="J1417" t="s">
        <v>37</v>
      </c>
      <c r="K1417" t="s">
        <v>38</v>
      </c>
      <c r="L1417">
        <v>0</v>
      </c>
      <c r="M1417">
        <v>0</v>
      </c>
      <c r="N1417">
        <v>0</v>
      </c>
      <c r="O1417">
        <v>0</v>
      </c>
      <c r="P1417">
        <v>0</v>
      </c>
      <c r="Q1417">
        <v>332</v>
      </c>
      <c r="R1417">
        <v>0.94</v>
      </c>
      <c r="S1417" t="s">
        <v>39</v>
      </c>
      <c r="T1417" s="1">
        <v>44625</v>
      </c>
      <c r="U1417">
        <v>0</v>
      </c>
    </row>
    <row r="1418" spans="1:21" x14ac:dyDescent="0.25">
      <c r="A1418" t="s">
        <v>1465</v>
      </c>
      <c r="B1418">
        <v>60</v>
      </c>
      <c r="C1418" t="s">
        <v>29</v>
      </c>
      <c r="D1418" t="s">
        <v>41</v>
      </c>
      <c r="E1418" t="s">
        <v>23</v>
      </c>
      <c r="F1418" t="s">
        <v>44</v>
      </c>
      <c r="G1418">
        <v>5775.74</v>
      </c>
      <c r="H1418">
        <v>4299.09</v>
      </c>
      <c r="I1418">
        <v>60258.79</v>
      </c>
      <c r="J1418" t="s">
        <v>37</v>
      </c>
      <c r="K1418" t="s">
        <v>38</v>
      </c>
      <c r="L1418">
        <v>0</v>
      </c>
      <c r="M1418">
        <v>0</v>
      </c>
      <c r="N1418">
        <v>0</v>
      </c>
      <c r="O1418">
        <v>0</v>
      </c>
      <c r="P1418">
        <v>0</v>
      </c>
      <c r="Q1418">
        <v>580</v>
      </c>
      <c r="R1418">
        <v>0.87</v>
      </c>
      <c r="S1418" t="s">
        <v>39</v>
      </c>
      <c r="T1418" s="1">
        <v>44975</v>
      </c>
      <c r="U1418">
        <v>0</v>
      </c>
    </row>
    <row r="1419" spans="1:21" x14ac:dyDescent="0.25">
      <c r="A1419" t="s">
        <v>1466</v>
      </c>
      <c r="B1419">
        <v>60</v>
      </c>
      <c r="C1419" t="s">
        <v>29</v>
      </c>
      <c r="D1419" t="s">
        <v>41</v>
      </c>
      <c r="E1419" t="s">
        <v>51</v>
      </c>
      <c r="F1419" t="s">
        <v>49</v>
      </c>
      <c r="G1419">
        <v>3815.43</v>
      </c>
      <c r="H1419">
        <v>2332.4499999999998</v>
      </c>
      <c r="I1419">
        <v>41704.69</v>
      </c>
      <c r="J1419" t="s">
        <v>37</v>
      </c>
      <c r="K1419" t="s">
        <v>38</v>
      </c>
      <c r="L1419">
        <v>0</v>
      </c>
      <c r="M1419">
        <v>0</v>
      </c>
      <c r="N1419">
        <v>0</v>
      </c>
      <c r="O1419">
        <v>0</v>
      </c>
      <c r="P1419">
        <v>0</v>
      </c>
      <c r="Q1419">
        <v>618</v>
      </c>
      <c r="R1419">
        <v>0.91</v>
      </c>
      <c r="S1419" t="s">
        <v>30</v>
      </c>
      <c r="T1419" s="1">
        <v>44550</v>
      </c>
      <c r="U1419">
        <v>0</v>
      </c>
    </row>
    <row r="1420" spans="1:21" x14ac:dyDescent="0.25">
      <c r="A1420" t="s">
        <v>1467</v>
      </c>
      <c r="B1420">
        <v>33</v>
      </c>
      <c r="C1420" t="s">
        <v>30</v>
      </c>
      <c r="D1420" t="s">
        <v>41</v>
      </c>
      <c r="E1420" t="s">
        <v>31</v>
      </c>
      <c r="F1420" t="s">
        <v>36</v>
      </c>
      <c r="G1420">
        <v>5841.87</v>
      </c>
      <c r="H1420">
        <v>3544.72</v>
      </c>
      <c r="I1420">
        <v>26348.07</v>
      </c>
      <c r="J1420" t="s">
        <v>37</v>
      </c>
      <c r="K1420" t="s">
        <v>38</v>
      </c>
      <c r="L1420">
        <v>0</v>
      </c>
      <c r="M1420">
        <v>0</v>
      </c>
      <c r="N1420">
        <v>0</v>
      </c>
      <c r="O1420">
        <v>0</v>
      </c>
      <c r="P1420">
        <v>0</v>
      </c>
      <c r="Q1420">
        <v>339</v>
      </c>
      <c r="R1420">
        <v>0.38</v>
      </c>
      <c r="S1420" t="s">
        <v>27</v>
      </c>
      <c r="T1420" s="1">
        <v>45014</v>
      </c>
      <c r="U1420">
        <v>0</v>
      </c>
    </row>
    <row r="1421" spans="1:21" x14ac:dyDescent="0.25">
      <c r="A1421" t="s">
        <v>1468</v>
      </c>
      <c r="B1421">
        <v>38</v>
      </c>
      <c r="C1421" t="s">
        <v>21</v>
      </c>
      <c r="D1421" t="s">
        <v>41</v>
      </c>
      <c r="E1421" t="s">
        <v>31</v>
      </c>
      <c r="F1421" t="s">
        <v>32</v>
      </c>
      <c r="G1421">
        <v>3052.66</v>
      </c>
      <c r="H1421">
        <v>1334.55</v>
      </c>
      <c r="I1421">
        <v>13843.59</v>
      </c>
      <c r="J1421" t="s">
        <v>37</v>
      </c>
      <c r="K1421" t="s">
        <v>38</v>
      </c>
      <c r="L1421">
        <v>0</v>
      </c>
      <c r="M1421">
        <v>0</v>
      </c>
      <c r="N1421">
        <v>0</v>
      </c>
      <c r="O1421">
        <v>0</v>
      </c>
      <c r="P1421">
        <v>0</v>
      </c>
      <c r="Q1421">
        <v>821</v>
      </c>
      <c r="R1421">
        <v>0.38</v>
      </c>
      <c r="S1421" t="s">
        <v>27</v>
      </c>
      <c r="T1421" s="1">
        <v>44929</v>
      </c>
      <c r="U1421">
        <v>0</v>
      </c>
    </row>
    <row r="1422" spans="1:21" x14ac:dyDescent="0.25">
      <c r="A1422" t="s">
        <v>1469</v>
      </c>
      <c r="B1422">
        <v>20</v>
      </c>
      <c r="C1422" t="s">
        <v>29</v>
      </c>
      <c r="D1422" t="s">
        <v>41</v>
      </c>
      <c r="E1422" t="s">
        <v>49</v>
      </c>
      <c r="F1422" t="s">
        <v>49</v>
      </c>
      <c r="G1422">
        <v>6112.84</v>
      </c>
      <c r="H1422">
        <v>2865.41</v>
      </c>
      <c r="I1422">
        <v>21721.56</v>
      </c>
      <c r="J1422" t="s">
        <v>25</v>
      </c>
      <c r="K1422" t="s">
        <v>45</v>
      </c>
      <c r="L1422">
        <v>319648.42</v>
      </c>
      <c r="M1422">
        <v>360</v>
      </c>
      <c r="N1422">
        <v>6104.08</v>
      </c>
      <c r="O1422">
        <v>22.89</v>
      </c>
      <c r="P1422">
        <v>1</v>
      </c>
      <c r="Q1422">
        <v>713</v>
      </c>
      <c r="R1422">
        <v>0.3</v>
      </c>
      <c r="S1422" t="s">
        <v>72</v>
      </c>
      <c r="T1422" s="1">
        <v>45369</v>
      </c>
      <c r="U1422">
        <v>1</v>
      </c>
    </row>
    <row r="1423" spans="1:21" x14ac:dyDescent="0.25">
      <c r="A1423" t="s">
        <v>1470</v>
      </c>
      <c r="B1423">
        <v>25</v>
      </c>
      <c r="C1423" t="s">
        <v>29</v>
      </c>
      <c r="D1423" t="s">
        <v>41</v>
      </c>
      <c r="E1423" t="s">
        <v>51</v>
      </c>
      <c r="F1423" t="s">
        <v>63</v>
      </c>
      <c r="G1423">
        <v>5188.33</v>
      </c>
      <c r="H1423">
        <v>2142.3200000000002</v>
      </c>
      <c r="I1423">
        <v>48600.12</v>
      </c>
      <c r="J1423" t="s">
        <v>37</v>
      </c>
      <c r="K1423" t="s">
        <v>38</v>
      </c>
      <c r="L1423">
        <v>0</v>
      </c>
      <c r="M1423">
        <v>0</v>
      </c>
      <c r="N1423">
        <v>0</v>
      </c>
      <c r="O1423">
        <v>0</v>
      </c>
      <c r="P1423">
        <v>0</v>
      </c>
      <c r="Q1423">
        <v>480</v>
      </c>
      <c r="R1423">
        <v>0.78</v>
      </c>
      <c r="S1423" t="s">
        <v>39</v>
      </c>
      <c r="T1423" s="1">
        <v>44667</v>
      </c>
      <c r="U1423">
        <v>0</v>
      </c>
    </row>
    <row r="1424" spans="1:21" x14ac:dyDescent="0.25">
      <c r="A1424" t="s">
        <v>1471</v>
      </c>
      <c r="B1424">
        <v>34</v>
      </c>
      <c r="C1424" t="s">
        <v>21</v>
      </c>
      <c r="D1424" t="s">
        <v>22</v>
      </c>
      <c r="E1424" t="s">
        <v>31</v>
      </c>
      <c r="F1424" t="s">
        <v>52</v>
      </c>
      <c r="G1424">
        <v>2145.81</v>
      </c>
      <c r="H1424">
        <v>1235.8499999999999</v>
      </c>
      <c r="I1424">
        <v>10972.13</v>
      </c>
      <c r="J1424" t="s">
        <v>37</v>
      </c>
      <c r="K1424" t="s">
        <v>38</v>
      </c>
      <c r="L1424">
        <v>0</v>
      </c>
      <c r="M1424">
        <v>0</v>
      </c>
      <c r="N1424">
        <v>0</v>
      </c>
      <c r="O1424">
        <v>0</v>
      </c>
      <c r="P1424">
        <v>0</v>
      </c>
      <c r="Q1424">
        <v>740</v>
      </c>
      <c r="R1424">
        <v>0.43</v>
      </c>
      <c r="S1424" t="s">
        <v>30</v>
      </c>
      <c r="T1424" s="1">
        <v>44748</v>
      </c>
      <c r="U1424">
        <v>0</v>
      </c>
    </row>
    <row r="1425" spans="1:21" x14ac:dyDescent="0.25">
      <c r="A1425" t="s">
        <v>1472</v>
      </c>
      <c r="B1425">
        <v>47</v>
      </c>
      <c r="C1425" t="s">
        <v>21</v>
      </c>
      <c r="D1425" t="s">
        <v>41</v>
      </c>
      <c r="E1425" t="s">
        <v>23</v>
      </c>
      <c r="F1425" t="s">
        <v>52</v>
      </c>
      <c r="G1425">
        <v>500</v>
      </c>
      <c r="H1425">
        <v>406.39</v>
      </c>
      <c r="I1425">
        <v>5707.65</v>
      </c>
      <c r="J1425" t="s">
        <v>37</v>
      </c>
      <c r="K1425" t="s">
        <v>38</v>
      </c>
      <c r="L1425">
        <v>0</v>
      </c>
      <c r="M1425">
        <v>0</v>
      </c>
      <c r="N1425">
        <v>0</v>
      </c>
      <c r="O1425">
        <v>0</v>
      </c>
      <c r="P1425">
        <v>0</v>
      </c>
      <c r="Q1425">
        <v>694</v>
      </c>
      <c r="R1425">
        <v>0.95</v>
      </c>
      <c r="S1425" t="s">
        <v>39</v>
      </c>
      <c r="T1425" s="1">
        <v>44498</v>
      </c>
      <c r="U1425">
        <v>0</v>
      </c>
    </row>
    <row r="1426" spans="1:21" x14ac:dyDescent="0.25">
      <c r="A1426" t="s">
        <v>1473</v>
      </c>
      <c r="B1426">
        <v>23</v>
      </c>
      <c r="C1426" t="s">
        <v>29</v>
      </c>
      <c r="D1426" t="s">
        <v>35</v>
      </c>
      <c r="E1426" t="s">
        <v>51</v>
      </c>
      <c r="F1426" t="s">
        <v>49</v>
      </c>
      <c r="G1426">
        <v>4750.6000000000004</v>
      </c>
      <c r="H1426">
        <v>2615.54</v>
      </c>
      <c r="I1426">
        <v>43929.279999999999</v>
      </c>
      <c r="J1426" t="s">
        <v>25</v>
      </c>
      <c r="K1426" t="s">
        <v>26</v>
      </c>
      <c r="L1426">
        <v>51007.64</v>
      </c>
      <c r="M1426">
        <v>240</v>
      </c>
      <c r="N1426">
        <v>1079.76</v>
      </c>
      <c r="O1426">
        <v>25.23</v>
      </c>
      <c r="P1426">
        <v>0.23</v>
      </c>
      <c r="Q1426">
        <v>698</v>
      </c>
      <c r="R1426">
        <v>0.77</v>
      </c>
      <c r="S1426" t="s">
        <v>39</v>
      </c>
      <c r="T1426" s="1">
        <v>44925</v>
      </c>
      <c r="U1426">
        <v>0</v>
      </c>
    </row>
    <row r="1427" spans="1:21" x14ac:dyDescent="0.25">
      <c r="A1427" t="s">
        <v>1474</v>
      </c>
      <c r="B1427">
        <v>47</v>
      </c>
      <c r="C1427" t="s">
        <v>21</v>
      </c>
      <c r="D1427" t="s">
        <v>22</v>
      </c>
      <c r="E1427" t="s">
        <v>31</v>
      </c>
      <c r="F1427" t="s">
        <v>24</v>
      </c>
      <c r="G1427">
        <v>7901.03</v>
      </c>
      <c r="H1427">
        <v>2857.23</v>
      </c>
      <c r="I1427">
        <v>87823.18</v>
      </c>
      <c r="J1427" t="s">
        <v>25</v>
      </c>
      <c r="K1427" t="s">
        <v>54</v>
      </c>
      <c r="L1427">
        <v>152951.78</v>
      </c>
      <c r="M1427">
        <v>60</v>
      </c>
      <c r="N1427">
        <v>3864.03</v>
      </c>
      <c r="O1427">
        <v>17.760000000000002</v>
      </c>
      <c r="P1427">
        <v>0.49</v>
      </c>
      <c r="Q1427">
        <v>695</v>
      </c>
      <c r="R1427">
        <v>0.93</v>
      </c>
      <c r="S1427" t="s">
        <v>30</v>
      </c>
      <c r="T1427" s="1">
        <v>44475</v>
      </c>
      <c r="U1427">
        <v>1</v>
      </c>
    </row>
    <row r="1428" spans="1:21" x14ac:dyDescent="0.25">
      <c r="A1428" t="s">
        <v>1475</v>
      </c>
      <c r="B1428">
        <v>60</v>
      </c>
      <c r="C1428" t="s">
        <v>21</v>
      </c>
      <c r="D1428" t="s">
        <v>35</v>
      </c>
      <c r="E1428" t="s">
        <v>31</v>
      </c>
      <c r="F1428" t="s">
        <v>44</v>
      </c>
      <c r="G1428">
        <v>2059.62</v>
      </c>
      <c r="H1428">
        <v>1132.06</v>
      </c>
      <c r="I1428">
        <v>19370.38</v>
      </c>
      <c r="J1428" t="s">
        <v>37</v>
      </c>
      <c r="K1428" t="s">
        <v>38</v>
      </c>
      <c r="L1428">
        <v>0</v>
      </c>
      <c r="M1428">
        <v>0</v>
      </c>
      <c r="N1428">
        <v>0</v>
      </c>
      <c r="O1428">
        <v>0</v>
      </c>
      <c r="P1428">
        <v>0</v>
      </c>
      <c r="Q1428">
        <v>589</v>
      </c>
      <c r="R1428">
        <v>0.78</v>
      </c>
      <c r="S1428" t="s">
        <v>30</v>
      </c>
      <c r="T1428" s="1">
        <v>45646</v>
      </c>
      <c r="U1428">
        <v>0</v>
      </c>
    </row>
    <row r="1429" spans="1:21" x14ac:dyDescent="0.25">
      <c r="A1429" t="s">
        <v>1476</v>
      </c>
      <c r="B1429">
        <v>31</v>
      </c>
      <c r="C1429" t="s">
        <v>21</v>
      </c>
      <c r="D1429" t="s">
        <v>35</v>
      </c>
      <c r="E1429" t="s">
        <v>31</v>
      </c>
      <c r="F1429" t="s">
        <v>63</v>
      </c>
      <c r="G1429">
        <v>2739.69</v>
      </c>
      <c r="H1429">
        <v>2056.0700000000002</v>
      </c>
      <c r="I1429">
        <v>6274.3</v>
      </c>
      <c r="J1429" t="s">
        <v>25</v>
      </c>
      <c r="K1429" t="s">
        <v>45</v>
      </c>
      <c r="L1429">
        <v>194996.78</v>
      </c>
      <c r="M1429">
        <v>60</v>
      </c>
      <c r="N1429">
        <v>3951.97</v>
      </c>
      <c r="O1429">
        <v>7.98</v>
      </c>
      <c r="P1429">
        <v>1.44</v>
      </c>
      <c r="Q1429">
        <v>486</v>
      </c>
      <c r="R1429">
        <v>0.19</v>
      </c>
      <c r="S1429" t="s">
        <v>30</v>
      </c>
      <c r="T1429" s="1">
        <v>44980</v>
      </c>
      <c r="U1429">
        <v>1</v>
      </c>
    </row>
    <row r="1430" spans="1:21" x14ac:dyDescent="0.25">
      <c r="A1430" t="s">
        <v>1477</v>
      </c>
      <c r="B1430">
        <v>43</v>
      </c>
      <c r="C1430" t="s">
        <v>21</v>
      </c>
      <c r="D1430" t="s">
        <v>35</v>
      </c>
      <c r="E1430" t="s">
        <v>31</v>
      </c>
      <c r="F1430" t="s">
        <v>42</v>
      </c>
      <c r="G1430">
        <v>5571.21</v>
      </c>
      <c r="H1430">
        <v>4977.62</v>
      </c>
      <c r="I1430">
        <v>43299.06</v>
      </c>
      <c r="J1430" t="s">
        <v>37</v>
      </c>
      <c r="K1430" t="s">
        <v>38</v>
      </c>
      <c r="L1430">
        <v>0</v>
      </c>
      <c r="M1430">
        <v>0</v>
      </c>
      <c r="N1430">
        <v>0</v>
      </c>
      <c r="O1430">
        <v>0</v>
      </c>
      <c r="P1430">
        <v>0</v>
      </c>
      <c r="Q1430">
        <v>568</v>
      </c>
      <c r="R1430">
        <v>0.65</v>
      </c>
      <c r="S1430" t="s">
        <v>30</v>
      </c>
      <c r="T1430" s="1">
        <v>44807</v>
      </c>
      <c r="U1430">
        <v>0</v>
      </c>
    </row>
    <row r="1431" spans="1:21" x14ac:dyDescent="0.25">
      <c r="A1431" t="s">
        <v>1478</v>
      </c>
      <c r="B1431">
        <v>21</v>
      </c>
      <c r="C1431" t="s">
        <v>21</v>
      </c>
      <c r="D1431" t="s">
        <v>41</v>
      </c>
      <c r="E1431" t="s">
        <v>31</v>
      </c>
      <c r="F1431" t="s">
        <v>32</v>
      </c>
      <c r="G1431">
        <v>2109.9499999999998</v>
      </c>
      <c r="H1431">
        <v>1369.09</v>
      </c>
      <c r="I1431">
        <v>22482.93</v>
      </c>
      <c r="J1431" t="s">
        <v>25</v>
      </c>
      <c r="K1431" t="s">
        <v>45</v>
      </c>
      <c r="L1431">
        <v>111725.2</v>
      </c>
      <c r="M1431">
        <v>180</v>
      </c>
      <c r="N1431">
        <v>906.38</v>
      </c>
      <c r="O1431">
        <v>5.39</v>
      </c>
      <c r="P1431">
        <v>0.43</v>
      </c>
      <c r="Q1431">
        <v>325</v>
      </c>
      <c r="R1431">
        <v>0.89</v>
      </c>
      <c r="S1431" t="s">
        <v>39</v>
      </c>
      <c r="T1431" s="1">
        <v>45791</v>
      </c>
      <c r="U1431">
        <v>1</v>
      </c>
    </row>
    <row r="1432" spans="1:21" x14ac:dyDescent="0.25">
      <c r="A1432" t="s">
        <v>1479</v>
      </c>
      <c r="B1432">
        <v>19</v>
      </c>
      <c r="C1432" t="s">
        <v>21</v>
      </c>
      <c r="D1432" t="s">
        <v>30</v>
      </c>
      <c r="E1432" t="s">
        <v>31</v>
      </c>
      <c r="F1432" t="s">
        <v>44</v>
      </c>
      <c r="G1432">
        <v>2974.37</v>
      </c>
      <c r="H1432">
        <v>1901.74</v>
      </c>
      <c r="I1432">
        <v>18177.22</v>
      </c>
      <c r="J1432" t="s">
        <v>25</v>
      </c>
      <c r="K1432" t="s">
        <v>54</v>
      </c>
      <c r="L1432">
        <v>150366.35999999999</v>
      </c>
      <c r="M1432">
        <v>120</v>
      </c>
      <c r="N1432">
        <v>1789.59</v>
      </c>
      <c r="O1432">
        <v>7.56</v>
      </c>
      <c r="P1432">
        <v>0.6</v>
      </c>
      <c r="Q1432">
        <v>617</v>
      </c>
      <c r="R1432">
        <v>0.51</v>
      </c>
      <c r="S1432" t="s">
        <v>47</v>
      </c>
      <c r="T1432" s="1">
        <v>44793</v>
      </c>
      <c r="U1432">
        <v>1</v>
      </c>
    </row>
    <row r="1433" spans="1:21" x14ac:dyDescent="0.25">
      <c r="A1433" t="s">
        <v>1480</v>
      </c>
      <c r="B1433">
        <v>31</v>
      </c>
      <c r="C1433" t="s">
        <v>21</v>
      </c>
      <c r="D1433" t="s">
        <v>35</v>
      </c>
      <c r="E1433" t="s">
        <v>51</v>
      </c>
      <c r="F1433" t="s">
        <v>42</v>
      </c>
      <c r="G1433">
        <v>7774.29</v>
      </c>
      <c r="H1433">
        <v>4236.28</v>
      </c>
      <c r="I1433">
        <v>44340.14</v>
      </c>
      <c r="J1433" t="s">
        <v>37</v>
      </c>
      <c r="K1433" t="s">
        <v>38</v>
      </c>
      <c r="L1433">
        <v>0</v>
      </c>
      <c r="M1433">
        <v>0</v>
      </c>
      <c r="N1433">
        <v>0</v>
      </c>
      <c r="O1433">
        <v>0</v>
      </c>
      <c r="P1433">
        <v>0</v>
      </c>
      <c r="Q1433">
        <v>762</v>
      </c>
      <c r="R1433">
        <v>0.48</v>
      </c>
      <c r="S1433" t="s">
        <v>39</v>
      </c>
      <c r="T1433" s="1">
        <v>45136</v>
      </c>
      <c r="U1433">
        <v>0</v>
      </c>
    </row>
    <row r="1434" spans="1:21" x14ac:dyDescent="0.25">
      <c r="A1434" t="s">
        <v>1481</v>
      </c>
      <c r="B1434">
        <v>48</v>
      </c>
      <c r="C1434" t="s">
        <v>29</v>
      </c>
      <c r="D1434" t="s">
        <v>35</v>
      </c>
      <c r="E1434" t="s">
        <v>51</v>
      </c>
      <c r="F1434" t="s">
        <v>49</v>
      </c>
      <c r="G1434">
        <v>5834.2</v>
      </c>
      <c r="H1434">
        <v>4836.79</v>
      </c>
      <c r="I1434">
        <v>23520.34</v>
      </c>
      <c r="J1434" t="s">
        <v>37</v>
      </c>
      <c r="K1434" t="s">
        <v>38</v>
      </c>
      <c r="L1434">
        <v>0</v>
      </c>
      <c r="M1434">
        <v>0</v>
      </c>
      <c r="N1434">
        <v>0</v>
      </c>
      <c r="O1434">
        <v>0</v>
      </c>
      <c r="P1434">
        <v>0</v>
      </c>
      <c r="Q1434">
        <v>359</v>
      </c>
      <c r="R1434">
        <v>0.34</v>
      </c>
      <c r="S1434" t="s">
        <v>27</v>
      </c>
      <c r="T1434" s="1">
        <v>45639</v>
      </c>
      <c r="U1434">
        <v>0</v>
      </c>
    </row>
    <row r="1435" spans="1:21" x14ac:dyDescent="0.25">
      <c r="A1435" t="s">
        <v>1482</v>
      </c>
      <c r="B1435">
        <v>62</v>
      </c>
      <c r="C1435" t="s">
        <v>29</v>
      </c>
      <c r="D1435" t="s">
        <v>41</v>
      </c>
      <c r="E1435" t="s">
        <v>23</v>
      </c>
      <c r="F1435" t="s">
        <v>44</v>
      </c>
      <c r="G1435">
        <v>3741.97</v>
      </c>
      <c r="H1435">
        <v>2331.4899999999998</v>
      </c>
      <c r="I1435">
        <v>29712.67</v>
      </c>
      <c r="J1435" t="s">
        <v>37</v>
      </c>
      <c r="K1435" t="s">
        <v>38</v>
      </c>
      <c r="L1435">
        <v>0</v>
      </c>
      <c r="M1435">
        <v>0</v>
      </c>
      <c r="N1435">
        <v>0</v>
      </c>
      <c r="O1435">
        <v>0</v>
      </c>
      <c r="P1435">
        <v>0</v>
      </c>
      <c r="Q1435">
        <v>702</v>
      </c>
      <c r="R1435">
        <v>0.66</v>
      </c>
      <c r="S1435" t="s">
        <v>47</v>
      </c>
      <c r="T1435" s="1">
        <v>45010</v>
      </c>
      <c r="U1435">
        <v>0</v>
      </c>
    </row>
    <row r="1436" spans="1:21" x14ac:dyDescent="0.25">
      <c r="A1436" t="s">
        <v>1483</v>
      </c>
      <c r="B1436">
        <v>43</v>
      </c>
      <c r="C1436" t="s">
        <v>21</v>
      </c>
      <c r="D1436" t="s">
        <v>41</v>
      </c>
      <c r="E1436" t="s">
        <v>51</v>
      </c>
      <c r="F1436" t="s">
        <v>36</v>
      </c>
      <c r="G1436">
        <v>4484.03</v>
      </c>
      <c r="H1436">
        <v>2065.19</v>
      </c>
      <c r="I1436">
        <v>27411.82</v>
      </c>
      <c r="J1436" t="s">
        <v>37</v>
      </c>
      <c r="K1436" t="s">
        <v>38</v>
      </c>
      <c r="L1436">
        <v>0</v>
      </c>
      <c r="M1436">
        <v>0</v>
      </c>
      <c r="N1436">
        <v>0</v>
      </c>
      <c r="O1436">
        <v>0</v>
      </c>
      <c r="P1436">
        <v>0</v>
      </c>
      <c r="Q1436">
        <v>599</v>
      </c>
      <c r="R1436">
        <v>0.51</v>
      </c>
      <c r="S1436" t="s">
        <v>47</v>
      </c>
      <c r="T1436" s="1">
        <v>44876</v>
      </c>
      <c r="U1436">
        <v>0</v>
      </c>
    </row>
    <row r="1437" spans="1:21" x14ac:dyDescent="0.25">
      <c r="A1437" t="s">
        <v>1484</v>
      </c>
      <c r="B1437">
        <v>44</v>
      </c>
      <c r="C1437" t="s">
        <v>21</v>
      </c>
      <c r="D1437" t="s">
        <v>22</v>
      </c>
      <c r="E1437" t="s">
        <v>31</v>
      </c>
      <c r="F1437" t="s">
        <v>32</v>
      </c>
      <c r="G1437">
        <v>6880.99</v>
      </c>
      <c r="H1437">
        <v>6156.17</v>
      </c>
      <c r="I1437">
        <v>72716.960000000006</v>
      </c>
      <c r="J1437" t="s">
        <v>37</v>
      </c>
      <c r="K1437" t="s">
        <v>38</v>
      </c>
      <c r="L1437">
        <v>0</v>
      </c>
      <c r="M1437">
        <v>0</v>
      </c>
      <c r="N1437">
        <v>0</v>
      </c>
      <c r="O1437">
        <v>0</v>
      </c>
      <c r="P1437">
        <v>0</v>
      </c>
      <c r="Q1437">
        <v>467</v>
      </c>
      <c r="R1437">
        <v>0.88</v>
      </c>
      <c r="S1437" t="s">
        <v>39</v>
      </c>
      <c r="T1437" s="1">
        <v>45834</v>
      </c>
      <c r="U1437">
        <v>0</v>
      </c>
    </row>
    <row r="1438" spans="1:21" x14ac:dyDescent="0.25">
      <c r="A1438" t="s">
        <v>1485</v>
      </c>
      <c r="B1438">
        <v>22</v>
      </c>
      <c r="C1438" t="s">
        <v>21</v>
      </c>
      <c r="D1438" t="s">
        <v>56</v>
      </c>
      <c r="E1438" t="s">
        <v>31</v>
      </c>
      <c r="F1438" t="s">
        <v>23</v>
      </c>
      <c r="G1438">
        <v>2554.81</v>
      </c>
      <c r="H1438">
        <v>1939</v>
      </c>
      <c r="I1438">
        <v>19313.939999999999</v>
      </c>
      <c r="J1438" t="s">
        <v>37</v>
      </c>
      <c r="K1438" t="s">
        <v>38</v>
      </c>
      <c r="L1438">
        <v>0</v>
      </c>
      <c r="M1438">
        <v>0</v>
      </c>
      <c r="N1438">
        <v>0</v>
      </c>
      <c r="O1438">
        <v>0</v>
      </c>
      <c r="P1438">
        <v>0</v>
      </c>
      <c r="Q1438">
        <v>591</v>
      </c>
      <c r="R1438">
        <v>0.63</v>
      </c>
      <c r="S1438" t="s">
        <v>27</v>
      </c>
      <c r="T1438" s="1">
        <v>45581</v>
      </c>
      <c r="U1438">
        <v>0</v>
      </c>
    </row>
    <row r="1439" spans="1:21" x14ac:dyDescent="0.25">
      <c r="A1439" t="s">
        <v>1486</v>
      </c>
      <c r="B1439">
        <v>44</v>
      </c>
      <c r="C1439" t="s">
        <v>29</v>
      </c>
      <c r="D1439" t="s">
        <v>41</v>
      </c>
      <c r="E1439" t="s">
        <v>31</v>
      </c>
      <c r="F1439" t="s">
        <v>63</v>
      </c>
      <c r="G1439">
        <v>7258.04</v>
      </c>
      <c r="H1439">
        <v>5304.77</v>
      </c>
      <c r="I1439">
        <v>81188.59</v>
      </c>
      <c r="J1439" t="s">
        <v>25</v>
      </c>
      <c r="K1439" t="s">
        <v>33</v>
      </c>
      <c r="L1439">
        <v>16810.099999999999</v>
      </c>
      <c r="M1439">
        <v>240</v>
      </c>
      <c r="N1439">
        <v>310.17</v>
      </c>
      <c r="O1439">
        <v>21.85</v>
      </c>
      <c r="P1439">
        <v>0.04</v>
      </c>
      <c r="Q1439">
        <v>395</v>
      </c>
      <c r="R1439">
        <v>0.93</v>
      </c>
      <c r="S1439" t="s">
        <v>39</v>
      </c>
      <c r="T1439" s="1">
        <v>44887</v>
      </c>
      <c r="U1439">
        <v>0</v>
      </c>
    </row>
    <row r="1440" spans="1:21" x14ac:dyDescent="0.25">
      <c r="A1440" t="s">
        <v>1487</v>
      </c>
      <c r="B1440">
        <v>44</v>
      </c>
      <c r="C1440" t="s">
        <v>21</v>
      </c>
      <c r="D1440" t="s">
        <v>56</v>
      </c>
      <c r="E1440" t="s">
        <v>31</v>
      </c>
      <c r="F1440" t="s">
        <v>24</v>
      </c>
      <c r="G1440">
        <v>3294.43</v>
      </c>
      <c r="H1440">
        <v>1675.31</v>
      </c>
      <c r="I1440">
        <v>6475.82</v>
      </c>
      <c r="J1440" t="s">
        <v>37</v>
      </c>
      <c r="K1440" t="s">
        <v>38</v>
      </c>
      <c r="L1440">
        <v>0</v>
      </c>
      <c r="M1440">
        <v>0</v>
      </c>
      <c r="N1440">
        <v>0</v>
      </c>
      <c r="O1440">
        <v>0</v>
      </c>
      <c r="P1440">
        <v>0</v>
      </c>
      <c r="Q1440">
        <v>719</v>
      </c>
      <c r="R1440">
        <v>0.16</v>
      </c>
      <c r="S1440" t="s">
        <v>30</v>
      </c>
      <c r="T1440" s="1">
        <v>44781</v>
      </c>
      <c r="U1440">
        <v>0</v>
      </c>
    </row>
    <row r="1441" spans="1:21" x14ac:dyDescent="0.25">
      <c r="A1441" t="s">
        <v>1488</v>
      </c>
      <c r="B1441">
        <v>36</v>
      </c>
      <c r="C1441" t="s">
        <v>21</v>
      </c>
      <c r="D1441" t="s">
        <v>41</v>
      </c>
      <c r="E1441" t="s">
        <v>23</v>
      </c>
      <c r="F1441" t="s">
        <v>49</v>
      </c>
      <c r="G1441">
        <v>3901.77</v>
      </c>
      <c r="H1441">
        <v>1717.8</v>
      </c>
      <c r="I1441">
        <v>27921.81</v>
      </c>
      <c r="J1441" t="s">
        <v>25</v>
      </c>
      <c r="K1441" t="s">
        <v>45</v>
      </c>
      <c r="L1441">
        <v>255796.96</v>
      </c>
      <c r="M1441">
        <v>360</v>
      </c>
      <c r="N1441">
        <v>3295.86</v>
      </c>
      <c r="O1441">
        <v>15.3</v>
      </c>
      <c r="P1441">
        <v>0.84</v>
      </c>
      <c r="Q1441">
        <v>380</v>
      </c>
      <c r="R1441">
        <v>0.6</v>
      </c>
      <c r="S1441" t="s">
        <v>72</v>
      </c>
      <c r="T1441" s="1">
        <v>44809</v>
      </c>
      <c r="U1441">
        <v>1</v>
      </c>
    </row>
    <row r="1442" spans="1:21" x14ac:dyDescent="0.25">
      <c r="A1442" t="s">
        <v>1489</v>
      </c>
      <c r="B1442">
        <v>23</v>
      </c>
      <c r="C1442" t="s">
        <v>30</v>
      </c>
      <c r="D1442" t="s">
        <v>22</v>
      </c>
      <c r="E1442" t="s">
        <v>49</v>
      </c>
      <c r="F1442" t="s">
        <v>24</v>
      </c>
      <c r="G1442">
        <v>5954.85</v>
      </c>
      <c r="H1442">
        <v>4923.41</v>
      </c>
      <c r="I1442">
        <v>26576.45</v>
      </c>
      <c r="J1442" t="s">
        <v>37</v>
      </c>
      <c r="K1442" t="s">
        <v>38</v>
      </c>
      <c r="L1442">
        <v>0</v>
      </c>
      <c r="M1442">
        <v>0</v>
      </c>
      <c r="N1442">
        <v>0</v>
      </c>
      <c r="O1442">
        <v>0</v>
      </c>
      <c r="P1442">
        <v>0</v>
      </c>
      <c r="Q1442">
        <v>354</v>
      </c>
      <c r="R1442">
        <v>0.37</v>
      </c>
      <c r="S1442" t="s">
        <v>47</v>
      </c>
      <c r="T1442" s="1">
        <v>45388</v>
      </c>
      <c r="U1442">
        <v>0</v>
      </c>
    </row>
    <row r="1443" spans="1:21" x14ac:dyDescent="0.25">
      <c r="A1443" t="s">
        <v>1490</v>
      </c>
      <c r="B1443">
        <v>68</v>
      </c>
      <c r="C1443" t="s">
        <v>29</v>
      </c>
      <c r="D1443" t="s">
        <v>30</v>
      </c>
      <c r="E1443" t="s">
        <v>31</v>
      </c>
      <c r="F1443" t="s">
        <v>24</v>
      </c>
      <c r="G1443">
        <v>508.09</v>
      </c>
      <c r="H1443">
        <v>411.87</v>
      </c>
      <c r="I1443">
        <v>4309.7299999999996</v>
      </c>
      <c r="J1443" t="s">
        <v>37</v>
      </c>
      <c r="K1443" t="s">
        <v>38</v>
      </c>
      <c r="L1443">
        <v>0</v>
      </c>
      <c r="M1443">
        <v>0</v>
      </c>
      <c r="N1443">
        <v>0</v>
      </c>
      <c r="O1443">
        <v>0</v>
      </c>
      <c r="P1443">
        <v>0</v>
      </c>
      <c r="Q1443">
        <v>354</v>
      </c>
      <c r="R1443">
        <v>0.71</v>
      </c>
      <c r="S1443" t="s">
        <v>39</v>
      </c>
      <c r="T1443" s="1">
        <v>44701</v>
      </c>
      <c r="U1443">
        <v>0</v>
      </c>
    </row>
    <row r="1444" spans="1:21" x14ac:dyDescent="0.25">
      <c r="A1444" t="s">
        <v>1491</v>
      </c>
      <c r="B1444">
        <v>54</v>
      </c>
      <c r="C1444" t="s">
        <v>21</v>
      </c>
      <c r="D1444" t="s">
        <v>41</v>
      </c>
      <c r="E1444" t="s">
        <v>51</v>
      </c>
      <c r="F1444" t="s">
        <v>23</v>
      </c>
      <c r="G1444">
        <v>5642.07</v>
      </c>
      <c r="H1444">
        <v>2245.88</v>
      </c>
      <c r="I1444">
        <v>24950.35</v>
      </c>
      <c r="J1444" t="s">
        <v>25</v>
      </c>
      <c r="K1444" t="s">
        <v>45</v>
      </c>
      <c r="L1444">
        <v>235815.27</v>
      </c>
      <c r="M1444">
        <v>180</v>
      </c>
      <c r="N1444">
        <v>3899.85</v>
      </c>
      <c r="O1444">
        <v>18.600000000000001</v>
      </c>
      <c r="P1444">
        <v>0.69</v>
      </c>
      <c r="Q1444">
        <v>420</v>
      </c>
      <c r="R1444">
        <v>0.37</v>
      </c>
      <c r="S1444" t="s">
        <v>30</v>
      </c>
      <c r="T1444" s="1">
        <v>45012</v>
      </c>
      <c r="U1444">
        <v>1</v>
      </c>
    </row>
    <row r="1445" spans="1:21" x14ac:dyDescent="0.25">
      <c r="A1445" t="s">
        <v>1492</v>
      </c>
      <c r="B1445">
        <v>18</v>
      </c>
      <c r="C1445" t="s">
        <v>21</v>
      </c>
      <c r="D1445" t="s">
        <v>41</v>
      </c>
      <c r="E1445" t="s">
        <v>49</v>
      </c>
      <c r="F1445" t="s">
        <v>42</v>
      </c>
      <c r="G1445">
        <v>7273.16</v>
      </c>
      <c r="H1445">
        <v>4874.63</v>
      </c>
      <c r="I1445">
        <v>9932.9599999999991</v>
      </c>
      <c r="J1445" t="s">
        <v>25</v>
      </c>
      <c r="K1445" t="s">
        <v>33</v>
      </c>
      <c r="L1445">
        <v>359346.99</v>
      </c>
      <c r="M1445">
        <v>180</v>
      </c>
      <c r="N1445">
        <v>3331.19</v>
      </c>
      <c r="O1445">
        <v>7.5</v>
      </c>
      <c r="P1445">
        <v>0.46</v>
      </c>
      <c r="Q1445">
        <v>389</v>
      </c>
      <c r="R1445">
        <v>0.11</v>
      </c>
      <c r="S1445" t="s">
        <v>72</v>
      </c>
      <c r="T1445" s="1">
        <v>44973</v>
      </c>
      <c r="U1445">
        <v>1</v>
      </c>
    </row>
    <row r="1446" spans="1:21" x14ac:dyDescent="0.25">
      <c r="A1446" t="s">
        <v>1493</v>
      </c>
      <c r="B1446">
        <v>30</v>
      </c>
      <c r="C1446" t="s">
        <v>21</v>
      </c>
      <c r="D1446" t="s">
        <v>35</v>
      </c>
      <c r="E1446" t="s">
        <v>49</v>
      </c>
      <c r="F1446" t="s">
        <v>52</v>
      </c>
      <c r="G1446">
        <v>4756.04</v>
      </c>
      <c r="H1446">
        <v>3085.22</v>
      </c>
      <c r="I1446">
        <v>9052.7199999999993</v>
      </c>
      <c r="J1446" t="s">
        <v>37</v>
      </c>
      <c r="K1446" t="s">
        <v>38</v>
      </c>
      <c r="L1446">
        <v>0</v>
      </c>
      <c r="M1446">
        <v>0</v>
      </c>
      <c r="N1446">
        <v>0</v>
      </c>
      <c r="O1446">
        <v>0</v>
      </c>
      <c r="P1446">
        <v>0</v>
      </c>
      <c r="Q1446">
        <v>633</v>
      </c>
      <c r="R1446">
        <v>0.16</v>
      </c>
      <c r="S1446" t="s">
        <v>47</v>
      </c>
      <c r="T1446" s="1">
        <v>45083</v>
      </c>
      <c r="U1446">
        <v>0</v>
      </c>
    </row>
    <row r="1447" spans="1:21" x14ac:dyDescent="0.25">
      <c r="A1447" t="s">
        <v>1494</v>
      </c>
      <c r="B1447">
        <v>40</v>
      </c>
      <c r="C1447" t="s">
        <v>21</v>
      </c>
      <c r="D1447" t="s">
        <v>35</v>
      </c>
      <c r="E1447" t="s">
        <v>51</v>
      </c>
      <c r="F1447" t="s">
        <v>52</v>
      </c>
      <c r="G1447">
        <v>5427.07</v>
      </c>
      <c r="H1447">
        <v>3938</v>
      </c>
      <c r="I1447">
        <v>21229.54</v>
      </c>
      <c r="J1447" t="s">
        <v>37</v>
      </c>
      <c r="K1447" t="s">
        <v>38</v>
      </c>
      <c r="L1447">
        <v>0</v>
      </c>
      <c r="M1447">
        <v>0</v>
      </c>
      <c r="N1447">
        <v>0</v>
      </c>
      <c r="O1447">
        <v>0</v>
      </c>
      <c r="P1447">
        <v>0</v>
      </c>
      <c r="Q1447">
        <v>599</v>
      </c>
      <c r="R1447">
        <v>0.33</v>
      </c>
      <c r="S1447" t="s">
        <v>72</v>
      </c>
      <c r="T1447" s="1">
        <v>44995</v>
      </c>
      <c r="U1447">
        <v>0</v>
      </c>
    </row>
    <row r="1448" spans="1:21" x14ac:dyDescent="0.25">
      <c r="A1448" t="s">
        <v>1495</v>
      </c>
      <c r="B1448">
        <v>18</v>
      </c>
      <c r="C1448" t="s">
        <v>29</v>
      </c>
      <c r="D1448" t="s">
        <v>41</v>
      </c>
      <c r="E1448" t="s">
        <v>51</v>
      </c>
      <c r="F1448" t="s">
        <v>24</v>
      </c>
      <c r="G1448">
        <v>4432.78</v>
      </c>
      <c r="H1448">
        <v>1875.24</v>
      </c>
      <c r="I1448">
        <v>50696.51</v>
      </c>
      <c r="J1448" t="s">
        <v>37</v>
      </c>
      <c r="K1448" t="s">
        <v>38</v>
      </c>
      <c r="L1448">
        <v>0</v>
      </c>
      <c r="M1448">
        <v>0</v>
      </c>
      <c r="N1448">
        <v>0</v>
      </c>
      <c r="O1448">
        <v>0</v>
      </c>
      <c r="P1448">
        <v>0</v>
      </c>
      <c r="Q1448">
        <v>323</v>
      </c>
      <c r="R1448">
        <v>0.95</v>
      </c>
      <c r="S1448" t="s">
        <v>39</v>
      </c>
      <c r="T1448" s="1">
        <v>45381</v>
      </c>
      <c r="U1448">
        <v>0</v>
      </c>
    </row>
    <row r="1449" spans="1:21" x14ac:dyDescent="0.25">
      <c r="A1449" t="s">
        <v>1496</v>
      </c>
      <c r="B1449">
        <v>36</v>
      </c>
      <c r="C1449" t="s">
        <v>21</v>
      </c>
      <c r="D1449" t="s">
        <v>30</v>
      </c>
      <c r="E1449" t="s">
        <v>51</v>
      </c>
      <c r="F1449" t="s">
        <v>63</v>
      </c>
      <c r="G1449">
        <v>6073.01</v>
      </c>
      <c r="H1449">
        <v>4872.58</v>
      </c>
      <c r="I1449">
        <v>44901.75</v>
      </c>
      <c r="J1449" t="s">
        <v>37</v>
      </c>
      <c r="K1449" t="s">
        <v>38</v>
      </c>
      <c r="L1449">
        <v>0</v>
      </c>
      <c r="M1449">
        <v>0</v>
      </c>
      <c r="N1449">
        <v>0</v>
      </c>
      <c r="O1449">
        <v>0</v>
      </c>
      <c r="P1449">
        <v>0</v>
      </c>
      <c r="Q1449">
        <v>621</v>
      </c>
      <c r="R1449">
        <v>0.62</v>
      </c>
      <c r="S1449" t="s">
        <v>47</v>
      </c>
      <c r="T1449" s="1">
        <v>44847</v>
      </c>
      <c r="U1449">
        <v>0</v>
      </c>
    </row>
    <row r="1450" spans="1:21" x14ac:dyDescent="0.25">
      <c r="A1450" t="s">
        <v>1497</v>
      </c>
      <c r="B1450">
        <v>30</v>
      </c>
      <c r="C1450" t="s">
        <v>21</v>
      </c>
      <c r="D1450" t="s">
        <v>22</v>
      </c>
      <c r="E1450" t="s">
        <v>51</v>
      </c>
      <c r="F1450" t="s">
        <v>63</v>
      </c>
      <c r="G1450">
        <v>6898.8</v>
      </c>
      <c r="H1450">
        <v>2692.2</v>
      </c>
      <c r="I1450">
        <v>40943.449999999997</v>
      </c>
      <c r="J1450" t="s">
        <v>25</v>
      </c>
      <c r="K1450" t="s">
        <v>54</v>
      </c>
      <c r="L1450">
        <v>64297.37</v>
      </c>
      <c r="M1450">
        <v>36</v>
      </c>
      <c r="N1450">
        <v>2638.43</v>
      </c>
      <c r="O1450">
        <v>27.39</v>
      </c>
      <c r="P1450">
        <v>0.38</v>
      </c>
      <c r="Q1450">
        <v>445</v>
      </c>
      <c r="R1450">
        <v>0.49</v>
      </c>
      <c r="S1450" t="s">
        <v>39</v>
      </c>
      <c r="T1450" s="1">
        <v>45598</v>
      </c>
      <c r="U1450">
        <v>0</v>
      </c>
    </row>
    <row r="1451" spans="1:21" x14ac:dyDescent="0.25">
      <c r="A1451" t="s">
        <v>1498</v>
      </c>
      <c r="B1451">
        <v>44</v>
      </c>
      <c r="C1451" t="s">
        <v>29</v>
      </c>
      <c r="D1451" t="s">
        <v>41</v>
      </c>
      <c r="E1451" t="s">
        <v>31</v>
      </c>
      <c r="F1451" t="s">
        <v>36</v>
      </c>
      <c r="G1451">
        <v>3718.25</v>
      </c>
      <c r="H1451">
        <v>2368.1999999999998</v>
      </c>
      <c r="I1451">
        <v>30546.9</v>
      </c>
      <c r="J1451" t="s">
        <v>25</v>
      </c>
      <c r="K1451" t="s">
        <v>26</v>
      </c>
      <c r="L1451">
        <v>45784.43</v>
      </c>
      <c r="M1451">
        <v>180</v>
      </c>
      <c r="N1451">
        <v>406.17</v>
      </c>
      <c r="O1451">
        <v>6.79</v>
      </c>
      <c r="P1451">
        <v>0.11</v>
      </c>
      <c r="Q1451">
        <v>539</v>
      </c>
      <c r="R1451">
        <v>0.68</v>
      </c>
      <c r="S1451" t="s">
        <v>47</v>
      </c>
      <c r="T1451" s="1">
        <v>45080</v>
      </c>
      <c r="U1451">
        <v>0</v>
      </c>
    </row>
    <row r="1452" spans="1:21" x14ac:dyDescent="0.25">
      <c r="A1452" t="s">
        <v>1499</v>
      </c>
      <c r="B1452">
        <v>64</v>
      </c>
      <c r="C1452" t="s">
        <v>29</v>
      </c>
      <c r="D1452" t="s">
        <v>41</v>
      </c>
      <c r="E1452" t="s">
        <v>31</v>
      </c>
      <c r="F1452" t="s">
        <v>24</v>
      </c>
      <c r="G1452">
        <v>3215.39</v>
      </c>
      <c r="H1452">
        <v>1079.27</v>
      </c>
      <c r="I1452">
        <v>24398.66</v>
      </c>
      <c r="J1452" t="s">
        <v>37</v>
      </c>
      <c r="K1452" t="s">
        <v>38</v>
      </c>
      <c r="L1452">
        <v>0</v>
      </c>
      <c r="M1452">
        <v>0</v>
      </c>
      <c r="N1452">
        <v>0</v>
      </c>
      <c r="O1452">
        <v>0</v>
      </c>
      <c r="P1452">
        <v>0</v>
      </c>
      <c r="Q1452">
        <v>754</v>
      </c>
      <c r="R1452">
        <v>0.63</v>
      </c>
      <c r="S1452" t="s">
        <v>39</v>
      </c>
      <c r="T1452" s="1">
        <v>45450</v>
      </c>
      <c r="U1452">
        <v>0</v>
      </c>
    </row>
    <row r="1453" spans="1:21" x14ac:dyDescent="0.25">
      <c r="A1453" t="s">
        <v>1500</v>
      </c>
      <c r="B1453">
        <v>39</v>
      </c>
      <c r="C1453" t="s">
        <v>29</v>
      </c>
      <c r="D1453" t="s">
        <v>35</v>
      </c>
      <c r="E1453" t="s">
        <v>51</v>
      </c>
      <c r="F1453" t="s">
        <v>52</v>
      </c>
      <c r="G1453">
        <v>2526.1799999999998</v>
      </c>
      <c r="H1453">
        <v>1114.24</v>
      </c>
      <c r="I1453">
        <v>13327.2</v>
      </c>
      <c r="J1453" t="s">
        <v>25</v>
      </c>
      <c r="K1453" t="s">
        <v>45</v>
      </c>
      <c r="L1453">
        <v>80212.03</v>
      </c>
      <c r="M1453">
        <v>180</v>
      </c>
      <c r="N1453">
        <v>1074.1500000000001</v>
      </c>
      <c r="O1453">
        <v>14.11</v>
      </c>
      <c r="P1453">
        <v>0.43</v>
      </c>
      <c r="Q1453">
        <v>792</v>
      </c>
      <c r="R1453">
        <v>0.44</v>
      </c>
      <c r="S1453" t="s">
        <v>39</v>
      </c>
      <c r="T1453" s="1">
        <v>45572</v>
      </c>
      <c r="U1453">
        <v>1</v>
      </c>
    </row>
    <row r="1454" spans="1:21" x14ac:dyDescent="0.25">
      <c r="A1454" t="s">
        <v>1501</v>
      </c>
      <c r="B1454">
        <v>54</v>
      </c>
      <c r="C1454" t="s">
        <v>21</v>
      </c>
      <c r="D1454" t="s">
        <v>35</v>
      </c>
      <c r="E1454" t="s">
        <v>51</v>
      </c>
      <c r="F1454" t="s">
        <v>32</v>
      </c>
      <c r="G1454">
        <v>8102.55</v>
      </c>
      <c r="H1454">
        <v>2874.36</v>
      </c>
      <c r="I1454">
        <v>93713.4</v>
      </c>
      <c r="J1454" t="s">
        <v>25</v>
      </c>
      <c r="K1454" t="s">
        <v>45</v>
      </c>
      <c r="L1454">
        <v>476575.84</v>
      </c>
      <c r="M1454">
        <v>60</v>
      </c>
      <c r="N1454">
        <v>15299.04</v>
      </c>
      <c r="O1454">
        <v>29.59</v>
      </c>
      <c r="P1454">
        <v>1.89</v>
      </c>
      <c r="Q1454">
        <v>635</v>
      </c>
      <c r="R1454">
        <v>0.96</v>
      </c>
      <c r="S1454" t="s">
        <v>47</v>
      </c>
      <c r="T1454" s="1">
        <v>45454</v>
      </c>
      <c r="U1454">
        <v>1</v>
      </c>
    </row>
    <row r="1455" spans="1:21" x14ac:dyDescent="0.25">
      <c r="A1455" t="s">
        <v>1502</v>
      </c>
      <c r="B1455">
        <v>35</v>
      </c>
      <c r="C1455" t="s">
        <v>29</v>
      </c>
      <c r="D1455" t="s">
        <v>35</v>
      </c>
      <c r="E1455" t="s">
        <v>23</v>
      </c>
      <c r="F1455" t="s">
        <v>49</v>
      </c>
      <c r="G1455">
        <v>4731.05</v>
      </c>
      <c r="H1455">
        <v>3383.75</v>
      </c>
      <c r="I1455">
        <v>30105.48</v>
      </c>
      <c r="J1455" t="s">
        <v>37</v>
      </c>
      <c r="K1455" t="s">
        <v>38</v>
      </c>
      <c r="L1455">
        <v>0</v>
      </c>
      <c r="M1455">
        <v>0</v>
      </c>
      <c r="N1455">
        <v>0</v>
      </c>
      <c r="O1455">
        <v>0</v>
      </c>
      <c r="P1455">
        <v>0</v>
      </c>
      <c r="Q1455">
        <v>530</v>
      </c>
      <c r="R1455">
        <v>0.53</v>
      </c>
      <c r="S1455" t="s">
        <v>47</v>
      </c>
      <c r="T1455" s="1">
        <v>44471</v>
      </c>
      <c r="U1455">
        <v>0</v>
      </c>
    </row>
    <row r="1456" spans="1:21" x14ac:dyDescent="0.25">
      <c r="A1456" t="s">
        <v>1503</v>
      </c>
      <c r="B1456">
        <v>22</v>
      </c>
      <c r="C1456" t="s">
        <v>29</v>
      </c>
      <c r="D1456" t="s">
        <v>41</v>
      </c>
      <c r="E1456" t="s">
        <v>51</v>
      </c>
      <c r="F1456" t="s">
        <v>52</v>
      </c>
      <c r="G1456">
        <v>5737.77</v>
      </c>
      <c r="H1456">
        <v>4790.26</v>
      </c>
      <c r="I1456">
        <v>42746.879999999997</v>
      </c>
      <c r="J1456" t="s">
        <v>25</v>
      </c>
      <c r="K1456" t="s">
        <v>33</v>
      </c>
      <c r="L1456">
        <v>444978.06</v>
      </c>
      <c r="M1456">
        <v>300</v>
      </c>
      <c r="N1456">
        <v>11061.02</v>
      </c>
      <c r="O1456">
        <v>29.81</v>
      </c>
      <c r="P1456">
        <v>1.93</v>
      </c>
      <c r="Q1456">
        <v>546</v>
      </c>
      <c r="R1456">
        <v>0.62</v>
      </c>
      <c r="S1456" t="s">
        <v>72</v>
      </c>
      <c r="T1456" s="1">
        <v>45013</v>
      </c>
      <c r="U1456">
        <v>1</v>
      </c>
    </row>
    <row r="1457" spans="1:21" x14ac:dyDescent="0.25">
      <c r="A1457" t="s">
        <v>1504</v>
      </c>
      <c r="B1457">
        <v>18</v>
      </c>
      <c r="C1457" t="s">
        <v>21</v>
      </c>
      <c r="D1457" t="s">
        <v>41</v>
      </c>
      <c r="E1457" t="s">
        <v>31</v>
      </c>
      <c r="F1457" t="s">
        <v>24</v>
      </c>
      <c r="G1457">
        <v>5162.78</v>
      </c>
      <c r="H1457">
        <v>2761.53</v>
      </c>
      <c r="I1457">
        <v>10356.879999999999</v>
      </c>
      <c r="J1457" t="s">
        <v>37</v>
      </c>
      <c r="K1457" t="s">
        <v>38</v>
      </c>
      <c r="L1457">
        <v>0</v>
      </c>
      <c r="M1457">
        <v>0</v>
      </c>
      <c r="N1457">
        <v>0</v>
      </c>
      <c r="O1457">
        <v>0</v>
      </c>
      <c r="P1457">
        <v>0</v>
      </c>
      <c r="Q1457">
        <v>360</v>
      </c>
      <c r="R1457">
        <v>0.17</v>
      </c>
      <c r="S1457" t="s">
        <v>39</v>
      </c>
      <c r="T1457" s="1">
        <v>44762</v>
      </c>
      <c r="U1457">
        <v>0</v>
      </c>
    </row>
    <row r="1458" spans="1:21" x14ac:dyDescent="0.25">
      <c r="A1458" t="s">
        <v>1505</v>
      </c>
      <c r="B1458">
        <v>67</v>
      </c>
      <c r="C1458" t="s">
        <v>21</v>
      </c>
      <c r="D1458" t="s">
        <v>41</v>
      </c>
      <c r="E1458" t="s">
        <v>31</v>
      </c>
      <c r="F1458" t="s">
        <v>36</v>
      </c>
      <c r="G1458">
        <v>2758.39</v>
      </c>
      <c r="H1458">
        <v>1297.27</v>
      </c>
      <c r="I1458">
        <v>22688.21</v>
      </c>
      <c r="J1458" t="s">
        <v>37</v>
      </c>
      <c r="K1458" t="s">
        <v>38</v>
      </c>
      <c r="L1458">
        <v>0</v>
      </c>
      <c r="M1458">
        <v>0</v>
      </c>
      <c r="N1458">
        <v>0</v>
      </c>
      <c r="O1458">
        <v>0</v>
      </c>
      <c r="P1458">
        <v>0</v>
      </c>
      <c r="Q1458">
        <v>640</v>
      </c>
      <c r="R1458">
        <v>0.69</v>
      </c>
      <c r="S1458" t="s">
        <v>27</v>
      </c>
      <c r="T1458" s="1">
        <v>45625</v>
      </c>
      <c r="U1458">
        <v>0</v>
      </c>
    </row>
    <row r="1459" spans="1:21" x14ac:dyDescent="0.25">
      <c r="A1459" t="s">
        <v>1506</v>
      </c>
      <c r="B1459">
        <v>40</v>
      </c>
      <c r="C1459" t="s">
        <v>21</v>
      </c>
      <c r="D1459" t="s">
        <v>41</v>
      </c>
      <c r="E1459" t="s">
        <v>23</v>
      </c>
      <c r="F1459" t="s">
        <v>32</v>
      </c>
      <c r="G1459">
        <v>1875.81</v>
      </c>
      <c r="H1459">
        <v>909.16</v>
      </c>
      <c r="I1459">
        <v>3221.81</v>
      </c>
      <c r="J1459" t="s">
        <v>37</v>
      </c>
      <c r="K1459" t="s">
        <v>38</v>
      </c>
      <c r="L1459">
        <v>0</v>
      </c>
      <c r="M1459">
        <v>0</v>
      </c>
      <c r="N1459">
        <v>0</v>
      </c>
      <c r="O1459">
        <v>0</v>
      </c>
      <c r="P1459">
        <v>0</v>
      </c>
      <c r="Q1459">
        <v>731</v>
      </c>
      <c r="R1459">
        <v>0.14000000000000001</v>
      </c>
      <c r="S1459" t="s">
        <v>30</v>
      </c>
      <c r="T1459" s="1">
        <v>45017</v>
      </c>
      <c r="U1459">
        <v>0</v>
      </c>
    </row>
    <row r="1460" spans="1:21" x14ac:dyDescent="0.25">
      <c r="A1460" t="s">
        <v>1507</v>
      </c>
      <c r="B1460">
        <v>66</v>
      </c>
      <c r="C1460" t="s">
        <v>21</v>
      </c>
      <c r="D1460" t="s">
        <v>41</v>
      </c>
      <c r="E1460" t="s">
        <v>31</v>
      </c>
      <c r="F1460" t="s">
        <v>36</v>
      </c>
      <c r="G1460">
        <v>3118.62</v>
      </c>
      <c r="H1460">
        <v>1742.47</v>
      </c>
      <c r="I1460">
        <v>30345.03</v>
      </c>
      <c r="J1460" t="s">
        <v>37</v>
      </c>
      <c r="K1460" t="s">
        <v>38</v>
      </c>
      <c r="L1460">
        <v>0</v>
      </c>
      <c r="M1460">
        <v>0</v>
      </c>
      <c r="N1460">
        <v>0</v>
      </c>
      <c r="O1460">
        <v>0</v>
      </c>
      <c r="P1460">
        <v>0</v>
      </c>
      <c r="Q1460">
        <v>367</v>
      </c>
      <c r="R1460">
        <v>0.81</v>
      </c>
      <c r="S1460" t="s">
        <v>72</v>
      </c>
      <c r="T1460" s="1">
        <v>44831</v>
      </c>
      <c r="U1460">
        <v>0</v>
      </c>
    </row>
    <row r="1461" spans="1:21" x14ac:dyDescent="0.25">
      <c r="A1461" t="s">
        <v>1508</v>
      </c>
      <c r="B1461">
        <v>43</v>
      </c>
      <c r="C1461" t="s">
        <v>21</v>
      </c>
      <c r="D1461" t="s">
        <v>22</v>
      </c>
      <c r="E1461" t="s">
        <v>31</v>
      </c>
      <c r="F1461" t="s">
        <v>52</v>
      </c>
      <c r="G1461">
        <v>2657.48</v>
      </c>
      <c r="H1461">
        <v>1228.8</v>
      </c>
      <c r="I1461">
        <v>8454.5499999999993</v>
      </c>
      <c r="J1461" t="s">
        <v>37</v>
      </c>
      <c r="K1461" t="s">
        <v>38</v>
      </c>
      <c r="L1461">
        <v>0</v>
      </c>
      <c r="M1461">
        <v>0</v>
      </c>
      <c r="N1461">
        <v>0</v>
      </c>
      <c r="O1461">
        <v>0</v>
      </c>
      <c r="P1461">
        <v>0</v>
      </c>
      <c r="Q1461">
        <v>513</v>
      </c>
      <c r="R1461">
        <v>0.27</v>
      </c>
      <c r="S1461" t="s">
        <v>39</v>
      </c>
      <c r="T1461" s="1">
        <v>45818</v>
      </c>
      <c r="U1461">
        <v>0</v>
      </c>
    </row>
    <row r="1462" spans="1:21" x14ac:dyDescent="0.25">
      <c r="A1462" t="s">
        <v>1509</v>
      </c>
      <c r="B1462">
        <v>44</v>
      </c>
      <c r="C1462" t="s">
        <v>29</v>
      </c>
      <c r="D1462" t="s">
        <v>41</v>
      </c>
      <c r="E1462" t="s">
        <v>51</v>
      </c>
      <c r="F1462" t="s">
        <v>63</v>
      </c>
      <c r="G1462">
        <v>3110.78</v>
      </c>
      <c r="H1462">
        <v>1358.45</v>
      </c>
      <c r="I1462">
        <v>33648.42</v>
      </c>
      <c r="J1462" t="s">
        <v>37</v>
      </c>
      <c r="K1462" t="s">
        <v>38</v>
      </c>
      <c r="L1462">
        <v>0</v>
      </c>
      <c r="M1462">
        <v>0</v>
      </c>
      <c r="N1462">
        <v>0</v>
      </c>
      <c r="O1462">
        <v>0</v>
      </c>
      <c r="P1462">
        <v>0</v>
      </c>
      <c r="Q1462">
        <v>400</v>
      </c>
      <c r="R1462">
        <v>0.9</v>
      </c>
      <c r="S1462" t="s">
        <v>47</v>
      </c>
      <c r="T1462" s="1">
        <v>44947</v>
      </c>
      <c r="U1462">
        <v>0</v>
      </c>
    </row>
    <row r="1463" spans="1:21" x14ac:dyDescent="0.25">
      <c r="A1463" t="s">
        <v>1510</v>
      </c>
      <c r="B1463">
        <v>26</v>
      </c>
      <c r="C1463" t="s">
        <v>29</v>
      </c>
      <c r="D1463" t="s">
        <v>41</v>
      </c>
      <c r="E1463" t="s">
        <v>31</v>
      </c>
      <c r="F1463" t="s">
        <v>63</v>
      </c>
      <c r="G1463">
        <v>6378.94</v>
      </c>
      <c r="H1463">
        <v>2303.16</v>
      </c>
      <c r="I1463">
        <v>25174.81</v>
      </c>
      <c r="J1463" t="s">
        <v>37</v>
      </c>
      <c r="K1463" t="s">
        <v>38</v>
      </c>
      <c r="L1463">
        <v>0</v>
      </c>
      <c r="M1463">
        <v>0</v>
      </c>
      <c r="N1463">
        <v>0</v>
      </c>
      <c r="O1463">
        <v>0</v>
      </c>
      <c r="P1463">
        <v>0</v>
      </c>
      <c r="Q1463">
        <v>782</v>
      </c>
      <c r="R1463">
        <v>0.33</v>
      </c>
      <c r="S1463" t="s">
        <v>72</v>
      </c>
      <c r="T1463" s="1">
        <v>45346</v>
      </c>
      <c r="U1463">
        <v>0</v>
      </c>
    </row>
    <row r="1464" spans="1:21" x14ac:dyDescent="0.25">
      <c r="A1464" t="s">
        <v>1511</v>
      </c>
      <c r="B1464">
        <v>40</v>
      </c>
      <c r="C1464" t="s">
        <v>29</v>
      </c>
      <c r="D1464" t="s">
        <v>35</v>
      </c>
      <c r="E1464" t="s">
        <v>31</v>
      </c>
      <c r="F1464" t="s">
        <v>49</v>
      </c>
      <c r="G1464">
        <v>4205.0600000000004</v>
      </c>
      <c r="H1464">
        <v>2721.25</v>
      </c>
      <c r="I1464">
        <v>8663.41</v>
      </c>
      <c r="J1464" t="s">
        <v>37</v>
      </c>
      <c r="K1464" t="s">
        <v>38</v>
      </c>
      <c r="L1464">
        <v>0</v>
      </c>
      <c r="M1464">
        <v>0</v>
      </c>
      <c r="N1464">
        <v>0</v>
      </c>
      <c r="O1464">
        <v>0</v>
      </c>
      <c r="P1464">
        <v>0</v>
      </c>
      <c r="Q1464">
        <v>444</v>
      </c>
      <c r="R1464">
        <v>0.17</v>
      </c>
      <c r="S1464" t="s">
        <v>30</v>
      </c>
      <c r="T1464" s="1">
        <v>44587</v>
      </c>
      <c r="U1464">
        <v>0</v>
      </c>
    </row>
    <row r="1465" spans="1:21" x14ac:dyDescent="0.25">
      <c r="A1465" t="s">
        <v>1512</v>
      </c>
      <c r="B1465">
        <v>48</v>
      </c>
      <c r="C1465" t="s">
        <v>29</v>
      </c>
      <c r="D1465" t="s">
        <v>35</v>
      </c>
      <c r="E1465" t="s">
        <v>51</v>
      </c>
      <c r="F1465" t="s">
        <v>36</v>
      </c>
      <c r="G1465">
        <v>3487.93</v>
      </c>
      <c r="H1465">
        <v>2821.73</v>
      </c>
      <c r="I1465">
        <v>32476.98</v>
      </c>
      <c r="J1465" t="s">
        <v>37</v>
      </c>
      <c r="K1465" t="s">
        <v>38</v>
      </c>
      <c r="L1465">
        <v>0</v>
      </c>
      <c r="M1465">
        <v>0</v>
      </c>
      <c r="N1465">
        <v>0</v>
      </c>
      <c r="O1465">
        <v>0</v>
      </c>
      <c r="P1465">
        <v>0</v>
      </c>
      <c r="Q1465">
        <v>488</v>
      </c>
      <c r="R1465">
        <v>0.78</v>
      </c>
      <c r="S1465" t="s">
        <v>72</v>
      </c>
      <c r="T1465" s="1">
        <v>45811</v>
      </c>
      <c r="U1465">
        <v>0</v>
      </c>
    </row>
    <row r="1466" spans="1:21" x14ac:dyDescent="0.25">
      <c r="A1466" t="s">
        <v>1513</v>
      </c>
      <c r="B1466">
        <v>50</v>
      </c>
      <c r="C1466" t="s">
        <v>29</v>
      </c>
      <c r="D1466" t="s">
        <v>41</v>
      </c>
      <c r="E1466" t="s">
        <v>31</v>
      </c>
      <c r="F1466" t="s">
        <v>44</v>
      </c>
      <c r="G1466">
        <v>4175.16</v>
      </c>
      <c r="H1466">
        <v>3035.56</v>
      </c>
      <c r="I1466">
        <v>10834.78</v>
      </c>
      <c r="J1466" t="s">
        <v>37</v>
      </c>
      <c r="K1466" t="s">
        <v>38</v>
      </c>
      <c r="L1466">
        <v>0</v>
      </c>
      <c r="M1466">
        <v>0</v>
      </c>
      <c r="N1466">
        <v>0</v>
      </c>
      <c r="O1466">
        <v>0</v>
      </c>
      <c r="P1466">
        <v>0</v>
      </c>
      <c r="Q1466">
        <v>762</v>
      </c>
      <c r="R1466">
        <v>0.22</v>
      </c>
      <c r="S1466" t="s">
        <v>72</v>
      </c>
      <c r="T1466" s="1">
        <v>45386</v>
      </c>
      <c r="U1466">
        <v>0</v>
      </c>
    </row>
    <row r="1467" spans="1:21" x14ac:dyDescent="0.25">
      <c r="A1467" t="s">
        <v>1514</v>
      </c>
      <c r="B1467">
        <v>19</v>
      </c>
      <c r="C1467" t="s">
        <v>29</v>
      </c>
      <c r="D1467" t="s">
        <v>22</v>
      </c>
      <c r="E1467" t="s">
        <v>23</v>
      </c>
      <c r="F1467" t="s">
        <v>49</v>
      </c>
      <c r="G1467">
        <v>2675.04</v>
      </c>
      <c r="H1467">
        <v>1565.44</v>
      </c>
      <c r="I1467">
        <v>19756.61</v>
      </c>
      <c r="J1467" t="s">
        <v>37</v>
      </c>
      <c r="K1467" t="s">
        <v>38</v>
      </c>
      <c r="L1467">
        <v>0</v>
      </c>
      <c r="M1467">
        <v>0</v>
      </c>
      <c r="N1467">
        <v>0</v>
      </c>
      <c r="O1467">
        <v>0</v>
      </c>
      <c r="P1467">
        <v>0</v>
      </c>
      <c r="Q1467">
        <v>769</v>
      </c>
      <c r="R1467">
        <v>0.62</v>
      </c>
      <c r="S1467" t="s">
        <v>30</v>
      </c>
      <c r="T1467" s="1">
        <v>45080</v>
      </c>
      <c r="U1467">
        <v>0</v>
      </c>
    </row>
    <row r="1468" spans="1:21" x14ac:dyDescent="0.25">
      <c r="A1468" t="s">
        <v>1515</v>
      </c>
      <c r="B1468">
        <v>22</v>
      </c>
      <c r="C1468" t="s">
        <v>29</v>
      </c>
      <c r="D1468" t="s">
        <v>30</v>
      </c>
      <c r="E1468" t="s">
        <v>31</v>
      </c>
      <c r="F1468" t="s">
        <v>42</v>
      </c>
      <c r="G1468">
        <v>2448.23</v>
      </c>
      <c r="H1468">
        <v>1658.51</v>
      </c>
      <c r="I1468">
        <v>13956.24</v>
      </c>
      <c r="J1468" t="s">
        <v>25</v>
      </c>
      <c r="K1468" t="s">
        <v>45</v>
      </c>
      <c r="L1468">
        <v>370473.33</v>
      </c>
      <c r="M1468">
        <v>300</v>
      </c>
      <c r="N1468">
        <v>3566.96</v>
      </c>
      <c r="O1468">
        <v>10.76</v>
      </c>
      <c r="P1468">
        <v>1.46</v>
      </c>
      <c r="Q1468">
        <v>339</v>
      </c>
      <c r="R1468">
        <v>0.48</v>
      </c>
      <c r="S1468" t="s">
        <v>72</v>
      </c>
      <c r="T1468" s="1">
        <v>45427</v>
      </c>
      <c r="U1468">
        <v>1</v>
      </c>
    </row>
    <row r="1469" spans="1:21" x14ac:dyDescent="0.25">
      <c r="A1469" t="s">
        <v>1516</v>
      </c>
      <c r="B1469">
        <v>25</v>
      </c>
      <c r="C1469" t="s">
        <v>21</v>
      </c>
      <c r="D1469" t="s">
        <v>41</v>
      </c>
      <c r="E1469" t="s">
        <v>31</v>
      </c>
      <c r="F1469" t="s">
        <v>49</v>
      </c>
      <c r="G1469">
        <v>2202.36</v>
      </c>
      <c r="H1469">
        <v>1523.31</v>
      </c>
      <c r="I1469">
        <v>6641.03</v>
      </c>
      <c r="J1469" t="s">
        <v>37</v>
      </c>
      <c r="K1469" t="s">
        <v>38</v>
      </c>
      <c r="L1469">
        <v>0</v>
      </c>
      <c r="M1469">
        <v>0</v>
      </c>
      <c r="N1469">
        <v>0</v>
      </c>
      <c r="O1469">
        <v>0</v>
      </c>
      <c r="P1469">
        <v>0</v>
      </c>
      <c r="Q1469">
        <v>785</v>
      </c>
      <c r="R1469">
        <v>0.25</v>
      </c>
      <c r="S1469" t="s">
        <v>27</v>
      </c>
      <c r="T1469" s="1">
        <v>44466</v>
      </c>
      <c r="U1469">
        <v>0</v>
      </c>
    </row>
    <row r="1470" spans="1:21" x14ac:dyDescent="0.25">
      <c r="A1470" t="s">
        <v>1517</v>
      </c>
      <c r="B1470">
        <v>61</v>
      </c>
      <c r="C1470" t="s">
        <v>21</v>
      </c>
      <c r="D1470" t="s">
        <v>41</v>
      </c>
      <c r="E1470" t="s">
        <v>31</v>
      </c>
      <c r="F1470" t="s">
        <v>49</v>
      </c>
      <c r="G1470">
        <v>2899.54</v>
      </c>
      <c r="H1470">
        <v>2598.9299999999998</v>
      </c>
      <c r="I1470">
        <v>29639.64</v>
      </c>
      <c r="J1470" t="s">
        <v>25</v>
      </c>
      <c r="K1470" t="s">
        <v>54</v>
      </c>
      <c r="L1470">
        <v>332139.49</v>
      </c>
      <c r="M1470">
        <v>180</v>
      </c>
      <c r="N1470">
        <v>5036.5</v>
      </c>
      <c r="O1470">
        <v>16.68</v>
      </c>
      <c r="P1470">
        <v>1.74</v>
      </c>
      <c r="Q1470">
        <v>569</v>
      </c>
      <c r="R1470">
        <v>0.85</v>
      </c>
      <c r="S1470" t="s">
        <v>72</v>
      </c>
      <c r="T1470" s="1">
        <v>44627</v>
      </c>
      <c r="U1470">
        <v>1</v>
      </c>
    </row>
    <row r="1471" spans="1:21" x14ac:dyDescent="0.25">
      <c r="A1471" t="s">
        <v>1518</v>
      </c>
      <c r="B1471">
        <v>53</v>
      </c>
      <c r="C1471" t="s">
        <v>29</v>
      </c>
      <c r="D1471" t="s">
        <v>35</v>
      </c>
      <c r="E1471" t="s">
        <v>31</v>
      </c>
      <c r="F1471" t="s">
        <v>24</v>
      </c>
      <c r="G1471">
        <v>859.61</v>
      </c>
      <c r="H1471">
        <v>734.46</v>
      </c>
      <c r="I1471">
        <v>6823.21</v>
      </c>
      <c r="J1471" t="s">
        <v>37</v>
      </c>
      <c r="K1471" t="s">
        <v>38</v>
      </c>
      <c r="L1471">
        <v>0</v>
      </c>
      <c r="M1471">
        <v>0</v>
      </c>
      <c r="N1471">
        <v>0</v>
      </c>
      <c r="O1471">
        <v>0</v>
      </c>
      <c r="P1471">
        <v>0</v>
      </c>
      <c r="Q1471">
        <v>307</v>
      </c>
      <c r="R1471">
        <v>0.66</v>
      </c>
      <c r="S1471" t="s">
        <v>39</v>
      </c>
      <c r="T1471" s="1">
        <v>44983</v>
      </c>
      <c r="U1471">
        <v>0</v>
      </c>
    </row>
    <row r="1472" spans="1:21" x14ac:dyDescent="0.25">
      <c r="A1472" t="s">
        <v>1519</v>
      </c>
      <c r="B1472">
        <v>27</v>
      </c>
      <c r="C1472" t="s">
        <v>21</v>
      </c>
      <c r="D1472" t="s">
        <v>22</v>
      </c>
      <c r="E1472" t="s">
        <v>51</v>
      </c>
      <c r="F1472" t="s">
        <v>49</v>
      </c>
      <c r="G1472">
        <v>639.15</v>
      </c>
      <c r="H1472">
        <v>537.63</v>
      </c>
      <c r="I1472">
        <v>5248.61</v>
      </c>
      <c r="J1472" t="s">
        <v>37</v>
      </c>
      <c r="K1472" t="s">
        <v>38</v>
      </c>
      <c r="L1472">
        <v>0</v>
      </c>
      <c r="M1472">
        <v>0</v>
      </c>
      <c r="N1472">
        <v>0</v>
      </c>
      <c r="O1472">
        <v>0</v>
      </c>
      <c r="P1472">
        <v>0</v>
      </c>
      <c r="Q1472">
        <v>569</v>
      </c>
      <c r="R1472">
        <v>0.68</v>
      </c>
      <c r="S1472" t="s">
        <v>30</v>
      </c>
      <c r="T1472" s="1">
        <v>45393</v>
      </c>
      <c r="U1472">
        <v>0</v>
      </c>
    </row>
    <row r="1473" spans="1:21" x14ac:dyDescent="0.25">
      <c r="A1473" t="s">
        <v>1520</v>
      </c>
      <c r="B1473">
        <v>48</v>
      </c>
      <c r="C1473" t="s">
        <v>21</v>
      </c>
      <c r="D1473" t="s">
        <v>22</v>
      </c>
      <c r="E1473" t="s">
        <v>31</v>
      </c>
      <c r="F1473" t="s">
        <v>52</v>
      </c>
      <c r="G1473">
        <v>5201.34</v>
      </c>
      <c r="H1473">
        <v>2352.2600000000002</v>
      </c>
      <c r="I1473">
        <v>52277.01</v>
      </c>
      <c r="J1473" t="s">
        <v>25</v>
      </c>
      <c r="K1473" t="s">
        <v>45</v>
      </c>
      <c r="L1473">
        <v>305318.45</v>
      </c>
      <c r="M1473">
        <v>180</v>
      </c>
      <c r="N1473">
        <v>6404.35</v>
      </c>
      <c r="O1473">
        <v>24.51</v>
      </c>
      <c r="P1473">
        <v>1.23</v>
      </c>
      <c r="Q1473">
        <v>786</v>
      </c>
      <c r="R1473">
        <v>0.84</v>
      </c>
      <c r="S1473" t="s">
        <v>47</v>
      </c>
      <c r="T1473" s="1">
        <v>45791</v>
      </c>
      <c r="U1473">
        <v>1</v>
      </c>
    </row>
    <row r="1474" spans="1:21" x14ac:dyDescent="0.25">
      <c r="A1474" t="s">
        <v>1521</v>
      </c>
      <c r="B1474">
        <v>55</v>
      </c>
      <c r="C1474" t="s">
        <v>21</v>
      </c>
      <c r="D1474" t="s">
        <v>41</v>
      </c>
      <c r="E1474" t="s">
        <v>49</v>
      </c>
      <c r="F1474" t="s">
        <v>63</v>
      </c>
      <c r="G1474">
        <v>4300.28</v>
      </c>
      <c r="H1474">
        <v>1641.59</v>
      </c>
      <c r="I1474">
        <v>28232.639999999999</v>
      </c>
      <c r="J1474" t="s">
        <v>25</v>
      </c>
      <c r="K1474" t="s">
        <v>45</v>
      </c>
      <c r="L1474">
        <v>379505.27</v>
      </c>
      <c r="M1474">
        <v>300</v>
      </c>
      <c r="N1474">
        <v>1978.11</v>
      </c>
      <c r="O1474">
        <v>3.88</v>
      </c>
      <c r="P1474">
        <v>0.46</v>
      </c>
      <c r="Q1474">
        <v>668</v>
      </c>
      <c r="R1474">
        <v>0.55000000000000004</v>
      </c>
      <c r="S1474" t="s">
        <v>27</v>
      </c>
      <c r="T1474" s="1">
        <v>45341</v>
      </c>
      <c r="U1474">
        <v>1</v>
      </c>
    </row>
    <row r="1475" spans="1:21" x14ac:dyDescent="0.25">
      <c r="A1475" t="s">
        <v>1522</v>
      </c>
      <c r="B1475">
        <v>24</v>
      </c>
      <c r="C1475" t="s">
        <v>29</v>
      </c>
      <c r="D1475" t="s">
        <v>41</v>
      </c>
      <c r="E1475" t="s">
        <v>31</v>
      </c>
      <c r="F1475" t="s">
        <v>32</v>
      </c>
      <c r="G1475">
        <v>4016.61</v>
      </c>
      <c r="H1475">
        <v>2164.64</v>
      </c>
      <c r="I1475">
        <v>34877.08</v>
      </c>
      <c r="J1475" t="s">
        <v>37</v>
      </c>
      <c r="K1475" t="s">
        <v>38</v>
      </c>
      <c r="L1475">
        <v>0</v>
      </c>
      <c r="M1475">
        <v>0</v>
      </c>
      <c r="N1475">
        <v>0</v>
      </c>
      <c r="O1475">
        <v>0</v>
      </c>
      <c r="P1475">
        <v>0</v>
      </c>
      <c r="Q1475">
        <v>313</v>
      </c>
      <c r="R1475">
        <v>0.72</v>
      </c>
      <c r="S1475" t="s">
        <v>47</v>
      </c>
      <c r="T1475" s="1">
        <v>44784</v>
      </c>
      <c r="U1475">
        <v>0</v>
      </c>
    </row>
    <row r="1476" spans="1:21" x14ac:dyDescent="0.25">
      <c r="A1476" t="s">
        <v>1523</v>
      </c>
      <c r="B1476">
        <v>35</v>
      </c>
      <c r="C1476" t="s">
        <v>21</v>
      </c>
      <c r="D1476" t="s">
        <v>30</v>
      </c>
      <c r="E1476" t="s">
        <v>31</v>
      </c>
      <c r="F1476" t="s">
        <v>63</v>
      </c>
      <c r="G1476">
        <v>4836.17</v>
      </c>
      <c r="H1476">
        <v>1969.45</v>
      </c>
      <c r="I1476">
        <v>31973.14</v>
      </c>
      <c r="J1476" t="s">
        <v>25</v>
      </c>
      <c r="K1476" t="s">
        <v>33</v>
      </c>
      <c r="L1476">
        <v>152997.17000000001</v>
      </c>
      <c r="M1476">
        <v>240</v>
      </c>
      <c r="N1476">
        <v>3732.07</v>
      </c>
      <c r="O1476">
        <v>29.18</v>
      </c>
      <c r="P1476">
        <v>0.77</v>
      </c>
      <c r="Q1476">
        <v>485</v>
      </c>
      <c r="R1476">
        <v>0.55000000000000004</v>
      </c>
      <c r="S1476" t="s">
        <v>39</v>
      </c>
      <c r="T1476" s="1">
        <v>45495</v>
      </c>
      <c r="U1476">
        <v>1</v>
      </c>
    </row>
    <row r="1477" spans="1:21" x14ac:dyDescent="0.25">
      <c r="A1477" t="s">
        <v>1524</v>
      </c>
      <c r="B1477">
        <v>65</v>
      </c>
      <c r="C1477" t="s">
        <v>21</v>
      </c>
      <c r="D1477" t="s">
        <v>41</v>
      </c>
      <c r="E1477" t="s">
        <v>31</v>
      </c>
      <c r="F1477" t="s">
        <v>42</v>
      </c>
      <c r="G1477">
        <v>4091.66</v>
      </c>
      <c r="H1477">
        <v>1769.69</v>
      </c>
      <c r="I1477">
        <v>29859.53</v>
      </c>
      <c r="J1477" t="s">
        <v>37</v>
      </c>
      <c r="K1477" t="s">
        <v>38</v>
      </c>
      <c r="L1477">
        <v>0</v>
      </c>
      <c r="M1477">
        <v>0</v>
      </c>
      <c r="N1477">
        <v>0</v>
      </c>
      <c r="O1477">
        <v>0</v>
      </c>
      <c r="P1477">
        <v>0</v>
      </c>
      <c r="Q1477">
        <v>567</v>
      </c>
      <c r="R1477">
        <v>0.61</v>
      </c>
      <c r="S1477" t="s">
        <v>72</v>
      </c>
      <c r="T1477" s="1">
        <v>44823</v>
      </c>
      <c r="U1477">
        <v>0</v>
      </c>
    </row>
    <row r="1478" spans="1:21" x14ac:dyDescent="0.25">
      <c r="A1478" t="s">
        <v>1525</v>
      </c>
      <c r="B1478">
        <v>36</v>
      </c>
      <c r="C1478" t="s">
        <v>29</v>
      </c>
      <c r="D1478" t="s">
        <v>35</v>
      </c>
      <c r="E1478" t="s">
        <v>31</v>
      </c>
      <c r="F1478" t="s">
        <v>23</v>
      </c>
      <c r="G1478">
        <v>3470.22</v>
      </c>
      <c r="H1478">
        <v>1869.99</v>
      </c>
      <c r="I1478">
        <v>22101.24</v>
      </c>
      <c r="J1478" t="s">
        <v>25</v>
      </c>
      <c r="K1478" t="s">
        <v>54</v>
      </c>
      <c r="L1478">
        <v>372466.96</v>
      </c>
      <c r="M1478">
        <v>360</v>
      </c>
      <c r="N1478">
        <v>2701.94</v>
      </c>
      <c r="O1478">
        <v>7.88</v>
      </c>
      <c r="P1478">
        <v>0.78</v>
      </c>
      <c r="Q1478">
        <v>564</v>
      </c>
      <c r="R1478">
        <v>0.53</v>
      </c>
      <c r="S1478" t="s">
        <v>39</v>
      </c>
      <c r="T1478" s="1">
        <v>45566</v>
      </c>
      <c r="U1478">
        <v>1</v>
      </c>
    </row>
    <row r="1479" spans="1:21" x14ac:dyDescent="0.25">
      <c r="A1479" t="s">
        <v>1526</v>
      </c>
      <c r="B1479">
        <v>28</v>
      </c>
      <c r="C1479" t="s">
        <v>29</v>
      </c>
      <c r="D1479" t="s">
        <v>41</v>
      </c>
      <c r="E1479" t="s">
        <v>31</v>
      </c>
      <c r="F1479" t="s">
        <v>32</v>
      </c>
      <c r="G1479">
        <v>5741.46</v>
      </c>
      <c r="H1479">
        <v>3852.58</v>
      </c>
      <c r="I1479">
        <v>61159.03</v>
      </c>
      <c r="J1479" t="s">
        <v>25</v>
      </c>
      <c r="K1479" t="s">
        <v>54</v>
      </c>
      <c r="L1479">
        <v>375737.52</v>
      </c>
      <c r="M1479">
        <v>360</v>
      </c>
      <c r="N1479">
        <v>8475.65</v>
      </c>
      <c r="O1479">
        <v>27.06</v>
      </c>
      <c r="P1479">
        <v>1.48</v>
      </c>
      <c r="Q1479">
        <v>702</v>
      </c>
      <c r="R1479">
        <v>0.89</v>
      </c>
      <c r="S1479" t="s">
        <v>39</v>
      </c>
      <c r="T1479" s="1">
        <v>45431</v>
      </c>
      <c r="U1479">
        <v>1</v>
      </c>
    </row>
    <row r="1480" spans="1:21" x14ac:dyDescent="0.25">
      <c r="A1480" t="s">
        <v>1527</v>
      </c>
      <c r="B1480">
        <v>59</v>
      </c>
      <c r="C1480" t="s">
        <v>21</v>
      </c>
      <c r="D1480" t="s">
        <v>41</v>
      </c>
      <c r="E1480" t="s">
        <v>31</v>
      </c>
      <c r="F1480" t="s">
        <v>42</v>
      </c>
      <c r="G1480">
        <v>7889.54</v>
      </c>
      <c r="H1480">
        <v>5956.4</v>
      </c>
      <c r="I1480">
        <v>62503.94</v>
      </c>
      <c r="J1480" t="s">
        <v>37</v>
      </c>
      <c r="K1480" t="s">
        <v>38</v>
      </c>
      <c r="L1480">
        <v>0</v>
      </c>
      <c r="M1480">
        <v>0</v>
      </c>
      <c r="N1480">
        <v>0</v>
      </c>
      <c r="O1480">
        <v>0</v>
      </c>
      <c r="P1480">
        <v>0</v>
      </c>
      <c r="Q1480">
        <v>393</v>
      </c>
      <c r="R1480">
        <v>0.66</v>
      </c>
      <c r="S1480" t="s">
        <v>27</v>
      </c>
      <c r="T1480" s="1">
        <v>45546</v>
      </c>
      <c r="U1480">
        <v>0</v>
      </c>
    </row>
    <row r="1481" spans="1:21" x14ac:dyDescent="0.25">
      <c r="A1481" t="s">
        <v>1528</v>
      </c>
      <c r="B1481">
        <v>45</v>
      </c>
      <c r="C1481" t="s">
        <v>21</v>
      </c>
      <c r="D1481" t="s">
        <v>41</v>
      </c>
      <c r="E1481" t="s">
        <v>49</v>
      </c>
      <c r="F1481" t="s">
        <v>24</v>
      </c>
      <c r="G1481">
        <v>4876.6000000000004</v>
      </c>
      <c r="H1481">
        <v>2933.28</v>
      </c>
      <c r="I1481">
        <v>13463.58</v>
      </c>
      <c r="J1481" t="s">
        <v>25</v>
      </c>
      <c r="K1481" t="s">
        <v>45</v>
      </c>
      <c r="L1481">
        <v>93398.83</v>
      </c>
      <c r="M1481">
        <v>24</v>
      </c>
      <c r="N1481">
        <v>5020.05</v>
      </c>
      <c r="O1481">
        <v>25.75</v>
      </c>
      <c r="P1481">
        <v>1.03</v>
      </c>
      <c r="Q1481">
        <v>615</v>
      </c>
      <c r="R1481">
        <v>0.23</v>
      </c>
      <c r="S1481" t="s">
        <v>27</v>
      </c>
      <c r="T1481" s="1">
        <v>45825</v>
      </c>
      <c r="U1481">
        <v>1</v>
      </c>
    </row>
    <row r="1482" spans="1:21" x14ac:dyDescent="0.25">
      <c r="A1482" t="s">
        <v>1529</v>
      </c>
      <c r="B1482">
        <v>51</v>
      </c>
      <c r="C1482" t="s">
        <v>21</v>
      </c>
      <c r="D1482" t="s">
        <v>22</v>
      </c>
      <c r="E1482" t="s">
        <v>31</v>
      </c>
      <c r="F1482" t="s">
        <v>52</v>
      </c>
      <c r="G1482">
        <v>6452.46</v>
      </c>
      <c r="H1482">
        <v>3967.82</v>
      </c>
      <c r="I1482">
        <v>61736.05</v>
      </c>
      <c r="J1482" t="s">
        <v>37</v>
      </c>
      <c r="K1482" t="s">
        <v>38</v>
      </c>
      <c r="L1482">
        <v>0</v>
      </c>
      <c r="M1482">
        <v>0</v>
      </c>
      <c r="N1482">
        <v>0</v>
      </c>
      <c r="O1482">
        <v>0</v>
      </c>
      <c r="P1482">
        <v>0</v>
      </c>
      <c r="Q1482">
        <v>603</v>
      </c>
      <c r="R1482">
        <v>0.8</v>
      </c>
      <c r="S1482" t="s">
        <v>39</v>
      </c>
      <c r="T1482" s="1">
        <v>45673</v>
      </c>
      <c r="U1482">
        <v>0</v>
      </c>
    </row>
    <row r="1483" spans="1:21" x14ac:dyDescent="0.25">
      <c r="A1483" t="s">
        <v>1530</v>
      </c>
      <c r="B1483">
        <v>34</v>
      </c>
      <c r="C1483" t="s">
        <v>29</v>
      </c>
      <c r="D1483" t="s">
        <v>41</v>
      </c>
      <c r="E1483" t="s">
        <v>31</v>
      </c>
      <c r="F1483" t="s">
        <v>42</v>
      </c>
      <c r="G1483">
        <v>4024.45</v>
      </c>
      <c r="H1483">
        <v>1862.54</v>
      </c>
      <c r="I1483">
        <v>24347.91</v>
      </c>
      <c r="J1483" t="s">
        <v>37</v>
      </c>
      <c r="K1483" t="s">
        <v>38</v>
      </c>
      <c r="L1483">
        <v>0</v>
      </c>
      <c r="M1483">
        <v>0</v>
      </c>
      <c r="N1483">
        <v>0</v>
      </c>
      <c r="O1483">
        <v>0</v>
      </c>
      <c r="P1483">
        <v>0</v>
      </c>
      <c r="Q1483">
        <v>484</v>
      </c>
      <c r="R1483">
        <v>0.5</v>
      </c>
      <c r="S1483" t="s">
        <v>72</v>
      </c>
      <c r="T1483" s="1">
        <v>44674</v>
      </c>
      <c r="U1483">
        <v>0</v>
      </c>
    </row>
    <row r="1484" spans="1:21" x14ac:dyDescent="0.25">
      <c r="A1484" t="s">
        <v>1531</v>
      </c>
      <c r="B1484">
        <v>27</v>
      </c>
      <c r="C1484" t="s">
        <v>21</v>
      </c>
      <c r="D1484" t="s">
        <v>35</v>
      </c>
      <c r="E1484" t="s">
        <v>31</v>
      </c>
      <c r="F1484" t="s">
        <v>23</v>
      </c>
      <c r="G1484">
        <v>5057.22</v>
      </c>
      <c r="H1484">
        <v>4242.24</v>
      </c>
      <c r="I1484">
        <v>37142.720000000001</v>
      </c>
      <c r="J1484" t="s">
        <v>25</v>
      </c>
      <c r="K1484" t="s">
        <v>33</v>
      </c>
      <c r="L1484">
        <v>87064.17</v>
      </c>
      <c r="M1484">
        <v>36</v>
      </c>
      <c r="N1484">
        <v>3685.05</v>
      </c>
      <c r="O1484">
        <v>29.77</v>
      </c>
      <c r="P1484">
        <v>0.73</v>
      </c>
      <c r="Q1484">
        <v>758</v>
      </c>
      <c r="R1484">
        <v>0.61</v>
      </c>
      <c r="S1484" t="s">
        <v>47</v>
      </c>
      <c r="T1484" s="1">
        <v>45295</v>
      </c>
      <c r="U1484">
        <v>1</v>
      </c>
    </row>
    <row r="1485" spans="1:21" x14ac:dyDescent="0.25">
      <c r="A1485" t="s">
        <v>1532</v>
      </c>
      <c r="B1485">
        <v>53</v>
      </c>
      <c r="C1485" t="s">
        <v>21</v>
      </c>
      <c r="D1485" t="s">
        <v>41</v>
      </c>
      <c r="E1485" t="s">
        <v>49</v>
      </c>
      <c r="F1485" t="s">
        <v>23</v>
      </c>
      <c r="G1485">
        <v>2878.61</v>
      </c>
      <c r="H1485">
        <v>1095.18</v>
      </c>
      <c r="I1485">
        <v>33974.949999999997</v>
      </c>
      <c r="J1485" t="s">
        <v>37</v>
      </c>
      <c r="K1485" t="s">
        <v>38</v>
      </c>
      <c r="L1485">
        <v>0</v>
      </c>
      <c r="M1485">
        <v>0</v>
      </c>
      <c r="N1485">
        <v>0</v>
      </c>
      <c r="O1485">
        <v>0</v>
      </c>
      <c r="P1485">
        <v>0</v>
      </c>
      <c r="Q1485">
        <v>403</v>
      </c>
      <c r="R1485">
        <v>0.98</v>
      </c>
      <c r="S1485" t="s">
        <v>39</v>
      </c>
      <c r="T1485" s="1">
        <v>44461</v>
      </c>
      <c r="U1485">
        <v>0</v>
      </c>
    </row>
    <row r="1486" spans="1:21" x14ac:dyDescent="0.25">
      <c r="A1486" t="s">
        <v>1533</v>
      </c>
      <c r="B1486">
        <v>40</v>
      </c>
      <c r="C1486" t="s">
        <v>21</v>
      </c>
      <c r="D1486" t="s">
        <v>35</v>
      </c>
      <c r="E1486" t="s">
        <v>31</v>
      </c>
      <c r="F1486" t="s">
        <v>63</v>
      </c>
      <c r="G1486">
        <v>5171.6099999999997</v>
      </c>
      <c r="H1486">
        <v>3985.3</v>
      </c>
      <c r="I1486">
        <v>27398.37</v>
      </c>
      <c r="J1486" t="s">
        <v>37</v>
      </c>
      <c r="K1486" t="s">
        <v>38</v>
      </c>
      <c r="L1486">
        <v>0</v>
      </c>
      <c r="M1486">
        <v>0</v>
      </c>
      <c r="N1486">
        <v>0</v>
      </c>
      <c r="O1486">
        <v>0</v>
      </c>
      <c r="P1486">
        <v>0</v>
      </c>
      <c r="Q1486">
        <v>523</v>
      </c>
      <c r="R1486">
        <v>0.44</v>
      </c>
      <c r="S1486" t="s">
        <v>30</v>
      </c>
      <c r="T1486" s="1">
        <v>45448</v>
      </c>
      <c r="U1486">
        <v>0</v>
      </c>
    </row>
    <row r="1487" spans="1:21" x14ac:dyDescent="0.25">
      <c r="A1487" t="s">
        <v>1534</v>
      </c>
      <c r="B1487">
        <v>22</v>
      </c>
      <c r="C1487" t="s">
        <v>29</v>
      </c>
      <c r="D1487" t="s">
        <v>41</v>
      </c>
      <c r="E1487" t="s">
        <v>23</v>
      </c>
      <c r="F1487" t="s">
        <v>44</v>
      </c>
      <c r="G1487">
        <v>2599.29</v>
      </c>
      <c r="H1487">
        <v>1442.65</v>
      </c>
      <c r="I1487">
        <v>28902.23</v>
      </c>
      <c r="J1487" t="s">
        <v>37</v>
      </c>
      <c r="K1487" t="s">
        <v>38</v>
      </c>
      <c r="L1487">
        <v>0</v>
      </c>
      <c r="M1487">
        <v>0</v>
      </c>
      <c r="N1487">
        <v>0</v>
      </c>
      <c r="O1487">
        <v>0</v>
      </c>
      <c r="P1487">
        <v>0</v>
      </c>
      <c r="Q1487">
        <v>463</v>
      </c>
      <c r="R1487">
        <v>0.93</v>
      </c>
      <c r="S1487" t="s">
        <v>27</v>
      </c>
      <c r="T1487" s="1">
        <v>44617</v>
      </c>
      <c r="U1487">
        <v>0</v>
      </c>
    </row>
    <row r="1488" spans="1:21" x14ac:dyDescent="0.25">
      <c r="A1488" t="s">
        <v>1535</v>
      </c>
      <c r="B1488">
        <v>57</v>
      </c>
      <c r="C1488" t="s">
        <v>29</v>
      </c>
      <c r="D1488" t="s">
        <v>35</v>
      </c>
      <c r="E1488" t="s">
        <v>51</v>
      </c>
      <c r="F1488" t="s">
        <v>44</v>
      </c>
      <c r="G1488">
        <v>3888.37</v>
      </c>
      <c r="H1488">
        <v>2958.85</v>
      </c>
      <c r="I1488">
        <v>39820.43</v>
      </c>
      <c r="J1488" t="s">
        <v>25</v>
      </c>
      <c r="K1488" t="s">
        <v>45</v>
      </c>
      <c r="L1488">
        <v>115194.36</v>
      </c>
      <c r="M1488">
        <v>60</v>
      </c>
      <c r="N1488">
        <v>3146.28</v>
      </c>
      <c r="O1488">
        <v>21.46</v>
      </c>
      <c r="P1488">
        <v>0.81</v>
      </c>
      <c r="Q1488">
        <v>390</v>
      </c>
      <c r="R1488">
        <v>0.85</v>
      </c>
      <c r="S1488" t="s">
        <v>72</v>
      </c>
      <c r="T1488" s="1">
        <v>45856</v>
      </c>
      <c r="U1488">
        <v>1</v>
      </c>
    </row>
    <row r="1489" spans="1:21" x14ac:dyDescent="0.25">
      <c r="A1489" t="s">
        <v>1536</v>
      </c>
      <c r="B1489">
        <v>39</v>
      </c>
      <c r="C1489" t="s">
        <v>21</v>
      </c>
      <c r="D1489" t="s">
        <v>22</v>
      </c>
      <c r="E1489" t="s">
        <v>31</v>
      </c>
      <c r="F1489" t="s">
        <v>63</v>
      </c>
      <c r="G1489">
        <v>7972.81</v>
      </c>
      <c r="H1489">
        <v>3450.59</v>
      </c>
      <c r="I1489">
        <v>17140.97</v>
      </c>
      <c r="J1489" t="s">
        <v>37</v>
      </c>
      <c r="K1489" t="s">
        <v>38</v>
      </c>
      <c r="L1489">
        <v>0</v>
      </c>
      <c r="M1489">
        <v>0</v>
      </c>
      <c r="N1489">
        <v>0</v>
      </c>
      <c r="O1489">
        <v>0</v>
      </c>
      <c r="P1489">
        <v>0</v>
      </c>
      <c r="Q1489">
        <v>634</v>
      </c>
      <c r="R1489">
        <v>0.18</v>
      </c>
      <c r="S1489" t="s">
        <v>30</v>
      </c>
      <c r="T1489" s="1">
        <v>44573</v>
      </c>
      <c r="U1489">
        <v>0</v>
      </c>
    </row>
    <row r="1490" spans="1:21" x14ac:dyDescent="0.25">
      <c r="A1490" t="s">
        <v>1537</v>
      </c>
      <c r="B1490">
        <v>58</v>
      </c>
      <c r="C1490" t="s">
        <v>21</v>
      </c>
      <c r="D1490" t="s">
        <v>35</v>
      </c>
      <c r="E1490" t="s">
        <v>31</v>
      </c>
      <c r="F1490" t="s">
        <v>52</v>
      </c>
      <c r="G1490">
        <v>3413.82</v>
      </c>
      <c r="H1490">
        <v>2978.91</v>
      </c>
      <c r="I1490">
        <v>29673.72</v>
      </c>
      <c r="J1490" t="s">
        <v>37</v>
      </c>
      <c r="K1490" t="s">
        <v>38</v>
      </c>
      <c r="L1490">
        <v>0</v>
      </c>
      <c r="M1490">
        <v>0</v>
      </c>
      <c r="N1490">
        <v>0</v>
      </c>
      <c r="O1490">
        <v>0</v>
      </c>
      <c r="P1490">
        <v>0</v>
      </c>
      <c r="Q1490">
        <v>355</v>
      </c>
      <c r="R1490">
        <v>0.72</v>
      </c>
      <c r="S1490" t="s">
        <v>72</v>
      </c>
      <c r="T1490" s="1">
        <v>44987</v>
      </c>
      <c r="U1490">
        <v>0</v>
      </c>
    </row>
    <row r="1491" spans="1:21" x14ac:dyDescent="0.25">
      <c r="A1491" t="s">
        <v>1538</v>
      </c>
      <c r="B1491">
        <v>25</v>
      </c>
      <c r="C1491" t="s">
        <v>21</v>
      </c>
      <c r="D1491" t="s">
        <v>30</v>
      </c>
      <c r="E1491" t="s">
        <v>31</v>
      </c>
      <c r="F1491" t="s">
        <v>23</v>
      </c>
      <c r="G1491">
        <v>621.27</v>
      </c>
      <c r="H1491">
        <v>271.32</v>
      </c>
      <c r="I1491">
        <v>7065.41</v>
      </c>
      <c r="J1491" t="s">
        <v>37</v>
      </c>
      <c r="K1491" t="s">
        <v>38</v>
      </c>
      <c r="L1491">
        <v>0</v>
      </c>
      <c r="M1491">
        <v>0</v>
      </c>
      <c r="N1491">
        <v>0</v>
      </c>
      <c r="O1491">
        <v>0</v>
      </c>
      <c r="P1491">
        <v>0</v>
      </c>
      <c r="Q1491">
        <v>406</v>
      </c>
      <c r="R1491">
        <v>0.95</v>
      </c>
      <c r="S1491" t="s">
        <v>27</v>
      </c>
      <c r="T1491" s="1">
        <v>45184</v>
      </c>
      <c r="U1491">
        <v>0</v>
      </c>
    </row>
    <row r="1492" spans="1:21" x14ac:dyDescent="0.25">
      <c r="A1492" t="s">
        <v>1539</v>
      </c>
      <c r="B1492">
        <v>40</v>
      </c>
      <c r="C1492" t="s">
        <v>29</v>
      </c>
      <c r="D1492" t="s">
        <v>41</v>
      </c>
      <c r="E1492" t="s">
        <v>51</v>
      </c>
      <c r="F1492" t="s">
        <v>24</v>
      </c>
      <c r="G1492">
        <v>3718.3</v>
      </c>
      <c r="H1492">
        <v>2059.2600000000002</v>
      </c>
      <c r="I1492">
        <v>17406.38</v>
      </c>
      <c r="J1492" t="s">
        <v>25</v>
      </c>
      <c r="K1492" t="s">
        <v>54</v>
      </c>
      <c r="L1492">
        <v>49381.48</v>
      </c>
      <c r="M1492">
        <v>24</v>
      </c>
      <c r="N1492">
        <v>2543.3200000000002</v>
      </c>
      <c r="O1492">
        <v>21.24</v>
      </c>
      <c r="P1492">
        <v>0.68</v>
      </c>
      <c r="Q1492">
        <v>827</v>
      </c>
      <c r="R1492">
        <v>0.39</v>
      </c>
      <c r="S1492" t="s">
        <v>47</v>
      </c>
      <c r="T1492" s="1">
        <v>44434</v>
      </c>
      <c r="U1492">
        <v>1</v>
      </c>
    </row>
    <row r="1493" spans="1:21" x14ac:dyDescent="0.25">
      <c r="A1493" t="s">
        <v>1540</v>
      </c>
      <c r="B1493">
        <v>35</v>
      </c>
      <c r="C1493" t="s">
        <v>21</v>
      </c>
      <c r="D1493" t="s">
        <v>22</v>
      </c>
      <c r="E1493" t="s">
        <v>31</v>
      </c>
      <c r="F1493" t="s">
        <v>52</v>
      </c>
      <c r="G1493">
        <v>3914.08</v>
      </c>
      <c r="H1493">
        <v>2767.63</v>
      </c>
      <c r="I1493">
        <v>42607.47</v>
      </c>
      <c r="J1493" t="s">
        <v>37</v>
      </c>
      <c r="K1493" t="s">
        <v>38</v>
      </c>
      <c r="L1493">
        <v>0</v>
      </c>
      <c r="M1493">
        <v>0</v>
      </c>
      <c r="N1493">
        <v>0</v>
      </c>
      <c r="O1493">
        <v>0</v>
      </c>
      <c r="P1493">
        <v>0</v>
      </c>
      <c r="Q1493">
        <v>715</v>
      </c>
      <c r="R1493">
        <v>0.91</v>
      </c>
      <c r="S1493" t="s">
        <v>72</v>
      </c>
      <c r="T1493" s="1">
        <v>44518</v>
      </c>
      <c r="U1493">
        <v>0</v>
      </c>
    </row>
    <row r="1494" spans="1:21" x14ac:dyDescent="0.25">
      <c r="A1494" t="s">
        <v>1541</v>
      </c>
      <c r="B1494">
        <v>37</v>
      </c>
      <c r="C1494" t="s">
        <v>21</v>
      </c>
      <c r="D1494" t="s">
        <v>41</v>
      </c>
      <c r="E1494" t="s">
        <v>51</v>
      </c>
      <c r="F1494" t="s">
        <v>49</v>
      </c>
      <c r="G1494">
        <v>2787.17</v>
      </c>
      <c r="H1494">
        <v>2369.87</v>
      </c>
      <c r="I1494">
        <v>32043.3</v>
      </c>
      <c r="J1494" t="s">
        <v>25</v>
      </c>
      <c r="K1494" t="s">
        <v>26</v>
      </c>
      <c r="L1494">
        <v>282261.26</v>
      </c>
      <c r="M1494">
        <v>360</v>
      </c>
      <c r="N1494">
        <v>1902.6</v>
      </c>
      <c r="O1494">
        <v>7.13</v>
      </c>
      <c r="P1494">
        <v>0.68</v>
      </c>
      <c r="Q1494">
        <v>694</v>
      </c>
      <c r="R1494">
        <v>0.96</v>
      </c>
      <c r="S1494" t="s">
        <v>72</v>
      </c>
      <c r="T1494" s="1">
        <v>45271</v>
      </c>
      <c r="U1494">
        <v>1</v>
      </c>
    </row>
    <row r="1495" spans="1:21" x14ac:dyDescent="0.25">
      <c r="A1495" t="s">
        <v>1542</v>
      </c>
      <c r="B1495">
        <v>56</v>
      </c>
      <c r="C1495" t="s">
        <v>29</v>
      </c>
      <c r="D1495" t="s">
        <v>35</v>
      </c>
      <c r="E1495" t="s">
        <v>31</v>
      </c>
      <c r="F1495" t="s">
        <v>52</v>
      </c>
      <c r="G1495">
        <v>2817.41</v>
      </c>
      <c r="H1495">
        <v>2306.6799999999998</v>
      </c>
      <c r="I1495">
        <v>22936.53</v>
      </c>
      <c r="J1495" t="s">
        <v>37</v>
      </c>
      <c r="K1495" t="s">
        <v>38</v>
      </c>
      <c r="L1495">
        <v>0</v>
      </c>
      <c r="M1495">
        <v>0</v>
      </c>
      <c r="N1495">
        <v>0</v>
      </c>
      <c r="O1495">
        <v>0</v>
      </c>
      <c r="P1495">
        <v>0</v>
      </c>
      <c r="Q1495">
        <v>544</v>
      </c>
      <c r="R1495">
        <v>0.68</v>
      </c>
      <c r="S1495" t="s">
        <v>30</v>
      </c>
      <c r="T1495" s="1">
        <v>45083</v>
      </c>
      <c r="U1495">
        <v>0</v>
      </c>
    </row>
    <row r="1496" spans="1:21" x14ac:dyDescent="0.25">
      <c r="A1496" t="s">
        <v>1543</v>
      </c>
      <c r="B1496">
        <v>68</v>
      </c>
      <c r="C1496" t="s">
        <v>21</v>
      </c>
      <c r="D1496" t="s">
        <v>35</v>
      </c>
      <c r="E1496" t="s">
        <v>31</v>
      </c>
      <c r="F1496" t="s">
        <v>44</v>
      </c>
      <c r="G1496">
        <v>4906.21</v>
      </c>
      <c r="H1496">
        <v>3342.08</v>
      </c>
      <c r="I1496">
        <v>43858.19</v>
      </c>
      <c r="J1496" t="s">
        <v>25</v>
      </c>
      <c r="K1496" t="s">
        <v>45</v>
      </c>
      <c r="L1496">
        <v>64079.16</v>
      </c>
      <c r="M1496">
        <v>24</v>
      </c>
      <c r="N1496">
        <v>2994.63</v>
      </c>
      <c r="O1496">
        <v>11.27</v>
      </c>
      <c r="P1496">
        <v>0.61</v>
      </c>
      <c r="Q1496">
        <v>580</v>
      </c>
      <c r="R1496">
        <v>0.74</v>
      </c>
      <c r="S1496" t="s">
        <v>47</v>
      </c>
      <c r="T1496" s="1">
        <v>45132</v>
      </c>
      <c r="U1496">
        <v>1</v>
      </c>
    </row>
    <row r="1497" spans="1:21" x14ac:dyDescent="0.25">
      <c r="A1497" t="s">
        <v>1544</v>
      </c>
      <c r="B1497">
        <v>29</v>
      </c>
      <c r="C1497" t="s">
        <v>29</v>
      </c>
      <c r="D1497" t="s">
        <v>41</v>
      </c>
      <c r="E1497" t="s">
        <v>31</v>
      </c>
      <c r="F1497" t="s">
        <v>32</v>
      </c>
      <c r="G1497">
        <v>500</v>
      </c>
      <c r="H1497">
        <v>282.20999999999998</v>
      </c>
      <c r="I1497">
        <v>1665.57</v>
      </c>
      <c r="J1497" t="s">
        <v>37</v>
      </c>
      <c r="K1497" t="s">
        <v>38</v>
      </c>
      <c r="L1497">
        <v>0</v>
      </c>
      <c r="M1497">
        <v>0</v>
      </c>
      <c r="N1497">
        <v>0</v>
      </c>
      <c r="O1497">
        <v>0</v>
      </c>
      <c r="P1497">
        <v>0</v>
      </c>
      <c r="Q1497">
        <v>476</v>
      </c>
      <c r="R1497">
        <v>0.28000000000000003</v>
      </c>
      <c r="S1497" t="s">
        <v>30</v>
      </c>
      <c r="T1497" s="1">
        <v>45779</v>
      </c>
      <c r="U1497">
        <v>0</v>
      </c>
    </row>
    <row r="1498" spans="1:21" x14ac:dyDescent="0.25">
      <c r="A1498" t="s">
        <v>1545</v>
      </c>
      <c r="B1498">
        <v>27</v>
      </c>
      <c r="C1498" t="s">
        <v>21</v>
      </c>
      <c r="D1498" t="s">
        <v>35</v>
      </c>
      <c r="E1498" t="s">
        <v>49</v>
      </c>
      <c r="F1498" t="s">
        <v>49</v>
      </c>
      <c r="G1498">
        <v>5182.8100000000004</v>
      </c>
      <c r="H1498">
        <v>2799.58</v>
      </c>
      <c r="I1498">
        <v>16828.37</v>
      </c>
      <c r="J1498" t="s">
        <v>37</v>
      </c>
      <c r="K1498" t="s">
        <v>38</v>
      </c>
      <c r="L1498">
        <v>0</v>
      </c>
      <c r="M1498">
        <v>0</v>
      </c>
      <c r="N1498">
        <v>0</v>
      </c>
      <c r="O1498">
        <v>0</v>
      </c>
      <c r="P1498">
        <v>0</v>
      </c>
      <c r="Q1498">
        <v>597</v>
      </c>
      <c r="R1498">
        <v>0.27</v>
      </c>
      <c r="S1498" t="s">
        <v>30</v>
      </c>
      <c r="T1498" s="1">
        <v>45618</v>
      </c>
      <c r="U1498">
        <v>0</v>
      </c>
    </row>
    <row r="1499" spans="1:21" x14ac:dyDescent="0.25">
      <c r="A1499" t="s">
        <v>1546</v>
      </c>
      <c r="B1499">
        <v>24</v>
      </c>
      <c r="C1499" t="s">
        <v>29</v>
      </c>
      <c r="D1499" t="s">
        <v>41</v>
      </c>
      <c r="E1499" t="s">
        <v>31</v>
      </c>
      <c r="F1499" t="s">
        <v>23</v>
      </c>
      <c r="G1499">
        <v>5704.22</v>
      </c>
      <c r="H1499">
        <v>4063.97</v>
      </c>
      <c r="I1499">
        <v>47656.15</v>
      </c>
      <c r="J1499" t="s">
        <v>25</v>
      </c>
      <c r="K1499" t="s">
        <v>33</v>
      </c>
      <c r="L1499">
        <v>201573.45</v>
      </c>
      <c r="M1499">
        <v>360</v>
      </c>
      <c r="N1499">
        <v>1225.43</v>
      </c>
      <c r="O1499">
        <v>6.13</v>
      </c>
      <c r="P1499">
        <v>0.21</v>
      </c>
      <c r="Q1499">
        <v>559</v>
      </c>
      <c r="R1499">
        <v>0.7</v>
      </c>
      <c r="S1499" t="s">
        <v>39</v>
      </c>
      <c r="T1499" s="1">
        <v>44455</v>
      </c>
      <c r="U1499">
        <v>0</v>
      </c>
    </row>
    <row r="1500" spans="1:21" x14ac:dyDescent="0.25">
      <c r="A1500" t="s">
        <v>1547</v>
      </c>
      <c r="B1500">
        <v>36</v>
      </c>
      <c r="C1500" t="s">
        <v>21</v>
      </c>
      <c r="D1500" t="s">
        <v>41</v>
      </c>
      <c r="E1500" t="s">
        <v>23</v>
      </c>
      <c r="F1500" t="s">
        <v>32</v>
      </c>
      <c r="G1500">
        <v>3662.33</v>
      </c>
      <c r="H1500">
        <v>2076.8200000000002</v>
      </c>
      <c r="I1500">
        <v>6721.58</v>
      </c>
      <c r="J1500" t="s">
        <v>25</v>
      </c>
      <c r="K1500" t="s">
        <v>54</v>
      </c>
      <c r="L1500">
        <v>331418.51</v>
      </c>
      <c r="M1500">
        <v>240</v>
      </c>
      <c r="N1500">
        <v>6494.06</v>
      </c>
      <c r="O1500">
        <v>23.28</v>
      </c>
      <c r="P1500">
        <v>1.77</v>
      </c>
      <c r="Q1500">
        <v>324</v>
      </c>
      <c r="R1500">
        <v>0.15</v>
      </c>
      <c r="S1500" t="s">
        <v>39</v>
      </c>
      <c r="T1500" s="1">
        <v>45603</v>
      </c>
      <c r="U1500">
        <v>1</v>
      </c>
    </row>
    <row r="1501" spans="1:21" x14ac:dyDescent="0.25">
      <c r="A1501" t="s">
        <v>1548</v>
      </c>
      <c r="B1501">
        <v>39</v>
      </c>
      <c r="C1501" t="s">
        <v>21</v>
      </c>
      <c r="D1501" t="s">
        <v>22</v>
      </c>
      <c r="E1501" t="s">
        <v>31</v>
      </c>
      <c r="F1501" t="s">
        <v>63</v>
      </c>
      <c r="G1501">
        <v>2531.3200000000002</v>
      </c>
      <c r="H1501">
        <v>1510.58</v>
      </c>
      <c r="I1501">
        <v>28863.52</v>
      </c>
      <c r="J1501" t="s">
        <v>25</v>
      </c>
      <c r="K1501" t="s">
        <v>45</v>
      </c>
      <c r="L1501">
        <v>2748.16</v>
      </c>
      <c r="M1501">
        <v>12</v>
      </c>
      <c r="N1501">
        <v>253.51</v>
      </c>
      <c r="O1501">
        <v>19.190000000000001</v>
      </c>
      <c r="P1501">
        <v>0.1</v>
      </c>
      <c r="Q1501">
        <v>528</v>
      </c>
      <c r="R1501">
        <v>0.95</v>
      </c>
      <c r="S1501" t="s">
        <v>30</v>
      </c>
      <c r="T1501" s="1">
        <v>44840</v>
      </c>
      <c r="U1501">
        <v>0</v>
      </c>
    </row>
    <row r="1502" spans="1:21" x14ac:dyDescent="0.25">
      <c r="A1502" t="s">
        <v>1549</v>
      </c>
      <c r="B1502">
        <v>46</v>
      </c>
      <c r="C1502" t="s">
        <v>29</v>
      </c>
      <c r="D1502" t="s">
        <v>41</v>
      </c>
      <c r="E1502" t="s">
        <v>31</v>
      </c>
      <c r="F1502" t="s">
        <v>42</v>
      </c>
      <c r="G1502">
        <v>5439.47</v>
      </c>
      <c r="H1502">
        <v>4827.34</v>
      </c>
      <c r="I1502">
        <v>25710.52</v>
      </c>
      <c r="J1502" t="s">
        <v>37</v>
      </c>
      <c r="K1502" t="s">
        <v>38</v>
      </c>
      <c r="L1502">
        <v>0</v>
      </c>
      <c r="M1502">
        <v>0</v>
      </c>
      <c r="N1502">
        <v>0</v>
      </c>
      <c r="O1502">
        <v>0</v>
      </c>
      <c r="P1502">
        <v>0</v>
      </c>
      <c r="Q1502">
        <v>763</v>
      </c>
      <c r="R1502">
        <v>0.39</v>
      </c>
      <c r="S1502" t="s">
        <v>39</v>
      </c>
      <c r="T1502" s="1">
        <v>45675</v>
      </c>
      <c r="U1502">
        <v>0</v>
      </c>
    </row>
    <row r="1503" spans="1:21" x14ac:dyDescent="0.25">
      <c r="A1503" t="s">
        <v>1550</v>
      </c>
      <c r="B1503">
        <v>30</v>
      </c>
      <c r="C1503" t="s">
        <v>29</v>
      </c>
      <c r="D1503" t="s">
        <v>22</v>
      </c>
      <c r="E1503" t="s">
        <v>49</v>
      </c>
      <c r="F1503" t="s">
        <v>52</v>
      </c>
      <c r="G1503">
        <v>4659.3500000000004</v>
      </c>
      <c r="H1503">
        <v>1651.01</v>
      </c>
      <c r="I1503">
        <v>40912.78</v>
      </c>
      <c r="J1503" t="s">
        <v>37</v>
      </c>
      <c r="K1503" t="s">
        <v>38</v>
      </c>
      <c r="L1503">
        <v>0</v>
      </c>
      <c r="M1503">
        <v>0</v>
      </c>
      <c r="N1503">
        <v>0</v>
      </c>
      <c r="O1503">
        <v>0</v>
      </c>
      <c r="P1503">
        <v>0</v>
      </c>
      <c r="Q1503">
        <v>424</v>
      </c>
      <c r="R1503">
        <v>0.73</v>
      </c>
      <c r="S1503" t="s">
        <v>30</v>
      </c>
      <c r="T1503" s="1">
        <v>45270</v>
      </c>
      <c r="U1503">
        <v>0</v>
      </c>
    </row>
    <row r="1504" spans="1:21" x14ac:dyDescent="0.25">
      <c r="A1504" t="s">
        <v>1551</v>
      </c>
      <c r="B1504">
        <v>60</v>
      </c>
      <c r="C1504" t="s">
        <v>29</v>
      </c>
      <c r="D1504" t="s">
        <v>35</v>
      </c>
      <c r="E1504" t="s">
        <v>49</v>
      </c>
      <c r="F1504" t="s">
        <v>49</v>
      </c>
      <c r="G1504">
        <v>5326.9</v>
      </c>
      <c r="H1504">
        <v>4397.3</v>
      </c>
      <c r="I1504">
        <v>45482.87</v>
      </c>
      <c r="J1504" t="s">
        <v>37</v>
      </c>
      <c r="K1504" t="s">
        <v>38</v>
      </c>
      <c r="L1504">
        <v>0</v>
      </c>
      <c r="M1504">
        <v>0</v>
      </c>
      <c r="N1504">
        <v>0</v>
      </c>
      <c r="O1504">
        <v>0</v>
      </c>
      <c r="P1504">
        <v>0</v>
      </c>
      <c r="Q1504">
        <v>636</v>
      </c>
      <c r="R1504">
        <v>0.71</v>
      </c>
      <c r="S1504" t="s">
        <v>30</v>
      </c>
      <c r="T1504" s="1">
        <v>44527</v>
      </c>
      <c r="U1504">
        <v>0</v>
      </c>
    </row>
    <row r="1505" spans="1:21" x14ac:dyDescent="0.25">
      <c r="A1505" t="s">
        <v>1552</v>
      </c>
      <c r="B1505">
        <v>62</v>
      </c>
      <c r="C1505" t="s">
        <v>29</v>
      </c>
      <c r="D1505" t="s">
        <v>35</v>
      </c>
      <c r="E1505" t="s">
        <v>31</v>
      </c>
      <c r="F1505" t="s">
        <v>42</v>
      </c>
      <c r="G1505">
        <v>3665.53</v>
      </c>
      <c r="H1505">
        <v>2863.16</v>
      </c>
      <c r="I1505">
        <v>26654.52</v>
      </c>
      <c r="J1505" t="s">
        <v>37</v>
      </c>
      <c r="K1505" t="s">
        <v>38</v>
      </c>
      <c r="L1505">
        <v>0</v>
      </c>
      <c r="M1505">
        <v>0</v>
      </c>
      <c r="N1505">
        <v>0</v>
      </c>
      <c r="O1505">
        <v>0</v>
      </c>
      <c r="P1505">
        <v>0</v>
      </c>
      <c r="Q1505">
        <v>613</v>
      </c>
      <c r="R1505">
        <v>0.61</v>
      </c>
      <c r="S1505" t="s">
        <v>47</v>
      </c>
      <c r="T1505" s="1">
        <v>45120</v>
      </c>
      <c r="U1505">
        <v>0</v>
      </c>
    </row>
    <row r="1506" spans="1:21" x14ac:dyDescent="0.25">
      <c r="A1506" t="s">
        <v>1553</v>
      </c>
      <c r="B1506">
        <v>23</v>
      </c>
      <c r="C1506" t="s">
        <v>29</v>
      </c>
      <c r="D1506" t="s">
        <v>35</v>
      </c>
      <c r="E1506" t="s">
        <v>31</v>
      </c>
      <c r="F1506" t="s">
        <v>23</v>
      </c>
      <c r="G1506">
        <v>5582.63</v>
      </c>
      <c r="H1506">
        <v>2990.4</v>
      </c>
      <c r="I1506">
        <v>11595.16</v>
      </c>
      <c r="J1506" t="s">
        <v>37</v>
      </c>
      <c r="K1506" t="s">
        <v>38</v>
      </c>
      <c r="L1506">
        <v>0</v>
      </c>
      <c r="M1506">
        <v>0</v>
      </c>
      <c r="N1506">
        <v>0</v>
      </c>
      <c r="O1506">
        <v>0</v>
      </c>
      <c r="P1506">
        <v>0</v>
      </c>
      <c r="Q1506">
        <v>775</v>
      </c>
      <c r="R1506">
        <v>0.17</v>
      </c>
      <c r="S1506" t="s">
        <v>47</v>
      </c>
      <c r="T1506" s="1">
        <v>44785</v>
      </c>
      <c r="U1506">
        <v>0</v>
      </c>
    </row>
    <row r="1507" spans="1:21" x14ac:dyDescent="0.25">
      <c r="A1507" t="s">
        <v>1554</v>
      </c>
      <c r="B1507">
        <v>40</v>
      </c>
      <c r="C1507" t="s">
        <v>21</v>
      </c>
      <c r="D1507" t="s">
        <v>35</v>
      </c>
      <c r="E1507" t="s">
        <v>49</v>
      </c>
      <c r="F1507" t="s">
        <v>24</v>
      </c>
      <c r="G1507">
        <v>5303.64</v>
      </c>
      <c r="H1507">
        <v>2214.37</v>
      </c>
      <c r="I1507">
        <v>55453.8</v>
      </c>
      <c r="J1507" t="s">
        <v>37</v>
      </c>
      <c r="K1507" t="s">
        <v>38</v>
      </c>
      <c r="L1507">
        <v>0</v>
      </c>
      <c r="M1507">
        <v>0</v>
      </c>
      <c r="N1507">
        <v>0</v>
      </c>
      <c r="O1507">
        <v>0</v>
      </c>
      <c r="P1507">
        <v>0</v>
      </c>
      <c r="Q1507">
        <v>720</v>
      </c>
      <c r="R1507">
        <v>0.87</v>
      </c>
      <c r="S1507" t="s">
        <v>47</v>
      </c>
      <c r="T1507" s="1">
        <v>45179</v>
      </c>
      <c r="U1507">
        <v>0</v>
      </c>
    </row>
    <row r="1508" spans="1:21" x14ac:dyDescent="0.25">
      <c r="A1508" t="s">
        <v>1555</v>
      </c>
      <c r="B1508">
        <v>31</v>
      </c>
      <c r="C1508" t="s">
        <v>21</v>
      </c>
      <c r="D1508" t="s">
        <v>35</v>
      </c>
      <c r="E1508" t="s">
        <v>31</v>
      </c>
      <c r="F1508" t="s">
        <v>36</v>
      </c>
      <c r="G1508">
        <v>7776.07</v>
      </c>
      <c r="H1508">
        <v>6027.75</v>
      </c>
      <c r="I1508">
        <v>26729.39</v>
      </c>
      <c r="J1508" t="s">
        <v>37</v>
      </c>
      <c r="K1508" t="s">
        <v>38</v>
      </c>
      <c r="L1508">
        <v>0</v>
      </c>
      <c r="M1508">
        <v>0</v>
      </c>
      <c r="N1508">
        <v>0</v>
      </c>
      <c r="O1508">
        <v>0</v>
      </c>
      <c r="P1508">
        <v>0</v>
      </c>
      <c r="Q1508">
        <v>574</v>
      </c>
      <c r="R1508">
        <v>0.28999999999999998</v>
      </c>
      <c r="S1508" t="s">
        <v>27</v>
      </c>
      <c r="T1508" s="1">
        <v>44583</v>
      </c>
      <c r="U1508">
        <v>0</v>
      </c>
    </row>
    <row r="1509" spans="1:21" x14ac:dyDescent="0.25">
      <c r="A1509" t="s">
        <v>1556</v>
      </c>
      <c r="B1509">
        <v>49</v>
      </c>
      <c r="C1509" t="s">
        <v>29</v>
      </c>
      <c r="D1509" t="s">
        <v>35</v>
      </c>
      <c r="E1509" t="s">
        <v>31</v>
      </c>
      <c r="F1509" t="s">
        <v>44</v>
      </c>
      <c r="G1509">
        <v>4207.22</v>
      </c>
      <c r="H1509">
        <v>3316.11</v>
      </c>
      <c r="I1509">
        <v>9087.02</v>
      </c>
      <c r="J1509" t="s">
        <v>37</v>
      </c>
      <c r="K1509" t="s">
        <v>38</v>
      </c>
      <c r="L1509">
        <v>0</v>
      </c>
      <c r="M1509">
        <v>0</v>
      </c>
      <c r="N1509">
        <v>0</v>
      </c>
      <c r="O1509">
        <v>0</v>
      </c>
      <c r="P1509">
        <v>0</v>
      </c>
      <c r="Q1509">
        <v>391</v>
      </c>
      <c r="R1509">
        <v>0.18</v>
      </c>
      <c r="S1509" t="s">
        <v>27</v>
      </c>
      <c r="T1509" s="1">
        <v>44611</v>
      </c>
      <c r="U1509">
        <v>0</v>
      </c>
    </row>
    <row r="1510" spans="1:21" x14ac:dyDescent="0.25">
      <c r="A1510" t="s">
        <v>1557</v>
      </c>
      <c r="B1510">
        <v>34</v>
      </c>
      <c r="C1510" t="s">
        <v>29</v>
      </c>
      <c r="D1510" t="s">
        <v>41</v>
      </c>
      <c r="E1510" t="s">
        <v>31</v>
      </c>
      <c r="F1510" t="s">
        <v>42</v>
      </c>
      <c r="G1510">
        <v>4228.08</v>
      </c>
      <c r="H1510">
        <v>1295.92</v>
      </c>
      <c r="I1510">
        <v>5254.68</v>
      </c>
      <c r="J1510" t="s">
        <v>37</v>
      </c>
      <c r="K1510" t="s">
        <v>38</v>
      </c>
      <c r="L1510">
        <v>0</v>
      </c>
      <c r="M1510">
        <v>0</v>
      </c>
      <c r="N1510">
        <v>0</v>
      </c>
      <c r="O1510">
        <v>0</v>
      </c>
      <c r="P1510">
        <v>0</v>
      </c>
      <c r="Q1510">
        <v>784</v>
      </c>
      <c r="R1510">
        <v>0.1</v>
      </c>
      <c r="S1510" t="s">
        <v>30</v>
      </c>
      <c r="T1510" s="1">
        <v>45640</v>
      </c>
      <c r="U1510">
        <v>0</v>
      </c>
    </row>
    <row r="1511" spans="1:21" x14ac:dyDescent="0.25">
      <c r="A1511" t="s">
        <v>1558</v>
      </c>
      <c r="B1511">
        <v>33</v>
      </c>
      <c r="C1511" t="s">
        <v>21</v>
      </c>
      <c r="D1511" t="s">
        <v>30</v>
      </c>
      <c r="E1511" t="s">
        <v>31</v>
      </c>
      <c r="F1511" t="s">
        <v>32</v>
      </c>
      <c r="G1511">
        <v>2045.03</v>
      </c>
      <c r="H1511">
        <v>1450.96</v>
      </c>
      <c r="I1511">
        <v>17905.05</v>
      </c>
      <c r="J1511" t="s">
        <v>37</v>
      </c>
      <c r="K1511" t="s">
        <v>38</v>
      </c>
      <c r="L1511">
        <v>0</v>
      </c>
      <c r="M1511">
        <v>0</v>
      </c>
      <c r="N1511">
        <v>0</v>
      </c>
      <c r="O1511">
        <v>0</v>
      </c>
      <c r="P1511">
        <v>0</v>
      </c>
      <c r="Q1511">
        <v>611</v>
      </c>
      <c r="R1511">
        <v>0.73</v>
      </c>
      <c r="S1511" t="s">
        <v>47</v>
      </c>
      <c r="T1511" s="1">
        <v>44988</v>
      </c>
      <c r="U1511">
        <v>0</v>
      </c>
    </row>
    <row r="1512" spans="1:21" x14ac:dyDescent="0.25">
      <c r="A1512" t="s">
        <v>1559</v>
      </c>
      <c r="B1512">
        <v>33</v>
      </c>
      <c r="C1512" t="s">
        <v>21</v>
      </c>
      <c r="D1512" t="s">
        <v>22</v>
      </c>
      <c r="E1512" t="s">
        <v>49</v>
      </c>
      <c r="F1512" t="s">
        <v>44</v>
      </c>
      <c r="G1512">
        <v>3545</v>
      </c>
      <c r="H1512">
        <v>1257.01</v>
      </c>
      <c r="I1512">
        <v>39660.19</v>
      </c>
      <c r="J1512" t="s">
        <v>37</v>
      </c>
      <c r="K1512" t="s">
        <v>38</v>
      </c>
      <c r="L1512">
        <v>0</v>
      </c>
      <c r="M1512">
        <v>0</v>
      </c>
      <c r="N1512">
        <v>0</v>
      </c>
      <c r="O1512">
        <v>0</v>
      </c>
      <c r="P1512">
        <v>0</v>
      </c>
      <c r="Q1512">
        <v>841</v>
      </c>
      <c r="R1512">
        <v>0.93</v>
      </c>
      <c r="S1512" t="s">
        <v>27</v>
      </c>
      <c r="T1512" s="1">
        <v>45285</v>
      </c>
      <c r="U1512">
        <v>0</v>
      </c>
    </row>
    <row r="1513" spans="1:21" x14ac:dyDescent="0.25">
      <c r="A1513" t="s">
        <v>1560</v>
      </c>
      <c r="B1513">
        <v>41</v>
      </c>
      <c r="C1513" t="s">
        <v>29</v>
      </c>
      <c r="D1513" t="s">
        <v>41</v>
      </c>
      <c r="E1513" t="s">
        <v>31</v>
      </c>
      <c r="F1513" t="s">
        <v>32</v>
      </c>
      <c r="G1513">
        <v>4609.5600000000004</v>
      </c>
      <c r="H1513">
        <v>3331.08</v>
      </c>
      <c r="I1513">
        <v>45585.06</v>
      </c>
      <c r="J1513" t="s">
        <v>25</v>
      </c>
      <c r="K1513" t="s">
        <v>45</v>
      </c>
      <c r="L1513">
        <v>184432.92</v>
      </c>
      <c r="M1513">
        <v>24</v>
      </c>
      <c r="N1513">
        <v>8392.81</v>
      </c>
      <c r="O1513">
        <v>8.61</v>
      </c>
      <c r="P1513">
        <v>1.82</v>
      </c>
      <c r="Q1513">
        <v>439</v>
      </c>
      <c r="R1513">
        <v>0.82</v>
      </c>
      <c r="S1513" t="s">
        <v>72</v>
      </c>
      <c r="T1513" s="1">
        <v>45327</v>
      </c>
      <c r="U1513">
        <v>1</v>
      </c>
    </row>
    <row r="1514" spans="1:21" x14ac:dyDescent="0.25">
      <c r="A1514" t="s">
        <v>1561</v>
      </c>
      <c r="B1514">
        <v>28</v>
      </c>
      <c r="C1514" t="s">
        <v>30</v>
      </c>
      <c r="D1514" t="s">
        <v>41</v>
      </c>
      <c r="E1514" t="s">
        <v>31</v>
      </c>
      <c r="F1514" t="s">
        <v>49</v>
      </c>
      <c r="G1514">
        <v>1932.26</v>
      </c>
      <c r="H1514">
        <v>759.36</v>
      </c>
      <c r="I1514">
        <v>10811.69</v>
      </c>
      <c r="J1514" t="s">
        <v>37</v>
      </c>
      <c r="K1514" t="s">
        <v>38</v>
      </c>
      <c r="L1514">
        <v>0</v>
      </c>
      <c r="M1514">
        <v>0</v>
      </c>
      <c r="N1514">
        <v>0</v>
      </c>
      <c r="O1514">
        <v>0</v>
      </c>
      <c r="P1514">
        <v>0</v>
      </c>
      <c r="Q1514">
        <v>550</v>
      </c>
      <c r="R1514">
        <v>0.47</v>
      </c>
      <c r="S1514" t="s">
        <v>47</v>
      </c>
      <c r="T1514" s="1">
        <v>45647</v>
      </c>
      <c r="U1514">
        <v>0</v>
      </c>
    </row>
    <row r="1515" spans="1:21" x14ac:dyDescent="0.25">
      <c r="A1515" t="s">
        <v>1562</v>
      </c>
      <c r="B1515">
        <v>63</v>
      </c>
      <c r="C1515" t="s">
        <v>21</v>
      </c>
      <c r="D1515" t="s">
        <v>41</v>
      </c>
      <c r="E1515" t="s">
        <v>31</v>
      </c>
      <c r="F1515" t="s">
        <v>63</v>
      </c>
      <c r="G1515">
        <v>500</v>
      </c>
      <c r="H1515">
        <v>374.73</v>
      </c>
      <c r="I1515">
        <v>4742.6400000000003</v>
      </c>
      <c r="J1515" t="s">
        <v>37</v>
      </c>
      <c r="K1515" t="s">
        <v>38</v>
      </c>
      <c r="L1515">
        <v>0</v>
      </c>
      <c r="M1515">
        <v>0</v>
      </c>
      <c r="N1515">
        <v>0</v>
      </c>
      <c r="O1515">
        <v>0</v>
      </c>
      <c r="P1515">
        <v>0</v>
      </c>
      <c r="Q1515">
        <v>602</v>
      </c>
      <c r="R1515">
        <v>0.79</v>
      </c>
      <c r="S1515" t="s">
        <v>47</v>
      </c>
      <c r="T1515" s="1">
        <v>45232</v>
      </c>
      <c r="U1515">
        <v>0</v>
      </c>
    </row>
    <row r="1516" spans="1:21" x14ac:dyDescent="0.25">
      <c r="A1516" t="s">
        <v>1563</v>
      </c>
      <c r="B1516">
        <v>30</v>
      </c>
      <c r="C1516" t="s">
        <v>29</v>
      </c>
      <c r="D1516" t="s">
        <v>22</v>
      </c>
      <c r="E1516" t="s">
        <v>51</v>
      </c>
      <c r="F1516" t="s">
        <v>49</v>
      </c>
      <c r="G1516">
        <v>5595.54</v>
      </c>
      <c r="H1516">
        <v>1979.64</v>
      </c>
      <c r="I1516">
        <v>58311.09</v>
      </c>
      <c r="J1516" t="s">
        <v>25</v>
      </c>
      <c r="K1516" t="s">
        <v>33</v>
      </c>
      <c r="L1516">
        <v>92430.71</v>
      </c>
      <c r="M1516">
        <v>300</v>
      </c>
      <c r="N1516">
        <v>1999.79</v>
      </c>
      <c r="O1516">
        <v>25.92</v>
      </c>
      <c r="P1516">
        <v>0.36</v>
      </c>
      <c r="Q1516">
        <v>463</v>
      </c>
      <c r="R1516">
        <v>0.87</v>
      </c>
      <c r="S1516" t="s">
        <v>39</v>
      </c>
      <c r="T1516" s="1">
        <v>44792</v>
      </c>
      <c r="U1516">
        <v>0</v>
      </c>
    </row>
    <row r="1517" spans="1:21" x14ac:dyDescent="0.25">
      <c r="A1517" t="s">
        <v>1564</v>
      </c>
      <c r="B1517">
        <v>43</v>
      </c>
      <c r="C1517" t="s">
        <v>21</v>
      </c>
      <c r="D1517" t="s">
        <v>41</v>
      </c>
      <c r="E1517" t="s">
        <v>31</v>
      </c>
      <c r="F1517" t="s">
        <v>24</v>
      </c>
      <c r="G1517">
        <v>5766.14</v>
      </c>
      <c r="H1517">
        <v>3180.87</v>
      </c>
      <c r="I1517">
        <v>49394.76</v>
      </c>
      <c r="J1517" t="s">
        <v>37</v>
      </c>
      <c r="K1517" t="s">
        <v>38</v>
      </c>
      <c r="L1517">
        <v>0</v>
      </c>
      <c r="M1517">
        <v>0</v>
      </c>
      <c r="N1517">
        <v>0</v>
      </c>
      <c r="O1517">
        <v>0</v>
      </c>
      <c r="P1517">
        <v>0</v>
      </c>
      <c r="Q1517">
        <v>589</v>
      </c>
      <c r="R1517">
        <v>0.71</v>
      </c>
      <c r="S1517" t="s">
        <v>72</v>
      </c>
      <c r="T1517" s="1">
        <v>45210</v>
      </c>
      <c r="U1517">
        <v>0</v>
      </c>
    </row>
    <row r="1518" spans="1:21" x14ac:dyDescent="0.25">
      <c r="A1518" t="s">
        <v>1565</v>
      </c>
      <c r="B1518">
        <v>63</v>
      </c>
      <c r="C1518" t="s">
        <v>29</v>
      </c>
      <c r="D1518" t="s">
        <v>56</v>
      </c>
      <c r="E1518" t="s">
        <v>49</v>
      </c>
      <c r="F1518" t="s">
        <v>23</v>
      </c>
      <c r="G1518">
        <v>10928.64</v>
      </c>
      <c r="H1518">
        <v>8400.64</v>
      </c>
      <c r="I1518">
        <v>119391.42</v>
      </c>
      <c r="J1518" t="s">
        <v>25</v>
      </c>
      <c r="K1518" t="s">
        <v>54</v>
      </c>
      <c r="L1518">
        <v>5306.45</v>
      </c>
      <c r="M1518">
        <v>240</v>
      </c>
      <c r="N1518">
        <v>129.09</v>
      </c>
      <c r="O1518">
        <v>29.1</v>
      </c>
      <c r="P1518">
        <v>0.01</v>
      </c>
      <c r="Q1518">
        <v>655</v>
      </c>
      <c r="R1518">
        <v>0.91</v>
      </c>
      <c r="S1518" t="s">
        <v>30</v>
      </c>
      <c r="T1518" s="1">
        <v>44885</v>
      </c>
      <c r="U1518">
        <v>0</v>
      </c>
    </row>
    <row r="1519" spans="1:21" x14ac:dyDescent="0.25">
      <c r="A1519" t="s">
        <v>1566</v>
      </c>
      <c r="B1519">
        <v>22</v>
      </c>
      <c r="C1519" t="s">
        <v>29</v>
      </c>
      <c r="D1519" t="s">
        <v>22</v>
      </c>
      <c r="E1519" t="s">
        <v>31</v>
      </c>
      <c r="F1519" t="s">
        <v>32</v>
      </c>
      <c r="G1519">
        <v>4067.47</v>
      </c>
      <c r="H1519">
        <v>2411.5300000000002</v>
      </c>
      <c r="I1519">
        <v>40333.339999999997</v>
      </c>
      <c r="J1519" t="s">
        <v>25</v>
      </c>
      <c r="K1519" t="s">
        <v>33</v>
      </c>
      <c r="L1519">
        <v>304785.53000000003</v>
      </c>
      <c r="M1519">
        <v>120</v>
      </c>
      <c r="N1519">
        <v>5419.39</v>
      </c>
      <c r="O1519">
        <v>17.63</v>
      </c>
      <c r="P1519">
        <v>1.33</v>
      </c>
      <c r="Q1519">
        <v>712</v>
      </c>
      <c r="R1519">
        <v>0.83</v>
      </c>
      <c r="S1519" t="s">
        <v>27</v>
      </c>
      <c r="T1519" s="1">
        <v>45320</v>
      </c>
      <c r="U1519">
        <v>1</v>
      </c>
    </row>
    <row r="1520" spans="1:21" x14ac:dyDescent="0.25">
      <c r="A1520" t="s">
        <v>1567</v>
      </c>
      <c r="B1520">
        <v>33</v>
      </c>
      <c r="C1520" t="s">
        <v>29</v>
      </c>
      <c r="D1520" t="s">
        <v>22</v>
      </c>
      <c r="E1520" t="s">
        <v>31</v>
      </c>
      <c r="F1520" t="s">
        <v>23</v>
      </c>
      <c r="G1520">
        <v>6058.07</v>
      </c>
      <c r="H1520">
        <v>5175.84</v>
      </c>
      <c r="I1520">
        <v>50954.89</v>
      </c>
      <c r="J1520" t="s">
        <v>25</v>
      </c>
      <c r="K1520" t="s">
        <v>45</v>
      </c>
      <c r="L1520">
        <v>176583.73</v>
      </c>
      <c r="M1520">
        <v>120</v>
      </c>
      <c r="N1520">
        <v>4450.33</v>
      </c>
      <c r="O1520">
        <v>28.42</v>
      </c>
      <c r="P1520">
        <v>0.73</v>
      </c>
      <c r="Q1520">
        <v>775</v>
      </c>
      <c r="R1520">
        <v>0.7</v>
      </c>
      <c r="S1520" t="s">
        <v>72</v>
      </c>
      <c r="T1520" s="1">
        <v>45745</v>
      </c>
      <c r="U1520">
        <v>1</v>
      </c>
    </row>
    <row r="1521" spans="1:21" x14ac:dyDescent="0.25">
      <c r="A1521" t="s">
        <v>1568</v>
      </c>
      <c r="B1521">
        <v>63</v>
      </c>
      <c r="C1521" t="s">
        <v>29</v>
      </c>
      <c r="D1521" t="s">
        <v>22</v>
      </c>
      <c r="E1521" t="s">
        <v>51</v>
      </c>
      <c r="F1521" t="s">
        <v>36</v>
      </c>
      <c r="G1521">
        <v>9178.2999999999993</v>
      </c>
      <c r="H1521">
        <v>7992.2</v>
      </c>
      <c r="I1521">
        <v>81764.22</v>
      </c>
      <c r="J1521" t="s">
        <v>37</v>
      </c>
      <c r="K1521" t="s">
        <v>38</v>
      </c>
      <c r="L1521">
        <v>0</v>
      </c>
      <c r="M1521">
        <v>0</v>
      </c>
      <c r="N1521">
        <v>0</v>
      </c>
      <c r="O1521">
        <v>0</v>
      </c>
      <c r="P1521">
        <v>0</v>
      </c>
      <c r="Q1521">
        <v>850</v>
      </c>
      <c r="R1521">
        <v>0.74</v>
      </c>
      <c r="S1521" t="s">
        <v>30</v>
      </c>
      <c r="T1521" s="1">
        <v>44471</v>
      </c>
      <c r="U1521">
        <v>0</v>
      </c>
    </row>
    <row r="1522" spans="1:21" x14ac:dyDescent="0.25">
      <c r="A1522" t="s">
        <v>1569</v>
      </c>
      <c r="B1522">
        <v>23</v>
      </c>
      <c r="C1522" t="s">
        <v>29</v>
      </c>
      <c r="D1522" t="s">
        <v>35</v>
      </c>
      <c r="E1522" t="s">
        <v>31</v>
      </c>
      <c r="F1522" t="s">
        <v>49</v>
      </c>
      <c r="G1522">
        <v>2860.12</v>
      </c>
      <c r="H1522">
        <v>2502.13</v>
      </c>
      <c r="I1522">
        <v>29596.959999999999</v>
      </c>
      <c r="J1522" t="s">
        <v>37</v>
      </c>
      <c r="K1522" t="s">
        <v>38</v>
      </c>
      <c r="L1522">
        <v>0</v>
      </c>
      <c r="M1522">
        <v>0</v>
      </c>
      <c r="N1522">
        <v>0</v>
      </c>
      <c r="O1522">
        <v>0</v>
      </c>
      <c r="P1522">
        <v>0</v>
      </c>
      <c r="Q1522">
        <v>520</v>
      </c>
      <c r="R1522">
        <v>0.86</v>
      </c>
      <c r="S1522" t="s">
        <v>47</v>
      </c>
      <c r="T1522" s="1">
        <v>44917</v>
      </c>
      <c r="U1522">
        <v>0</v>
      </c>
    </row>
    <row r="1523" spans="1:21" x14ac:dyDescent="0.25">
      <c r="A1523" t="s">
        <v>1570</v>
      </c>
      <c r="B1523">
        <v>21</v>
      </c>
      <c r="C1523" t="s">
        <v>29</v>
      </c>
      <c r="D1523" t="s">
        <v>30</v>
      </c>
      <c r="E1523" t="s">
        <v>31</v>
      </c>
      <c r="F1523" t="s">
        <v>36</v>
      </c>
      <c r="G1523">
        <v>6413.2</v>
      </c>
      <c r="H1523">
        <v>3434.35</v>
      </c>
      <c r="I1523">
        <v>65314.21</v>
      </c>
      <c r="J1523" t="s">
        <v>25</v>
      </c>
      <c r="K1523" t="s">
        <v>54</v>
      </c>
      <c r="L1523">
        <v>320262.27</v>
      </c>
      <c r="M1523">
        <v>60</v>
      </c>
      <c r="N1523">
        <v>9931.09</v>
      </c>
      <c r="O1523">
        <v>27.79</v>
      </c>
      <c r="P1523">
        <v>1.55</v>
      </c>
      <c r="Q1523">
        <v>554</v>
      </c>
      <c r="R1523">
        <v>0.85</v>
      </c>
      <c r="S1523" t="s">
        <v>39</v>
      </c>
      <c r="T1523" s="1">
        <v>45237</v>
      </c>
      <c r="U1523">
        <v>1</v>
      </c>
    </row>
    <row r="1524" spans="1:21" x14ac:dyDescent="0.25">
      <c r="A1524" t="s">
        <v>1571</v>
      </c>
      <c r="B1524">
        <v>32</v>
      </c>
      <c r="C1524" t="s">
        <v>29</v>
      </c>
      <c r="D1524" t="s">
        <v>41</v>
      </c>
      <c r="E1524" t="s">
        <v>49</v>
      </c>
      <c r="F1524" t="s">
        <v>24</v>
      </c>
      <c r="G1524">
        <v>1107.49</v>
      </c>
      <c r="H1524">
        <v>567.67999999999995</v>
      </c>
      <c r="I1524">
        <v>10714.58</v>
      </c>
      <c r="J1524" t="s">
        <v>25</v>
      </c>
      <c r="K1524" t="s">
        <v>45</v>
      </c>
      <c r="L1524">
        <v>121669.58</v>
      </c>
      <c r="M1524">
        <v>180</v>
      </c>
      <c r="N1524">
        <v>1769.18</v>
      </c>
      <c r="O1524">
        <v>15.79</v>
      </c>
      <c r="P1524">
        <v>1.6</v>
      </c>
      <c r="Q1524">
        <v>398</v>
      </c>
      <c r="R1524">
        <v>0.81</v>
      </c>
      <c r="S1524" t="s">
        <v>72</v>
      </c>
      <c r="T1524" s="1">
        <v>44709</v>
      </c>
      <c r="U1524">
        <v>1</v>
      </c>
    </row>
    <row r="1525" spans="1:21" x14ac:dyDescent="0.25">
      <c r="A1525" t="s">
        <v>1572</v>
      </c>
      <c r="B1525">
        <v>43</v>
      </c>
      <c r="C1525" t="s">
        <v>21</v>
      </c>
      <c r="D1525" t="s">
        <v>41</v>
      </c>
      <c r="E1525" t="s">
        <v>31</v>
      </c>
      <c r="F1525" t="s">
        <v>63</v>
      </c>
      <c r="G1525">
        <v>3446.2</v>
      </c>
      <c r="H1525">
        <v>1527.47</v>
      </c>
      <c r="I1525">
        <v>29880.94</v>
      </c>
      <c r="J1525" t="s">
        <v>37</v>
      </c>
      <c r="K1525" t="s">
        <v>38</v>
      </c>
      <c r="L1525">
        <v>0</v>
      </c>
      <c r="M1525">
        <v>0</v>
      </c>
      <c r="N1525">
        <v>0</v>
      </c>
      <c r="O1525">
        <v>0</v>
      </c>
      <c r="P1525">
        <v>0</v>
      </c>
      <c r="Q1525">
        <v>442</v>
      </c>
      <c r="R1525">
        <v>0.72</v>
      </c>
      <c r="S1525" t="s">
        <v>27</v>
      </c>
      <c r="T1525" s="1">
        <v>45694</v>
      </c>
      <c r="U1525">
        <v>0</v>
      </c>
    </row>
    <row r="1526" spans="1:21" x14ac:dyDescent="0.25">
      <c r="A1526" t="s">
        <v>1573</v>
      </c>
      <c r="B1526">
        <v>56</v>
      </c>
      <c r="C1526" t="s">
        <v>21</v>
      </c>
      <c r="D1526" t="s">
        <v>35</v>
      </c>
      <c r="E1526" t="s">
        <v>51</v>
      </c>
      <c r="F1526" t="s">
        <v>32</v>
      </c>
      <c r="G1526">
        <v>5604.37</v>
      </c>
      <c r="H1526">
        <v>2824.51</v>
      </c>
      <c r="I1526">
        <v>34268.49</v>
      </c>
      <c r="J1526" t="s">
        <v>37</v>
      </c>
      <c r="K1526" t="s">
        <v>38</v>
      </c>
      <c r="L1526">
        <v>0</v>
      </c>
      <c r="M1526">
        <v>0</v>
      </c>
      <c r="N1526">
        <v>0</v>
      </c>
      <c r="O1526">
        <v>0</v>
      </c>
      <c r="P1526">
        <v>0</v>
      </c>
      <c r="Q1526">
        <v>366</v>
      </c>
      <c r="R1526">
        <v>0.51</v>
      </c>
      <c r="S1526" t="s">
        <v>72</v>
      </c>
      <c r="T1526" s="1">
        <v>44417</v>
      </c>
      <c r="U1526">
        <v>0</v>
      </c>
    </row>
    <row r="1527" spans="1:21" x14ac:dyDescent="0.25">
      <c r="A1527" t="s">
        <v>1574</v>
      </c>
      <c r="B1527">
        <v>33</v>
      </c>
      <c r="C1527" t="s">
        <v>21</v>
      </c>
      <c r="D1527" t="s">
        <v>41</v>
      </c>
      <c r="E1527" t="s">
        <v>31</v>
      </c>
      <c r="F1527" t="s">
        <v>63</v>
      </c>
      <c r="G1527">
        <v>4289.12</v>
      </c>
      <c r="H1527">
        <v>1710.19</v>
      </c>
      <c r="I1527">
        <v>49256.54</v>
      </c>
      <c r="J1527" t="s">
        <v>37</v>
      </c>
      <c r="K1527" t="s">
        <v>38</v>
      </c>
      <c r="L1527">
        <v>0</v>
      </c>
      <c r="M1527">
        <v>0</v>
      </c>
      <c r="N1527">
        <v>0</v>
      </c>
      <c r="O1527">
        <v>0</v>
      </c>
      <c r="P1527">
        <v>0</v>
      </c>
      <c r="Q1527">
        <v>505</v>
      </c>
      <c r="R1527">
        <v>0.96</v>
      </c>
      <c r="S1527" t="s">
        <v>39</v>
      </c>
      <c r="T1527" s="1">
        <v>45721</v>
      </c>
      <c r="U1527">
        <v>0</v>
      </c>
    </row>
    <row r="1528" spans="1:21" x14ac:dyDescent="0.25">
      <c r="A1528" t="s">
        <v>1575</v>
      </c>
      <c r="B1528">
        <v>46</v>
      </c>
      <c r="C1528" t="s">
        <v>21</v>
      </c>
      <c r="D1528" t="s">
        <v>41</v>
      </c>
      <c r="E1528" t="s">
        <v>31</v>
      </c>
      <c r="F1528" t="s">
        <v>36</v>
      </c>
      <c r="G1528">
        <v>3669.49</v>
      </c>
      <c r="H1528">
        <v>1653.2</v>
      </c>
      <c r="I1528">
        <v>40623.29</v>
      </c>
      <c r="J1528" t="s">
        <v>37</v>
      </c>
      <c r="K1528" t="s">
        <v>38</v>
      </c>
      <c r="L1528">
        <v>0</v>
      </c>
      <c r="M1528">
        <v>0</v>
      </c>
      <c r="N1528">
        <v>0</v>
      </c>
      <c r="O1528">
        <v>0</v>
      </c>
      <c r="P1528">
        <v>0</v>
      </c>
      <c r="Q1528">
        <v>576</v>
      </c>
      <c r="R1528">
        <v>0.92</v>
      </c>
      <c r="S1528" t="s">
        <v>47</v>
      </c>
      <c r="T1528" s="1">
        <v>44423</v>
      </c>
      <c r="U1528">
        <v>0</v>
      </c>
    </row>
    <row r="1529" spans="1:21" x14ac:dyDescent="0.25">
      <c r="A1529" t="s">
        <v>1576</v>
      </c>
      <c r="B1529">
        <v>32</v>
      </c>
      <c r="C1529" t="s">
        <v>29</v>
      </c>
      <c r="D1529" t="s">
        <v>22</v>
      </c>
      <c r="E1529" t="s">
        <v>51</v>
      </c>
      <c r="F1529" t="s">
        <v>24</v>
      </c>
      <c r="G1529">
        <v>5006.4799999999996</v>
      </c>
      <c r="H1529">
        <v>2638.1</v>
      </c>
      <c r="I1529">
        <v>34864.9</v>
      </c>
      <c r="J1529" t="s">
        <v>25</v>
      </c>
      <c r="K1529" t="s">
        <v>54</v>
      </c>
      <c r="L1529">
        <v>122878.55</v>
      </c>
      <c r="M1529">
        <v>240</v>
      </c>
      <c r="N1529">
        <v>2898.64</v>
      </c>
      <c r="O1529">
        <v>28.2</v>
      </c>
      <c r="P1529">
        <v>0.57999999999999996</v>
      </c>
      <c r="Q1529">
        <v>574</v>
      </c>
      <c r="R1529">
        <v>0.57999999999999996</v>
      </c>
      <c r="S1529" t="s">
        <v>47</v>
      </c>
      <c r="T1529" s="1">
        <v>44757</v>
      </c>
      <c r="U1529">
        <v>1</v>
      </c>
    </row>
    <row r="1530" spans="1:21" x14ac:dyDescent="0.25">
      <c r="A1530" t="s">
        <v>1577</v>
      </c>
      <c r="B1530">
        <v>25</v>
      </c>
      <c r="C1530" t="s">
        <v>29</v>
      </c>
      <c r="D1530" t="s">
        <v>35</v>
      </c>
      <c r="E1530" t="s">
        <v>31</v>
      </c>
      <c r="F1530" t="s">
        <v>23</v>
      </c>
      <c r="G1530">
        <v>3565.78</v>
      </c>
      <c r="H1530">
        <v>3205.69</v>
      </c>
      <c r="I1530">
        <v>30607.57</v>
      </c>
      <c r="J1530" t="s">
        <v>37</v>
      </c>
      <c r="K1530" t="s">
        <v>38</v>
      </c>
      <c r="L1530">
        <v>0</v>
      </c>
      <c r="M1530">
        <v>0</v>
      </c>
      <c r="N1530">
        <v>0</v>
      </c>
      <c r="O1530">
        <v>0</v>
      </c>
      <c r="P1530">
        <v>0</v>
      </c>
      <c r="Q1530">
        <v>780</v>
      </c>
      <c r="R1530">
        <v>0.72</v>
      </c>
      <c r="S1530" t="s">
        <v>72</v>
      </c>
      <c r="T1530" s="1">
        <v>45139</v>
      </c>
      <c r="U1530">
        <v>0</v>
      </c>
    </row>
    <row r="1531" spans="1:21" x14ac:dyDescent="0.25">
      <c r="A1531" t="s">
        <v>1578</v>
      </c>
      <c r="B1531">
        <v>46</v>
      </c>
      <c r="C1531" t="s">
        <v>29</v>
      </c>
      <c r="D1531" t="s">
        <v>35</v>
      </c>
      <c r="E1531" t="s">
        <v>51</v>
      </c>
      <c r="F1531" t="s">
        <v>44</v>
      </c>
      <c r="G1531">
        <v>4635.38</v>
      </c>
      <c r="H1531">
        <v>2370.17</v>
      </c>
      <c r="I1531">
        <v>20119.21</v>
      </c>
      <c r="J1531" t="s">
        <v>37</v>
      </c>
      <c r="K1531" t="s">
        <v>38</v>
      </c>
      <c r="L1531">
        <v>0</v>
      </c>
      <c r="M1531">
        <v>0</v>
      </c>
      <c r="N1531">
        <v>0</v>
      </c>
      <c r="O1531">
        <v>0</v>
      </c>
      <c r="P1531">
        <v>0</v>
      </c>
      <c r="Q1531">
        <v>513</v>
      </c>
      <c r="R1531">
        <v>0.36</v>
      </c>
      <c r="S1531" t="s">
        <v>72</v>
      </c>
      <c r="T1531" s="1">
        <v>44703</v>
      </c>
      <c r="U1531">
        <v>0</v>
      </c>
    </row>
    <row r="1532" spans="1:21" x14ac:dyDescent="0.25">
      <c r="A1532" t="s">
        <v>1579</v>
      </c>
      <c r="B1532">
        <v>47</v>
      </c>
      <c r="C1532" t="s">
        <v>21</v>
      </c>
      <c r="D1532" t="s">
        <v>41</v>
      </c>
      <c r="E1532" t="s">
        <v>51</v>
      </c>
      <c r="F1532" t="s">
        <v>44</v>
      </c>
      <c r="G1532">
        <v>3669.2</v>
      </c>
      <c r="H1532">
        <v>2278.54</v>
      </c>
      <c r="I1532">
        <v>40242.660000000003</v>
      </c>
      <c r="J1532" t="s">
        <v>37</v>
      </c>
      <c r="K1532" t="s">
        <v>38</v>
      </c>
      <c r="L1532">
        <v>0</v>
      </c>
      <c r="M1532">
        <v>0</v>
      </c>
      <c r="N1532">
        <v>0</v>
      </c>
      <c r="O1532">
        <v>0</v>
      </c>
      <c r="P1532">
        <v>0</v>
      </c>
      <c r="Q1532">
        <v>781</v>
      </c>
      <c r="R1532">
        <v>0.91</v>
      </c>
      <c r="S1532" t="s">
        <v>72</v>
      </c>
      <c r="T1532" s="1">
        <v>45745</v>
      </c>
      <c r="U1532">
        <v>0</v>
      </c>
    </row>
    <row r="1533" spans="1:21" x14ac:dyDescent="0.25">
      <c r="A1533" t="s">
        <v>1580</v>
      </c>
      <c r="B1533">
        <v>47</v>
      </c>
      <c r="C1533" t="s">
        <v>29</v>
      </c>
      <c r="D1533" t="s">
        <v>41</v>
      </c>
      <c r="E1533" t="s">
        <v>23</v>
      </c>
      <c r="F1533" t="s">
        <v>49</v>
      </c>
      <c r="G1533">
        <v>1929.02</v>
      </c>
      <c r="H1533">
        <v>1350.73</v>
      </c>
      <c r="I1533">
        <v>12053.77</v>
      </c>
      <c r="J1533" t="s">
        <v>25</v>
      </c>
      <c r="K1533" t="s">
        <v>26</v>
      </c>
      <c r="L1533">
        <v>339265.36</v>
      </c>
      <c r="M1533">
        <v>360</v>
      </c>
      <c r="N1533">
        <v>3655.09</v>
      </c>
      <c r="O1533">
        <v>12.63</v>
      </c>
      <c r="P1533">
        <v>1.89</v>
      </c>
      <c r="Q1533">
        <v>777</v>
      </c>
      <c r="R1533">
        <v>0.52</v>
      </c>
      <c r="S1533" t="s">
        <v>30</v>
      </c>
      <c r="T1533" s="1">
        <v>44839</v>
      </c>
      <c r="U1533">
        <v>1</v>
      </c>
    </row>
    <row r="1534" spans="1:21" x14ac:dyDescent="0.25">
      <c r="A1534" t="s">
        <v>1581</v>
      </c>
      <c r="B1534">
        <v>21</v>
      </c>
      <c r="C1534" t="s">
        <v>29</v>
      </c>
      <c r="D1534" t="s">
        <v>35</v>
      </c>
      <c r="E1534" t="s">
        <v>31</v>
      </c>
      <c r="F1534" t="s">
        <v>63</v>
      </c>
      <c r="G1534">
        <v>2360.61</v>
      </c>
      <c r="H1534">
        <v>1029.7</v>
      </c>
      <c r="I1534">
        <v>5564.8</v>
      </c>
      <c r="J1534" t="s">
        <v>37</v>
      </c>
      <c r="K1534" t="s">
        <v>38</v>
      </c>
      <c r="L1534">
        <v>0</v>
      </c>
      <c r="M1534">
        <v>0</v>
      </c>
      <c r="N1534">
        <v>0</v>
      </c>
      <c r="O1534">
        <v>0</v>
      </c>
      <c r="P1534">
        <v>0</v>
      </c>
      <c r="Q1534">
        <v>549</v>
      </c>
      <c r="R1534">
        <v>0.2</v>
      </c>
      <c r="S1534" t="s">
        <v>47</v>
      </c>
      <c r="T1534" s="1">
        <v>44452</v>
      </c>
      <c r="U1534">
        <v>0</v>
      </c>
    </row>
    <row r="1535" spans="1:21" x14ac:dyDescent="0.25">
      <c r="A1535" t="s">
        <v>1582</v>
      </c>
      <c r="B1535">
        <v>57</v>
      </c>
      <c r="C1535" t="s">
        <v>29</v>
      </c>
      <c r="D1535" t="s">
        <v>35</v>
      </c>
      <c r="E1535" t="s">
        <v>31</v>
      </c>
      <c r="F1535" t="s">
        <v>44</v>
      </c>
      <c r="G1535">
        <v>5376.21</v>
      </c>
      <c r="H1535">
        <v>4346.66</v>
      </c>
      <c r="I1535">
        <v>26152.32</v>
      </c>
      <c r="J1535" t="s">
        <v>25</v>
      </c>
      <c r="K1535" t="s">
        <v>33</v>
      </c>
      <c r="L1535">
        <v>132367.88</v>
      </c>
      <c r="M1535">
        <v>360</v>
      </c>
      <c r="N1535">
        <v>3200.58</v>
      </c>
      <c r="O1535">
        <v>29.01</v>
      </c>
      <c r="P1535">
        <v>0.6</v>
      </c>
      <c r="Q1535">
        <v>692</v>
      </c>
      <c r="R1535">
        <v>0.41</v>
      </c>
      <c r="S1535" t="s">
        <v>47</v>
      </c>
      <c r="T1535" s="1">
        <v>45122</v>
      </c>
      <c r="U1535">
        <v>1</v>
      </c>
    </row>
    <row r="1536" spans="1:21" x14ac:dyDescent="0.25">
      <c r="A1536" t="s">
        <v>1583</v>
      </c>
      <c r="B1536">
        <v>29</v>
      </c>
      <c r="C1536" t="s">
        <v>29</v>
      </c>
      <c r="D1536" t="s">
        <v>35</v>
      </c>
      <c r="E1536" t="s">
        <v>31</v>
      </c>
      <c r="F1536" t="s">
        <v>63</v>
      </c>
      <c r="G1536">
        <v>2581.54</v>
      </c>
      <c r="H1536">
        <v>2322.4499999999998</v>
      </c>
      <c r="I1536">
        <v>23424.85</v>
      </c>
      <c r="J1536" t="s">
        <v>37</v>
      </c>
      <c r="K1536" t="s">
        <v>38</v>
      </c>
      <c r="L1536">
        <v>0</v>
      </c>
      <c r="M1536">
        <v>0</v>
      </c>
      <c r="N1536">
        <v>0</v>
      </c>
      <c r="O1536">
        <v>0</v>
      </c>
      <c r="P1536">
        <v>0</v>
      </c>
      <c r="Q1536">
        <v>600</v>
      </c>
      <c r="R1536">
        <v>0.76</v>
      </c>
      <c r="S1536" t="s">
        <v>27</v>
      </c>
      <c r="T1536" s="1">
        <v>44629</v>
      </c>
      <c r="U1536">
        <v>0</v>
      </c>
    </row>
    <row r="1537" spans="1:21" x14ac:dyDescent="0.25">
      <c r="A1537" t="s">
        <v>1584</v>
      </c>
      <c r="B1537">
        <v>54</v>
      </c>
      <c r="C1537" t="s">
        <v>29</v>
      </c>
      <c r="D1537" t="s">
        <v>35</v>
      </c>
      <c r="E1537" t="s">
        <v>49</v>
      </c>
      <c r="F1537" t="s">
        <v>42</v>
      </c>
      <c r="G1537">
        <v>500</v>
      </c>
      <c r="H1537">
        <v>211.24</v>
      </c>
      <c r="I1537">
        <v>2160.62</v>
      </c>
      <c r="J1537" t="s">
        <v>25</v>
      </c>
      <c r="K1537" t="s">
        <v>26</v>
      </c>
      <c r="L1537">
        <v>85273.01</v>
      </c>
      <c r="M1537">
        <v>300</v>
      </c>
      <c r="N1537">
        <v>666.08</v>
      </c>
      <c r="O1537">
        <v>8.14</v>
      </c>
      <c r="P1537">
        <v>1.33</v>
      </c>
      <c r="Q1537">
        <v>689</v>
      </c>
      <c r="R1537">
        <v>0.36</v>
      </c>
      <c r="S1537" t="s">
        <v>72</v>
      </c>
      <c r="T1537" s="1">
        <v>45355</v>
      </c>
      <c r="U1537">
        <v>1</v>
      </c>
    </row>
    <row r="1538" spans="1:21" x14ac:dyDescent="0.25">
      <c r="A1538" t="s">
        <v>1585</v>
      </c>
      <c r="B1538">
        <v>61</v>
      </c>
      <c r="C1538" t="s">
        <v>21</v>
      </c>
      <c r="D1538" t="s">
        <v>35</v>
      </c>
      <c r="E1538" t="s">
        <v>31</v>
      </c>
      <c r="F1538" t="s">
        <v>42</v>
      </c>
      <c r="G1538">
        <v>5683.05</v>
      </c>
      <c r="H1538">
        <v>4896.7299999999996</v>
      </c>
      <c r="I1538">
        <v>66739.83</v>
      </c>
      <c r="J1538" t="s">
        <v>37</v>
      </c>
      <c r="K1538" t="s">
        <v>38</v>
      </c>
      <c r="L1538">
        <v>0</v>
      </c>
      <c r="M1538">
        <v>0</v>
      </c>
      <c r="N1538">
        <v>0</v>
      </c>
      <c r="O1538">
        <v>0</v>
      </c>
      <c r="P1538">
        <v>0</v>
      </c>
      <c r="Q1538">
        <v>680</v>
      </c>
      <c r="R1538">
        <v>0.98</v>
      </c>
      <c r="S1538" t="s">
        <v>47</v>
      </c>
      <c r="T1538" s="1">
        <v>44727</v>
      </c>
      <c r="U1538">
        <v>0</v>
      </c>
    </row>
    <row r="1539" spans="1:21" x14ac:dyDescent="0.25">
      <c r="A1539" t="s">
        <v>1586</v>
      </c>
      <c r="B1539">
        <v>27</v>
      </c>
      <c r="C1539" t="s">
        <v>21</v>
      </c>
      <c r="D1539" t="s">
        <v>35</v>
      </c>
      <c r="E1539" t="s">
        <v>51</v>
      </c>
      <c r="F1539" t="s">
        <v>23</v>
      </c>
      <c r="G1539">
        <v>4509.62</v>
      </c>
      <c r="H1539">
        <v>1405.45</v>
      </c>
      <c r="I1539">
        <v>49968.13</v>
      </c>
      <c r="J1539" t="s">
        <v>37</v>
      </c>
      <c r="K1539" t="s">
        <v>38</v>
      </c>
      <c r="L1539">
        <v>0</v>
      </c>
      <c r="M1539">
        <v>0</v>
      </c>
      <c r="N1539">
        <v>0</v>
      </c>
      <c r="O1539">
        <v>0</v>
      </c>
      <c r="P1539">
        <v>0</v>
      </c>
      <c r="Q1539">
        <v>387</v>
      </c>
      <c r="R1539">
        <v>0.92</v>
      </c>
      <c r="S1539" t="s">
        <v>30</v>
      </c>
      <c r="T1539" s="1">
        <v>44593</v>
      </c>
      <c r="U1539">
        <v>0</v>
      </c>
    </row>
    <row r="1540" spans="1:21" x14ac:dyDescent="0.25">
      <c r="A1540" t="s">
        <v>1587</v>
      </c>
      <c r="B1540">
        <v>67</v>
      </c>
      <c r="C1540" t="s">
        <v>21</v>
      </c>
      <c r="D1540" t="s">
        <v>56</v>
      </c>
      <c r="E1540" t="s">
        <v>49</v>
      </c>
      <c r="F1540" t="s">
        <v>23</v>
      </c>
      <c r="G1540">
        <v>6089.56</v>
      </c>
      <c r="H1540">
        <v>2015.16</v>
      </c>
      <c r="I1540">
        <v>38244.879999999997</v>
      </c>
      <c r="J1540" t="s">
        <v>37</v>
      </c>
      <c r="K1540" t="s">
        <v>38</v>
      </c>
      <c r="L1540">
        <v>0</v>
      </c>
      <c r="M1540">
        <v>0</v>
      </c>
      <c r="N1540">
        <v>0</v>
      </c>
      <c r="O1540">
        <v>0</v>
      </c>
      <c r="P1540">
        <v>0</v>
      </c>
      <c r="Q1540">
        <v>836</v>
      </c>
      <c r="R1540">
        <v>0.52</v>
      </c>
      <c r="S1540" t="s">
        <v>39</v>
      </c>
      <c r="T1540" s="1">
        <v>44421</v>
      </c>
      <c r="U1540">
        <v>0</v>
      </c>
    </row>
    <row r="1541" spans="1:21" x14ac:dyDescent="0.25">
      <c r="A1541" t="s">
        <v>1588</v>
      </c>
      <c r="B1541">
        <v>49</v>
      </c>
      <c r="C1541" t="s">
        <v>21</v>
      </c>
      <c r="D1541" t="s">
        <v>35</v>
      </c>
      <c r="E1541" t="s">
        <v>31</v>
      </c>
      <c r="F1541" t="s">
        <v>23</v>
      </c>
      <c r="G1541">
        <v>3279.68</v>
      </c>
      <c r="H1541">
        <v>2312.44</v>
      </c>
      <c r="I1541">
        <v>20933.36</v>
      </c>
      <c r="J1541" t="s">
        <v>25</v>
      </c>
      <c r="K1541" t="s">
        <v>26</v>
      </c>
      <c r="L1541">
        <v>254314.66</v>
      </c>
      <c r="M1541">
        <v>120</v>
      </c>
      <c r="N1541">
        <v>5915.07</v>
      </c>
      <c r="O1541">
        <v>25.72</v>
      </c>
      <c r="P1541">
        <v>1.8</v>
      </c>
      <c r="Q1541">
        <v>587</v>
      </c>
      <c r="R1541">
        <v>0.53</v>
      </c>
      <c r="S1541" t="s">
        <v>30</v>
      </c>
      <c r="T1541" s="1">
        <v>44612</v>
      </c>
      <c r="U1541">
        <v>1</v>
      </c>
    </row>
    <row r="1542" spans="1:21" x14ac:dyDescent="0.25">
      <c r="A1542" t="s">
        <v>1589</v>
      </c>
      <c r="B1542">
        <v>62</v>
      </c>
      <c r="C1542" t="s">
        <v>21</v>
      </c>
      <c r="D1542" t="s">
        <v>41</v>
      </c>
      <c r="E1542" t="s">
        <v>51</v>
      </c>
      <c r="F1542" t="s">
        <v>23</v>
      </c>
      <c r="G1542">
        <v>6906.72</v>
      </c>
      <c r="H1542">
        <v>5627.17</v>
      </c>
      <c r="I1542">
        <v>32366.18</v>
      </c>
      <c r="J1542" t="s">
        <v>37</v>
      </c>
      <c r="K1542" t="s">
        <v>38</v>
      </c>
      <c r="L1542">
        <v>0</v>
      </c>
      <c r="M1542">
        <v>0</v>
      </c>
      <c r="N1542">
        <v>0</v>
      </c>
      <c r="O1542">
        <v>0</v>
      </c>
      <c r="P1542">
        <v>0</v>
      </c>
      <c r="Q1542">
        <v>403</v>
      </c>
      <c r="R1542">
        <v>0.39</v>
      </c>
      <c r="S1542" t="s">
        <v>72</v>
      </c>
      <c r="T1542" s="1">
        <v>45017</v>
      </c>
      <c r="U1542">
        <v>0</v>
      </c>
    </row>
    <row r="1543" spans="1:21" x14ac:dyDescent="0.25">
      <c r="A1543" t="s">
        <v>1590</v>
      </c>
      <c r="B1543">
        <v>42</v>
      </c>
      <c r="C1543" t="s">
        <v>29</v>
      </c>
      <c r="D1543" t="s">
        <v>41</v>
      </c>
      <c r="E1543" t="s">
        <v>31</v>
      </c>
      <c r="F1543" t="s">
        <v>32</v>
      </c>
      <c r="G1543">
        <v>6216.67</v>
      </c>
      <c r="H1543">
        <v>3684.59</v>
      </c>
      <c r="I1543">
        <v>13640.21</v>
      </c>
      <c r="J1543" t="s">
        <v>37</v>
      </c>
      <c r="K1543" t="s">
        <v>38</v>
      </c>
      <c r="L1543">
        <v>0</v>
      </c>
      <c r="M1543">
        <v>0</v>
      </c>
      <c r="N1543">
        <v>0</v>
      </c>
      <c r="O1543">
        <v>0</v>
      </c>
      <c r="P1543">
        <v>0</v>
      </c>
      <c r="Q1543">
        <v>502</v>
      </c>
      <c r="R1543">
        <v>0.18</v>
      </c>
      <c r="S1543" t="s">
        <v>27</v>
      </c>
      <c r="T1543" s="1">
        <v>45098</v>
      </c>
      <c r="U1543">
        <v>0</v>
      </c>
    </row>
    <row r="1544" spans="1:21" x14ac:dyDescent="0.25">
      <c r="A1544" t="s">
        <v>1591</v>
      </c>
      <c r="B1544">
        <v>57</v>
      </c>
      <c r="C1544" t="s">
        <v>21</v>
      </c>
      <c r="D1544" t="s">
        <v>35</v>
      </c>
      <c r="E1544" t="s">
        <v>31</v>
      </c>
      <c r="F1544" t="s">
        <v>44</v>
      </c>
      <c r="G1544">
        <v>1943.9</v>
      </c>
      <c r="H1544">
        <v>587.12</v>
      </c>
      <c r="I1544">
        <v>22821.31</v>
      </c>
      <c r="J1544" t="s">
        <v>37</v>
      </c>
      <c r="K1544" t="s">
        <v>38</v>
      </c>
      <c r="L1544">
        <v>0</v>
      </c>
      <c r="M1544">
        <v>0</v>
      </c>
      <c r="N1544">
        <v>0</v>
      </c>
      <c r="O1544">
        <v>0</v>
      </c>
      <c r="P1544">
        <v>0</v>
      </c>
      <c r="Q1544">
        <v>530</v>
      </c>
      <c r="R1544">
        <v>0.98</v>
      </c>
      <c r="S1544" t="s">
        <v>72</v>
      </c>
      <c r="T1544" s="1">
        <v>45389</v>
      </c>
      <c r="U1544">
        <v>0</v>
      </c>
    </row>
    <row r="1545" spans="1:21" x14ac:dyDescent="0.25">
      <c r="A1545" t="s">
        <v>1592</v>
      </c>
      <c r="B1545">
        <v>65</v>
      </c>
      <c r="C1545" t="s">
        <v>29</v>
      </c>
      <c r="D1545" t="s">
        <v>35</v>
      </c>
      <c r="E1545" t="s">
        <v>31</v>
      </c>
      <c r="F1545" t="s">
        <v>44</v>
      </c>
      <c r="G1545">
        <v>4682.87</v>
      </c>
      <c r="H1545">
        <v>3731.77</v>
      </c>
      <c r="I1545">
        <v>32777.39</v>
      </c>
      <c r="J1545" t="s">
        <v>37</v>
      </c>
      <c r="K1545" t="s">
        <v>38</v>
      </c>
      <c r="L1545">
        <v>0</v>
      </c>
      <c r="M1545">
        <v>0</v>
      </c>
      <c r="N1545">
        <v>0</v>
      </c>
      <c r="O1545">
        <v>0</v>
      </c>
      <c r="P1545">
        <v>0</v>
      </c>
      <c r="Q1545">
        <v>537</v>
      </c>
      <c r="R1545">
        <v>0.57999999999999996</v>
      </c>
      <c r="S1545" t="s">
        <v>39</v>
      </c>
      <c r="T1545" s="1">
        <v>45846</v>
      </c>
      <c r="U1545">
        <v>0</v>
      </c>
    </row>
    <row r="1546" spans="1:21" x14ac:dyDescent="0.25">
      <c r="A1546" t="s">
        <v>1593</v>
      </c>
      <c r="B1546">
        <v>26</v>
      </c>
      <c r="C1546" t="s">
        <v>21</v>
      </c>
      <c r="D1546" t="s">
        <v>22</v>
      </c>
      <c r="E1546" t="s">
        <v>31</v>
      </c>
      <c r="F1546" t="s">
        <v>44</v>
      </c>
      <c r="G1546">
        <v>3614.17</v>
      </c>
      <c r="H1546">
        <v>3188.74</v>
      </c>
      <c r="I1546">
        <v>27914.400000000001</v>
      </c>
      <c r="J1546" t="s">
        <v>25</v>
      </c>
      <c r="K1546" t="s">
        <v>33</v>
      </c>
      <c r="L1546">
        <v>157523.46</v>
      </c>
      <c r="M1546">
        <v>36</v>
      </c>
      <c r="N1546">
        <v>5100.6099999999997</v>
      </c>
      <c r="O1546">
        <v>10.24</v>
      </c>
      <c r="P1546">
        <v>1.41</v>
      </c>
      <c r="Q1546">
        <v>791</v>
      </c>
      <c r="R1546">
        <v>0.64</v>
      </c>
      <c r="S1546" t="s">
        <v>72</v>
      </c>
      <c r="T1546" s="1">
        <v>45826</v>
      </c>
      <c r="U1546">
        <v>1</v>
      </c>
    </row>
    <row r="1547" spans="1:21" x14ac:dyDescent="0.25">
      <c r="A1547" t="s">
        <v>1594</v>
      </c>
      <c r="B1547">
        <v>55</v>
      </c>
      <c r="C1547" t="s">
        <v>29</v>
      </c>
      <c r="D1547" t="s">
        <v>41</v>
      </c>
      <c r="E1547" t="s">
        <v>31</v>
      </c>
      <c r="F1547" t="s">
        <v>24</v>
      </c>
      <c r="G1547">
        <v>5827.37</v>
      </c>
      <c r="H1547">
        <v>3710.64</v>
      </c>
      <c r="I1547">
        <v>22752.89</v>
      </c>
      <c r="J1547" t="s">
        <v>37</v>
      </c>
      <c r="K1547" t="s">
        <v>38</v>
      </c>
      <c r="L1547">
        <v>0</v>
      </c>
      <c r="M1547">
        <v>0</v>
      </c>
      <c r="N1547">
        <v>0</v>
      </c>
      <c r="O1547">
        <v>0</v>
      </c>
      <c r="P1547">
        <v>0</v>
      </c>
      <c r="Q1547">
        <v>825</v>
      </c>
      <c r="R1547">
        <v>0.33</v>
      </c>
      <c r="S1547" t="s">
        <v>39</v>
      </c>
      <c r="T1547" s="1">
        <v>44411</v>
      </c>
      <c r="U1547">
        <v>0</v>
      </c>
    </row>
    <row r="1548" spans="1:21" x14ac:dyDescent="0.25">
      <c r="A1548" t="s">
        <v>1595</v>
      </c>
      <c r="B1548">
        <v>62</v>
      </c>
      <c r="C1548" t="s">
        <v>21</v>
      </c>
      <c r="D1548" t="s">
        <v>41</v>
      </c>
      <c r="E1548" t="s">
        <v>31</v>
      </c>
      <c r="F1548" t="s">
        <v>63</v>
      </c>
      <c r="G1548">
        <v>1581.46</v>
      </c>
      <c r="H1548">
        <v>1290.99</v>
      </c>
      <c r="I1548">
        <v>8047.37</v>
      </c>
      <c r="J1548" t="s">
        <v>25</v>
      </c>
      <c r="K1548" t="s">
        <v>26</v>
      </c>
      <c r="L1548">
        <v>21474.86</v>
      </c>
      <c r="M1548">
        <v>360</v>
      </c>
      <c r="N1548">
        <v>462.82</v>
      </c>
      <c r="O1548">
        <v>25.85</v>
      </c>
      <c r="P1548">
        <v>0.28999999999999998</v>
      </c>
      <c r="Q1548">
        <v>734</v>
      </c>
      <c r="R1548">
        <v>0.42</v>
      </c>
      <c r="S1548" t="s">
        <v>39</v>
      </c>
      <c r="T1548" s="1">
        <v>45148</v>
      </c>
      <c r="U1548">
        <v>0</v>
      </c>
    </row>
    <row r="1549" spans="1:21" x14ac:dyDescent="0.25">
      <c r="A1549" t="s">
        <v>1596</v>
      </c>
      <c r="B1549">
        <v>22</v>
      </c>
      <c r="C1549" t="s">
        <v>21</v>
      </c>
      <c r="D1549" t="s">
        <v>41</v>
      </c>
      <c r="E1549" t="s">
        <v>31</v>
      </c>
      <c r="F1549" t="s">
        <v>23</v>
      </c>
      <c r="G1549">
        <v>5039.53</v>
      </c>
      <c r="H1549">
        <v>3101.91</v>
      </c>
      <c r="I1549">
        <v>42447.8</v>
      </c>
      <c r="J1549" t="s">
        <v>25</v>
      </c>
      <c r="K1549" t="s">
        <v>26</v>
      </c>
      <c r="L1549">
        <v>287805.49</v>
      </c>
      <c r="M1549">
        <v>240</v>
      </c>
      <c r="N1549">
        <v>4537.2</v>
      </c>
      <c r="O1549">
        <v>18.43</v>
      </c>
      <c r="P1549">
        <v>0.9</v>
      </c>
      <c r="Q1549">
        <v>467</v>
      </c>
      <c r="R1549">
        <v>0.7</v>
      </c>
      <c r="S1549" t="s">
        <v>47</v>
      </c>
      <c r="T1549" s="1">
        <v>44745</v>
      </c>
      <c r="U1549">
        <v>1</v>
      </c>
    </row>
    <row r="1550" spans="1:21" x14ac:dyDescent="0.25">
      <c r="A1550" t="s">
        <v>1597</v>
      </c>
      <c r="B1550">
        <v>18</v>
      </c>
      <c r="C1550" t="s">
        <v>21</v>
      </c>
      <c r="D1550" t="s">
        <v>35</v>
      </c>
      <c r="E1550" t="s">
        <v>31</v>
      </c>
      <c r="F1550" t="s">
        <v>52</v>
      </c>
      <c r="G1550">
        <v>5178.72</v>
      </c>
      <c r="H1550">
        <v>2376.81</v>
      </c>
      <c r="I1550">
        <v>13958.21</v>
      </c>
      <c r="J1550" t="s">
        <v>37</v>
      </c>
      <c r="K1550" t="s">
        <v>38</v>
      </c>
      <c r="L1550">
        <v>0</v>
      </c>
      <c r="M1550">
        <v>0</v>
      </c>
      <c r="N1550">
        <v>0</v>
      </c>
      <c r="O1550">
        <v>0</v>
      </c>
      <c r="P1550">
        <v>0</v>
      </c>
      <c r="Q1550">
        <v>455</v>
      </c>
      <c r="R1550">
        <v>0.22</v>
      </c>
      <c r="S1550" t="s">
        <v>47</v>
      </c>
      <c r="T1550" s="1">
        <v>45581</v>
      </c>
      <c r="U1550">
        <v>0</v>
      </c>
    </row>
    <row r="1551" spans="1:21" x14ac:dyDescent="0.25">
      <c r="A1551" t="s">
        <v>1598</v>
      </c>
      <c r="B1551">
        <v>68</v>
      </c>
      <c r="C1551" t="s">
        <v>21</v>
      </c>
      <c r="D1551" t="s">
        <v>35</v>
      </c>
      <c r="E1551" t="s">
        <v>23</v>
      </c>
      <c r="F1551" t="s">
        <v>49</v>
      </c>
      <c r="G1551">
        <v>2034.84</v>
      </c>
      <c r="H1551">
        <v>1459.03</v>
      </c>
      <c r="I1551">
        <v>20155.439999999999</v>
      </c>
      <c r="J1551" t="s">
        <v>25</v>
      </c>
      <c r="K1551" t="s">
        <v>26</v>
      </c>
      <c r="L1551">
        <v>260958.33</v>
      </c>
      <c r="M1551">
        <v>240</v>
      </c>
      <c r="N1551">
        <v>1985.78</v>
      </c>
      <c r="O1551">
        <v>6.76</v>
      </c>
      <c r="P1551">
        <v>0.98</v>
      </c>
      <c r="Q1551">
        <v>368</v>
      </c>
      <c r="R1551">
        <v>0.83</v>
      </c>
      <c r="S1551" t="s">
        <v>47</v>
      </c>
      <c r="T1551" s="1">
        <v>44963</v>
      </c>
      <c r="U1551">
        <v>1</v>
      </c>
    </row>
    <row r="1552" spans="1:21" x14ac:dyDescent="0.25">
      <c r="A1552" t="s">
        <v>1599</v>
      </c>
      <c r="B1552">
        <v>63</v>
      </c>
      <c r="C1552" t="s">
        <v>21</v>
      </c>
      <c r="D1552" t="s">
        <v>41</v>
      </c>
      <c r="E1552" t="s">
        <v>31</v>
      </c>
      <c r="F1552" t="s">
        <v>23</v>
      </c>
      <c r="G1552">
        <v>3814.8</v>
      </c>
      <c r="H1552">
        <v>1413.19</v>
      </c>
      <c r="I1552">
        <v>37701.300000000003</v>
      </c>
      <c r="J1552" t="s">
        <v>37</v>
      </c>
      <c r="K1552" t="s">
        <v>38</v>
      </c>
      <c r="L1552">
        <v>0</v>
      </c>
      <c r="M1552">
        <v>0</v>
      </c>
      <c r="N1552">
        <v>0</v>
      </c>
      <c r="O1552">
        <v>0</v>
      </c>
      <c r="P1552">
        <v>0</v>
      </c>
      <c r="Q1552">
        <v>565</v>
      </c>
      <c r="R1552">
        <v>0.82</v>
      </c>
      <c r="S1552" t="s">
        <v>72</v>
      </c>
      <c r="T1552" s="1">
        <v>45753</v>
      </c>
      <c r="U1552">
        <v>0</v>
      </c>
    </row>
    <row r="1553" spans="1:21" x14ac:dyDescent="0.25">
      <c r="A1553" t="s">
        <v>1600</v>
      </c>
      <c r="B1553">
        <v>59</v>
      </c>
      <c r="C1553" t="s">
        <v>30</v>
      </c>
      <c r="D1553" t="s">
        <v>41</v>
      </c>
      <c r="E1553" t="s">
        <v>31</v>
      </c>
      <c r="F1553" t="s">
        <v>36</v>
      </c>
      <c r="G1553">
        <v>2865.94</v>
      </c>
      <c r="H1553">
        <v>1379.88</v>
      </c>
      <c r="I1553">
        <v>30769.25</v>
      </c>
      <c r="J1553" t="s">
        <v>37</v>
      </c>
      <c r="K1553" t="s">
        <v>38</v>
      </c>
      <c r="L1553">
        <v>0</v>
      </c>
      <c r="M1553">
        <v>0</v>
      </c>
      <c r="N1553">
        <v>0</v>
      </c>
      <c r="O1553">
        <v>0</v>
      </c>
      <c r="P1553">
        <v>0</v>
      </c>
      <c r="Q1553">
        <v>376</v>
      </c>
      <c r="R1553">
        <v>0.89</v>
      </c>
      <c r="S1553" t="s">
        <v>47</v>
      </c>
      <c r="T1553" s="1">
        <v>45288</v>
      </c>
      <c r="U1553">
        <v>0</v>
      </c>
    </row>
    <row r="1554" spans="1:21" x14ac:dyDescent="0.25">
      <c r="A1554" t="s">
        <v>1601</v>
      </c>
      <c r="B1554">
        <v>54</v>
      </c>
      <c r="C1554" t="s">
        <v>21</v>
      </c>
      <c r="D1554" t="s">
        <v>41</v>
      </c>
      <c r="E1554" t="s">
        <v>31</v>
      </c>
      <c r="F1554" t="s">
        <v>24</v>
      </c>
      <c r="G1554">
        <v>2680.12</v>
      </c>
      <c r="H1554">
        <v>1007.61</v>
      </c>
      <c r="I1554">
        <v>20418.72</v>
      </c>
      <c r="J1554" t="s">
        <v>37</v>
      </c>
      <c r="K1554" t="s">
        <v>38</v>
      </c>
      <c r="L1554">
        <v>0</v>
      </c>
      <c r="M1554">
        <v>0</v>
      </c>
      <c r="N1554">
        <v>0</v>
      </c>
      <c r="O1554">
        <v>0</v>
      </c>
      <c r="P1554">
        <v>0</v>
      </c>
      <c r="Q1554">
        <v>352</v>
      </c>
      <c r="R1554">
        <v>0.63</v>
      </c>
      <c r="S1554" t="s">
        <v>47</v>
      </c>
      <c r="T1554" s="1">
        <v>45232</v>
      </c>
      <c r="U1554">
        <v>0</v>
      </c>
    </row>
    <row r="1555" spans="1:21" x14ac:dyDescent="0.25">
      <c r="A1555" t="s">
        <v>1602</v>
      </c>
      <c r="B1555">
        <v>19</v>
      </c>
      <c r="C1555" t="s">
        <v>29</v>
      </c>
      <c r="D1555" t="s">
        <v>35</v>
      </c>
      <c r="E1555" t="s">
        <v>31</v>
      </c>
      <c r="F1555" t="s">
        <v>52</v>
      </c>
      <c r="G1555">
        <v>1536.86</v>
      </c>
      <c r="H1555">
        <v>512.72</v>
      </c>
      <c r="I1555">
        <v>17291.34</v>
      </c>
      <c r="J1555" t="s">
        <v>37</v>
      </c>
      <c r="K1555" t="s">
        <v>38</v>
      </c>
      <c r="L1555">
        <v>0</v>
      </c>
      <c r="M1555">
        <v>0</v>
      </c>
      <c r="N1555">
        <v>0</v>
      </c>
      <c r="O1555">
        <v>0</v>
      </c>
      <c r="P1555">
        <v>0</v>
      </c>
      <c r="Q1555">
        <v>505</v>
      </c>
      <c r="R1555">
        <v>0.94</v>
      </c>
      <c r="S1555" t="s">
        <v>47</v>
      </c>
      <c r="T1555" s="1">
        <v>44510</v>
      </c>
      <c r="U1555">
        <v>0</v>
      </c>
    </row>
    <row r="1556" spans="1:21" x14ac:dyDescent="0.25">
      <c r="A1556" t="s">
        <v>1603</v>
      </c>
      <c r="B1556">
        <v>35</v>
      </c>
      <c r="C1556" t="s">
        <v>29</v>
      </c>
      <c r="D1556" t="s">
        <v>22</v>
      </c>
      <c r="E1556" t="s">
        <v>23</v>
      </c>
      <c r="F1556" t="s">
        <v>36</v>
      </c>
      <c r="G1556">
        <v>4935.63</v>
      </c>
      <c r="H1556">
        <v>2489.29</v>
      </c>
      <c r="I1556">
        <v>56899.44</v>
      </c>
      <c r="J1556" t="s">
        <v>37</v>
      </c>
      <c r="K1556" t="s">
        <v>38</v>
      </c>
      <c r="L1556">
        <v>0</v>
      </c>
      <c r="M1556">
        <v>0</v>
      </c>
      <c r="N1556">
        <v>0</v>
      </c>
      <c r="O1556">
        <v>0</v>
      </c>
      <c r="P1556">
        <v>0</v>
      </c>
      <c r="Q1556">
        <v>546</v>
      </c>
      <c r="R1556">
        <v>0.96</v>
      </c>
      <c r="S1556" t="s">
        <v>27</v>
      </c>
      <c r="T1556" s="1">
        <v>44703</v>
      </c>
      <c r="U1556">
        <v>0</v>
      </c>
    </row>
    <row r="1557" spans="1:21" x14ac:dyDescent="0.25">
      <c r="A1557" t="s">
        <v>1604</v>
      </c>
      <c r="B1557">
        <v>51</v>
      </c>
      <c r="C1557" t="s">
        <v>21</v>
      </c>
      <c r="D1557" t="s">
        <v>22</v>
      </c>
      <c r="E1557" t="s">
        <v>31</v>
      </c>
      <c r="F1557" t="s">
        <v>42</v>
      </c>
      <c r="G1557">
        <v>3940.81</v>
      </c>
      <c r="H1557">
        <v>2524.1</v>
      </c>
      <c r="I1557">
        <v>27994.34</v>
      </c>
      <c r="J1557" t="s">
        <v>25</v>
      </c>
      <c r="K1557" t="s">
        <v>54</v>
      </c>
      <c r="L1557">
        <v>438299.32</v>
      </c>
      <c r="M1557">
        <v>300</v>
      </c>
      <c r="N1557">
        <v>6577.35</v>
      </c>
      <c r="O1557">
        <v>17.79</v>
      </c>
      <c r="P1557">
        <v>1.67</v>
      </c>
      <c r="Q1557">
        <v>540</v>
      </c>
      <c r="R1557">
        <v>0.59</v>
      </c>
      <c r="S1557" t="s">
        <v>30</v>
      </c>
      <c r="T1557" s="1">
        <v>45231</v>
      </c>
      <c r="U1557">
        <v>1</v>
      </c>
    </row>
    <row r="1558" spans="1:21" x14ac:dyDescent="0.25">
      <c r="A1558" t="s">
        <v>1605</v>
      </c>
      <c r="B1558">
        <v>25</v>
      </c>
      <c r="C1558" t="s">
        <v>21</v>
      </c>
      <c r="D1558" t="s">
        <v>22</v>
      </c>
      <c r="E1558" t="s">
        <v>23</v>
      </c>
      <c r="F1558" t="s">
        <v>42</v>
      </c>
      <c r="G1558">
        <v>5119.12</v>
      </c>
      <c r="H1558">
        <v>2468.9899999999998</v>
      </c>
      <c r="I1558">
        <v>56464.66</v>
      </c>
      <c r="J1558" t="s">
        <v>37</v>
      </c>
      <c r="K1558" t="s">
        <v>38</v>
      </c>
      <c r="L1558">
        <v>0</v>
      </c>
      <c r="M1558">
        <v>0</v>
      </c>
      <c r="N1558">
        <v>0</v>
      </c>
      <c r="O1558">
        <v>0</v>
      </c>
      <c r="P1558">
        <v>0</v>
      </c>
      <c r="Q1558">
        <v>817</v>
      </c>
      <c r="R1558">
        <v>0.92</v>
      </c>
      <c r="S1558" t="s">
        <v>72</v>
      </c>
      <c r="T1558" s="1">
        <v>45240</v>
      </c>
      <c r="U1558">
        <v>0</v>
      </c>
    </row>
    <row r="1559" spans="1:21" x14ac:dyDescent="0.25">
      <c r="A1559" t="s">
        <v>1606</v>
      </c>
      <c r="B1559">
        <v>25</v>
      </c>
      <c r="C1559" t="s">
        <v>29</v>
      </c>
      <c r="D1559" t="s">
        <v>22</v>
      </c>
      <c r="E1559" t="s">
        <v>31</v>
      </c>
      <c r="F1559" t="s">
        <v>36</v>
      </c>
      <c r="G1559">
        <v>3853.64</v>
      </c>
      <c r="H1559">
        <v>1910.35</v>
      </c>
      <c r="I1559">
        <v>37395.730000000003</v>
      </c>
      <c r="J1559" t="s">
        <v>37</v>
      </c>
      <c r="K1559" t="s">
        <v>38</v>
      </c>
      <c r="L1559">
        <v>0</v>
      </c>
      <c r="M1559">
        <v>0</v>
      </c>
      <c r="N1559">
        <v>0</v>
      </c>
      <c r="O1559">
        <v>0</v>
      </c>
      <c r="P1559">
        <v>0</v>
      </c>
      <c r="Q1559">
        <v>395</v>
      </c>
      <c r="R1559">
        <v>0.81</v>
      </c>
      <c r="S1559" t="s">
        <v>27</v>
      </c>
      <c r="T1559" s="1">
        <v>44583</v>
      </c>
      <c r="U1559">
        <v>0</v>
      </c>
    </row>
    <row r="1560" spans="1:21" x14ac:dyDescent="0.25">
      <c r="A1560" t="s">
        <v>1607</v>
      </c>
      <c r="B1560">
        <v>46</v>
      </c>
      <c r="C1560" t="s">
        <v>29</v>
      </c>
      <c r="D1560" t="s">
        <v>30</v>
      </c>
      <c r="E1560" t="s">
        <v>31</v>
      </c>
      <c r="F1560" t="s">
        <v>23</v>
      </c>
      <c r="G1560">
        <v>3265.23</v>
      </c>
      <c r="H1560">
        <v>1209.8399999999999</v>
      </c>
      <c r="I1560">
        <v>15604.66</v>
      </c>
      <c r="J1560" t="s">
        <v>25</v>
      </c>
      <c r="K1560" t="s">
        <v>26</v>
      </c>
      <c r="L1560">
        <v>64831.27</v>
      </c>
      <c r="M1560">
        <v>36</v>
      </c>
      <c r="N1560">
        <v>2394.52</v>
      </c>
      <c r="O1560">
        <v>19.55</v>
      </c>
      <c r="P1560">
        <v>0.73</v>
      </c>
      <c r="Q1560">
        <v>849</v>
      </c>
      <c r="R1560">
        <v>0.4</v>
      </c>
      <c r="S1560" t="s">
        <v>30</v>
      </c>
      <c r="T1560" s="1">
        <v>45618</v>
      </c>
      <c r="U1560">
        <v>1</v>
      </c>
    </row>
    <row r="1561" spans="1:21" x14ac:dyDescent="0.25">
      <c r="A1561" t="s">
        <v>1608</v>
      </c>
      <c r="B1561">
        <v>36</v>
      </c>
      <c r="C1561" t="s">
        <v>21</v>
      </c>
      <c r="D1561" t="s">
        <v>41</v>
      </c>
      <c r="E1561" t="s">
        <v>49</v>
      </c>
      <c r="F1561" t="s">
        <v>32</v>
      </c>
      <c r="G1561">
        <v>7417.03</v>
      </c>
      <c r="H1561">
        <v>3667.47</v>
      </c>
      <c r="I1561">
        <v>52239.61</v>
      </c>
      <c r="J1561" t="s">
        <v>37</v>
      </c>
      <c r="K1561" t="s">
        <v>38</v>
      </c>
      <c r="L1561">
        <v>0</v>
      </c>
      <c r="M1561">
        <v>0</v>
      </c>
      <c r="N1561">
        <v>0</v>
      </c>
      <c r="O1561">
        <v>0</v>
      </c>
      <c r="P1561">
        <v>0</v>
      </c>
      <c r="Q1561">
        <v>315</v>
      </c>
      <c r="R1561">
        <v>0.59</v>
      </c>
      <c r="S1561" t="s">
        <v>39</v>
      </c>
      <c r="T1561" s="1">
        <v>44453</v>
      </c>
      <c r="U1561">
        <v>0</v>
      </c>
    </row>
    <row r="1562" spans="1:21" x14ac:dyDescent="0.25">
      <c r="A1562" t="s">
        <v>1609</v>
      </c>
      <c r="B1562">
        <v>48</v>
      </c>
      <c r="C1562" t="s">
        <v>21</v>
      </c>
      <c r="D1562" t="s">
        <v>35</v>
      </c>
      <c r="E1562" t="s">
        <v>31</v>
      </c>
      <c r="F1562" t="s">
        <v>63</v>
      </c>
      <c r="G1562">
        <v>1965.63</v>
      </c>
      <c r="H1562">
        <v>1165.6199999999999</v>
      </c>
      <c r="I1562">
        <v>10481.959999999999</v>
      </c>
      <c r="J1562" t="s">
        <v>25</v>
      </c>
      <c r="K1562" t="s">
        <v>26</v>
      </c>
      <c r="L1562">
        <v>121609.31</v>
      </c>
      <c r="M1562">
        <v>180</v>
      </c>
      <c r="N1562">
        <v>1764.93</v>
      </c>
      <c r="O1562">
        <v>15.75</v>
      </c>
      <c r="P1562">
        <v>0.9</v>
      </c>
      <c r="Q1562">
        <v>568</v>
      </c>
      <c r="R1562">
        <v>0.44</v>
      </c>
      <c r="S1562" t="s">
        <v>72</v>
      </c>
      <c r="T1562" s="1">
        <v>44593</v>
      </c>
      <c r="U1562">
        <v>1</v>
      </c>
    </row>
    <row r="1563" spans="1:21" x14ac:dyDescent="0.25">
      <c r="A1563" t="s">
        <v>1610</v>
      </c>
      <c r="B1563">
        <v>61</v>
      </c>
      <c r="C1563" t="s">
        <v>21</v>
      </c>
      <c r="D1563" t="s">
        <v>35</v>
      </c>
      <c r="E1563" t="s">
        <v>51</v>
      </c>
      <c r="F1563" t="s">
        <v>36</v>
      </c>
      <c r="G1563">
        <v>1110.54</v>
      </c>
      <c r="H1563">
        <v>906.24</v>
      </c>
      <c r="I1563">
        <v>10390.41</v>
      </c>
      <c r="J1563" t="s">
        <v>37</v>
      </c>
      <c r="K1563" t="s">
        <v>38</v>
      </c>
      <c r="L1563">
        <v>0</v>
      </c>
      <c r="M1563">
        <v>0</v>
      </c>
      <c r="N1563">
        <v>0</v>
      </c>
      <c r="O1563">
        <v>0</v>
      </c>
      <c r="P1563">
        <v>0</v>
      </c>
      <c r="Q1563">
        <v>396</v>
      </c>
      <c r="R1563">
        <v>0.78</v>
      </c>
      <c r="S1563" t="s">
        <v>72</v>
      </c>
      <c r="T1563" s="1">
        <v>44428</v>
      </c>
      <c r="U1563">
        <v>0</v>
      </c>
    </row>
    <row r="1564" spans="1:21" x14ac:dyDescent="0.25">
      <c r="A1564" t="s">
        <v>1611</v>
      </c>
      <c r="B1564">
        <v>46</v>
      </c>
      <c r="C1564" t="s">
        <v>21</v>
      </c>
      <c r="D1564" t="s">
        <v>30</v>
      </c>
      <c r="E1564" t="s">
        <v>51</v>
      </c>
      <c r="F1564" t="s">
        <v>32</v>
      </c>
      <c r="G1564">
        <v>6150.11</v>
      </c>
      <c r="H1564">
        <v>4805.92</v>
      </c>
      <c r="I1564">
        <v>64227.199999999997</v>
      </c>
      <c r="J1564" t="s">
        <v>25</v>
      </c>
      <c r="K1564" t="s">
        <v>54</v>
      </c>
      <c r="L1564">
        <v>11202.98</v>
      </c>
      <c r="M1564">
        <v>24</v>
      </c>
      <c r="N1564">
        <v>490.89</v>
      </c>
      <c r="O1564">
        <v>4.88</v>
      </c>
      <c r="P1564">
        <v>0.08</v>
      </c>
      <c r="Q1564">
        <v>584</v>
      </c>
      <c r="R1564">
        <v>0.87</v>
      </c>
      <c r="S1564" t="s">
        <v>72</v>
      </c>
      <c r="T1564" s="1">
        <v>44521</v>
      </c>
      <c r="U1564">
        <v>0</v>
      </c>
    </row>
    <row r="1565" spans="1:21" x14ac:dyDescent="0.25">
      <c r="A1565" t="s">
        <v>1612</v>
      </c>
      <c r="B1565">
        <v>60</v>
      </c>
      <c r="C1565" t="s">
        <v>29</v>
      </c>
      <c r="D1565" t="s">
        <v>41</v>
      </c>
      <c r="E1565" t="s">
        <v>31</v>
      </c>
      <c r="F1565" t="s">
        <v>44</v>
      </c>
      <c r="G1565">
        <v>5225.28</v>
      </c>
      <c r="H1565">
        <v>2241.62</v>
      </c>
      <c r="I1565">
        <v>11380.2</v>
      </c>
      <c r="J1565" t="s">
        <v>37</v>
      </c>
      <c r="K1565" t="s">
        <v>38</v>
      </c>
      <c r="L1565">
        <v>0</v>
      </c>
      <c r="M1565">
        <v>0</v>
      </c>
      <c r="N1565">
        <v>0</v>
      </c>
      <c r="O1565">
        <v>0</v>
      </c>
      <c r="P1565">
        <v>0</v>
      </c>
      <c r="Q1565">
        <v>478</v>
      </c>
      <c r="R1565">
        <v>0.18</v>
      </c>
      <c r="S1565" t="s">
        <v>30</v>
      </c>
      <c r="T1565" s="1">
        <v>44672</v>
      </c>
      <c r="U1565">
        <v>0</v>
      </c>
    </row>
    <row r="1566" spans="1:21" x14ac:dyDescent="0.25">
      <c r="A1566" t="s">
        <v>1613</v>
      </c>
      <c r="B1566">
        <v>39</v>
      </c>
      <c r="C1566" t="s">
        <v>21</v>
      </c>
      <c r="D1566" t="s">
        <v>56</v>
      </c>
      <c r="E1566" t="s">
        <v>31</v>
      </c>
      <c r="F1566" t="s">
        <v>52</v>
      </c>
      <c r="G1566">
        <v>5254.25</v>
      </c>
      <c r="H1566">
        <v>4614.22</v>
      </c>
      <c r="I1566">
        <v>45067.34</v>
      </c>
      <c r="J1566" t="s">
        <v>37</v>
      </c>
      <c r="K1566" t="s">
        <v>38</v>
      </c>
      <c r="L1566">
        <v>0</v>
      </c>
      <c r="M1566">
        <v>0</v>
      </c>
      <c r="N1566">
        <v>0</v>
      </c>
      <c r="O1566">
        <v>0</v>
      </c>
      <c r="P1566">
        <v>0</v>
      </c>
      <c r="Q1566">
        <v>472</v>
      </c>
      <c r="R1566">
        <v>0.71</v>
      </c>
      <c r="S1566" t="s">
        <v>30</v>
      </c>
      <c r="T1566" s="1">
        <v>44882</v>
      </c>
      <c r="U1566">
        <v>0</v>
      </c>
    </row>
    <row r="1567" spans="1:21" x14ac:dyDescent="0.25">
      <c r="A1567" t="s">
        <v>1614</v>
      </c>
      <c r="B1567">
        <v>18</v>
      </c>
      <c r="C1567" t="s">
        <v>29</v>
      </c>
      <c r="D1567" t="s">
        <v>35</v>
      </c>
      <c r="E1567" t="s">
        <v>31</v>
      </c>
      <c r="F1567" t="s">
        <v>36</v>
      </c>
      <c r="G1567">
        <v>3300.35</v>
      </c>
      <c r="H1567">
        <v>2887.01</v>
      </c>
      <c r="I1567">
        <v>30893.3</v>
      </c>
      <c r="J1567" t="s">
        <v>37</v>
      </c>
      <c r="K1567" t="s">
        <v>38</v>
      </c>
      <c r="L1567">
        <v>0</v>
      </c>
      <c r="M1567">
        <v>0</v>
      </c>
      <c r="N1567">
        <v>0</v>
      </c>
      <c r="O1567">
        <v>0</v>
      </c>
      <c r="P1567">
        <v>0</v>
      </c>
      <c r="Q1567">
        <v>415</v>
      </c>
      <c r="R1567">
        <v>0.78</v>
      </c>
      <c r="S1567" t="s">
        <v>72</v>
      </c>
      <c r="T1567" s="1">
        <v>45502</v>
      </c>
      <c r="U1567">
        <v>0</v>
      </c>
    </row>
    <row r="1568" spans="1:21" x14ac:dyDescent="0.25">
      <c r="A1568" t="s">
        <v>1615</v>
      </c>
      <c r="B1568">
        <v>46</v>
      </c>
      <c r="C1568" t="s">
        <v>29</v>
      </c>
      <c r="D1568" t="s">
        <v>35</v>
      </c>
      <c r="E1568" t="s">
        <v>31</v>
      </c>
      <c r="F1568" t="s">
        <v>32</v>
      </c>
      <c r="G1568">
        <v>3868.02</v>
      </c>
      <c r="H1568">
        <v>2915.71</v>
      </c>
      <c r="I1568">
        <v>25002.23</v>
      </c>
      <c r="J1568" t="s">
        <v>37</v>
      </c>
      <c r="K1568" t="s">
        <v>38</v>
      </c>
      <c r="L1568">
        <v>0</v>
      </c>
      <c r="M1568">
        <v>0</v>
      </c>
      <c r="N1568">
        <v>0</v>
      </c>
      <c r="O1568">
        <v>0</v>
      </c>
      <c r="P1568">
        <v>0</v>
      </c>
      <c r="Q1568">
        <v>753</v>
      </c>
      <c r="R1568">
        <v>0.54</v>
      </c>
      <c r="S1568" t="s">
        <v>72</v>
      </c>
      <c r="T1568" s="1">
        <v>45211</v>
      </c>
      <c r="U1568">
        <v>0</v>
      </c>
    </row>
    <row r="1569" spans="1:21" x14ac:dyDescent="0.25">
      <c r="A1569" t="s">
        <v>1616</v>
      </c>
      <c r="B1569">
        <v>46</v>
      </c>
      <c r="C1569" t="s">
        <v>21</v>
      </c>
      <c r="D1569" t="s">
        <v>35</v>
      </c>
      <c r="E1569" t="s">
        <v>51</v>
      </c>
      <c r="F1569" t="s">
        <v>36</v>
      </c>
      <c r="G1569">
        <v>3762.64</v>
      </c>
      <c r="H1569">
        <v>1957.19</v>
      </c>
      <c r="I1569">
        <v>25038.14</v>
      </c>
      <c r="J1569" t="s">
        <v>25</v>
      </c>
      <c r="K1569" t="s">
        <v>33</v>
      </c>
      <c r="L1569">
        <v>2899.16</v>
      </c>
      <c r="M1569">
        <v>12</v>
      </c>
      <c r="N1569">
        <v>264.33</v>
      </c>
      <c r="O1569">
        <v>16.940000000000001</v>
      </c>
      <c r="P1569">
        <v>7.0000000000000007E-2</v>
      </c>
      <c r="Q1569">
        <v>508</v>
      </c>
      <c r="R1569">
        <v>0.55000000000000004</v>
      </c>
      <c r="S1569" t="s">
        <v>47</v>
      </c>
      <c r="T1569" s="1">
        <v>44901</v>
      </c>
      <c r="U1569">
        <v>0</v>
      </c>
    </row>
    <row r="1570" spans="1:21" x14ac:dyDescent="0.25">
      <c r="A1570" t="s">
        <v>1617</v>
      </c>
      <c r="B1570">
        <v>56</v>
      </c>
      <c r="C1570" t="s">
        <v>29</v>
      </c>
      <c r="D1570" t="s">
        <v>41</v>
      </c>
      <c r="E1570" t="s">
        <v>31</v>
      </c>
      <c r="F1570" t="s">
        <v>36</v>
      </c>
      <c r="G1570">
        <v>4686.51</v>
      </c>
      <c r="H1570">
        <v>2451.1799999999998</v>
      </c>
      <c r="I1570">
        <v>8918.4699999999993</v>
      </c>
      <c r="J1570" t="s">
        <v>25</v>
      </c>
      <c r="K1570" t="s">
        <v>26</v>
      </c>
      <c r="L1570">
        <v>254032.9</v>
      </c>
      <c r="M1570">
        <v>300</v>
      </c>
      <c r="N1570">
        <v>2079.89</v>
      </c>
      <c r="O1570">
        <v>8.6999999999999993</v>
      </c>
      <c r="P1570">
        <v>0.44</v>
      </c>
      <c r="Q1570">
        <v>828</v>
      </c>
      <c r="R1570">
        <v>0.16</v>
      </c>
      <c r="S1570" t="s">
        <v>27</v>
      </c>
      <c r="T1570" s="1">
        <v>44991</v>
      </c>
      <c r="U1570">
        <v>1</v>
      </c>
    </row>
    <row r="1571" spans="1:21" x14ac:dyDescent="0.25">
      <c r="A1571" t="s">
        <v>1618</v>
      </c>
      <c r="B1571">
        <v>54</v>
      </c>
      <c r="C1571" t="s">
        <v>29</v>
      </c>
      <c r="D1571" t="s">
        <v>41</v>
      </c>
      <c r="E1571" t="s">
        <v>23</v>
      </c>
      <c r="F1571" t="s">
        <v>49</v>
      </c>
      <c r="G1571">
        <v>2453.25</v>
      </c>
      <c r="H1571">
        <v>1958.84</v>
      </c>
      <c r="I1571">
        <v>28648.09</v>
      </c>
      <c r="J1571" t="s">
        <v>25</v>
      </c>
      <c r="K1571" t="s">
        <v>33</v>
      </c>
      <c r="L1571">
        <v>227055.67</v>
      </c>
      <c r="M1571">
        <v>120</v>
      </c>
      <c r="N1571">
        <v>2200.86</v>
      </c>
      <c r="O1571">
        <v>3.08</v>
      </c>
      <c r="P1571">
        <v>0.9</v>
      </c>
      <c r="Q1571">
        <v>638</v>
      </c>
      <c r="R1571">
        <v>0.97</v>
      </c>
      <c r="S1571" t="s">
        <v>72</v>
      </c>
      <c r="T1571" s="1">
        <v>45365</v>
      </c>
      <c r="U1571">
        <v>1</v>
      </c>
    </row>
    <row r="1572" spans="1:21" x14ac:dyDescent="0.25">
      <c r="A1572" t="s">
        <v>1619</v>
      </c>
      <c r="B1572">
        <v>40</v>
      </c>
      <c r="C1572" t="s">
        <v>29</v>
      </c>
      <c r="D1572" t="s">
        <v>41</v>
      </c>
      <c r="E1572" t="s">
        <v>49</v>
      </c>
      <c r="F1572" t="s">
        <v>44</v>
      </c>
      <c r="G1572">
        <v>8386.81</v>
      </c>
      <c r="H1572">
        <v>6076.51</v>
      </c>
      <c r="I1572">
        <v>79355.5</v>
      </c>
      <c r="J1572" t="s">
        <v>25</v>
      </c>
      <c r="K1572" t="s">
        <v>45</v>
      </c>
      <c r="L1572">
        <v>334087.99</v>
      </c>
      <c r="M1572">
        <v>360</v>
      </c>
      <c r="N1572">
        <v>2113.86</v>
      </c>
      <c r="O1572">
        <v>6.51</v>
      </c>
      <c r="P1572">
        <v>0.25</v>
      </c>
      <c r="Q1572">
        <v>738</v>
      </c>
      <c r="R1572">
        <v>0.79</v>
      </c>
      <c r="S1572" t="s">
        <v>30</v>
      </c>
      <c r="T1572" s="1">
        <v>45619</v>
      </c>
      <c r="U1572">
        <v>0</v>
      </c>
    </row>
    <row r="1573" spans="1:21" x14ac:dyDescent="0.25">
      <c r="A1573" t="s">
        <v>1620</v>
      </c>
      <c r="B1573">
        <v>58</v>
      </c>
      <c r="C1573" t="s">
        <v>21</v>
      </c>
      <c r="D1573" t="s">
        <v>30</v>
      </c>
      <c r="E1573" t="s">
        <v>23</v>
      </c>
      <c r="F1573" t="s">
        <v>23</v>
      </c>
      <c r="G1573">
        <v>3039.44</v>
      </c>
      <c r="H1573">
        <v>1867.79</v>
      </c>
      <c r="I1573">
        <v>6826.87</v>
      </c>
      <c r="J1573" t="s">
        <v>37</v>
      </c>
      <c r="K1573" t="s">
        <v>38</v>
      </c>
      <c r="L1573">
        <v>0</v>
      </c>
      <c r="M1573">
        <v>0</v>
      </c>
      <c r="N1573">
        <v>0</v>
      </c>
      <c r="O1573">
        <v>0</v>
      </c>
      <c r="P1573">
        <v>0</v>
      </c>
      <c r="Q1573">
        <v>353</v>
      </c>
      <c r="R1573">
        <v>0.19</v>
      </c>
      <c r="S1573" t="s">
        <v>47</v>
      </c>
      <c r="T1573" s="1">
        <v>45346</v>
      </c>
      <c r="U1573">
        <v>0</v>
      </c>
    </row>
    <row r="1574" spans="1:21" x14ac:dyDescent="0.25">
      <c r="A1574" t="s">
        <v>1621</v>
      </c>
      <c r="B1574">
        <v>20</v>
      </c>
      <c r="C1574" t="s">
        <v>21</v>
      </c>
      <c r="D1574" t="s">
        <v>41</v>
      </c>
      <c r="E1574" t="s">
        <v>51</v>
      </c>
      <c r="F1574" t="s">
        <v>49</v>
      </c>
      <c r="G1574">
        <v>7260.03</v>
      </c>
      <c r="H1574">
        <v>3110.6</v>
      </c>
      <c r="I1574">
        <v>72112.44</v>
      </c>
      <c r="J1574" t="s">
        <v>37</v>
      </c>
      <c r="K1574" t="s">
        <v>38</v>
      </c>
      <c r="L1574">
        <v>0</v>
      </c>
      <c r="M1574">
        <v>0</v>
      </c>
      <c r="N1574">
        <v>0</v>
      </c>
      <c r="O1574">
        <v>0</v>
      </c>
      <c r="P1574">
        <v>0</v>
      </c>
      <c r="Q1574">
        <v>525</v>
      </c>
      <c r="R1574">
        <v>0.83</v>
      </c>
      <c r="S1574" t="s">
        <v>72</v>
      </c>
      <c r="T1574" s="1">
        <v>45777</v>
      </c>
      <c r="U1574">
        <v>0</v>
      </c>
    </row>
    <row r="1575" spans="1:21" x14ac:dyDescent="0.25">
      <c r="A1575" t="s">
        <v>1622</v>
      </c>
      <c r="B1575">
        <v>40</v>
      </c>
      <c r="C1575" t="s">
        <v>29</v>
      </c>
      <c r="D1575" t="s">
        <v>35</v>
      </c>
      <c r="E1575" t="s">
        <v>51</v>
      </c>
      <c r="F1575" t="s">
        <v>63</v>
      </c>
      <c r="G1575">
        <v>2699.94</v>
      </c>
      <c r="H1575">
        <v>2394.9299999999998</v>
      </c>
      <c r="I1575">
        <v>28890.09</v>
      </c>
      <c r="J1575" t="s">
        <v>37</v>
      </c>
      <c r="K1575" t="s">
        <v>38</v>
      </c>
      <c r="L1575">
        <v>0</v>
      </c>
      <c r="M1575">
        <v>0</v>
      </c>
      <c r="N1575">
        <v>0</v>
      </c>
      <c r="O1575">
        <v>0</v>
      </c>
      <c r="P1575">
        <v>0</v>
      </c>
      <c r="Q1575">
        <v>546</v>
      </c>
      <c r="R1575">
        <v>0.89</v>
      </c>
      <c r="S1575" t="s">
        <v>27</v>
      </c>
      <c r="T1575" s="1">
        <v>45556</v>
      </c>
      <c r="U1575">
        <v>0</v>
      </c>
    </row>
    <row r="1576" spans="1:21" x14ac:dyDescent="0.25">
      <c r="A1576" t="s">
        <v>1623</v>
      </c>
      <c r="B1576">
        <v>27</v>
      </c>
      <c r="C1576" t="s">
        <v>21</v>
      </c>
      <c r="D1576" t="s">
        <v>41</v>
      </c>
      <c r="E1576" t="s">
        <v>31</v>
      </c>
      <c r="F1576" t="s">
        <v>23</v>
      </c>
      <c r="G1576">
        <v>6919.33</v>
      </c>
      <c r="H1576">
        <v>2280.2199999999998</v>
      </c>
      <c r="I1576">
        <v>23566.32</v>
      </c>
      <c r="J1576" t="s">
        <v>25</v>
      </c>
      <c r="K1576" t="s">
        <v>45</v>
      </c>
      <c r="L1576">
        <v>334408.46000000002</v>
      </c>
      <c r="M1576">
        <v>360</v>
      </c>
      <c r="N1576">
        <v>6593.72</v>
      </c>
      <c r="O1576">
        <v>23.64</v>
      </c>
      <c r="P1576">
        <v>0.95</v>
      </c>
      <c r="Q1576">
        <v>822</v>
      </c>
      <c r="R1576">
        <v>0.28000000000000003</v>
      </c>
      <c r="S1576" t="s">
        <v>27</v>
      </c>
      <c r="T1576" s="1">
        <v>44520</v>
      </c>
      <c r="U1576">
        <v>1</v>
      </c>
    </row>
    <row r="1577" spans="1:21" x14ac:dyDescent="0.25">
      <c r="A1577" t="s">
        <v>1624</v>
      </c>
      <c r="B1577">
        <v>28</v>
      </c>
      <c r="C1577" t="s">
        <v>29</v>
      </c>
      <c r="D1577" t="s">
        <v>22</v>
      </c>
      <c r="E1577" t="s">
        <v>23</v>
      </c>
      <c r="F1577" t="s">
        <v>49</v>
      </c>
      <c r="G1577">
        <v>3871.18</v>
      </c>
      <c r="H1577">
        <v>2771.8</v>
      </c>
      <c r="I1577">
        <v>45355.38</v>
      </c>
      <c r="J1577" t="s">
        <v>25</v>
      </c>
      <c r="K1577" t="s">
        <v>45</v>
      </c>
      <c r="L1577">
        <v>109405.6</v>
      </c>
      <c r="M1577">
        <v>240</v>
      </c>
      <c r="N1577">
        <v>1756.97</v>
      </c>
      <c r="O1577">
        <v>18.809999999999999</v>
      </c>
      <c r="P1577">
        <v>0.45</v>
      </c>
      <c r="Q1577">
        <v>776</v>
      </c>
      <c r="R1577">
        <v>0.98</v>
      </c>
      <c r="S1577" t="s">
        <v>47</v>
      </c>
      <c r="T1577" s="1">
        <v>45246</v>
      </c>
      <c r="U1577">
        <v>1</v>
      </c>
    </row>
    <row r="1578" spans="1:21" x14ac:dyDescent="0.25">
      <c r="A1578" t="s">
        <v>1625</v>
      </c>
      <c r="B1578">
        <v>36</v>
      </c>
      <c r="C1578" t="s">
        <v>29</v>
      </c>
      <c r="D1578" t="s">
        <v>35</v>
      </c>
      <c r="E1578" t="s">
        <v>51</v>
      </c>
      <c r="F1578" t="s">
        <v>23</v>
      </c>
      <c r="G1578">
        <v>4570.93</v>
      </c>
      <c r="H1578">
        <v>4046.53</v>
      </c>
      <c r="I1578">
        <v>14257.01</v>
      </c>
      <c r="J1578" t="s">
        <v>37</v>
      </c>
      <c r="K1578" t="s">
        <v>38</v>
      </c>
      <c r="L1578">
        <v>0</v>
      </c>
      <c r="M1578">
        <v>0</v>
      </c>
      <c r="N1578">
        <v>0</v>
      </c>
      <c r="O1578">
        <v>0</v>
      </c>
      <c r="P1578">
        <v>0</v>
      </c>
      <c r="Q1578">
        <v>714</v>
      </c>
      <c r="R1578">
        <v>0.26</v>
      </c>
      <c r="S1578" t="s">
        <v>72</v>
      </c>
      <c r="T1578" s="1">
        <v>45355</v>
      </c>
      <c r="U1578">
        <v>0</v>
      </c>
    </row>
    <row r="1579" spans="1:21" x14ac:dyDescent="0.25">
      <c r="A1579" t="s">
        <v>1626</v>
      </c>
      <c r="B1579">
        <v>31</v>
      </c>
      <c r="C1579" t="s">
        <v>21</v>
      </c>
      <c r="D1579" t="s">
        <v>41</v>
      </c>
      <c r="E1579" t="s">
        <v>31</v>
      </c>
      <c r="F1579" t="s">
        <v>36</v>
      </c>
      <c r="G1579">
        <v>847.95</v>
      </c>
      <c r="H1579">
        <v>337.7</v>
      </c>
      <c r="I1579">
        <v>7606.33</v>
      </c>
      <c r="J1579" t="s">
        <v>37</v>
      </c>
      <c r="K1579" t="s">
        <v>38</v>
      </c>
      <c r="L1579">
        <v>0</v>
      </c>
      <c r="M1579">
        <v>0</v>
      </c>
      <c r="N1579">
        <v>0</v>
      </c>
      <c r="O1579">
        <v>0</v>
      </c>
      <c r="P1579">
        <v>0</v>
      </c>
      <c r="Q1579">
        <v>500</v>
      </c>
      <c r="R1579">
        <v>0.75</v>
      </c>
      <c r="S1579" t="s">
        <v>30</v>
      </c>
      <c r="T1579" s="1">
        <v>44913</v>
      </c>
      <c r="U1579">
        <v>0</v>
      </c>
    </row>
    <row r="1580" spans="1:21" x14ac:dyDescent="0.25">
      <c r="A1580" t="s">
        <v>1627</v>
      </c>
      <c r="B1580">
        <v>45</v>
      </c>
      <c r="C1580" t="s">
        <v>30</v>
      </c>
      <c r="D1580" t="s">
        <v>41</v>
      </c>
      <c r="E1580" t="s">
        <v>31</v>
      </c>
      <c r="F1580" t="s">
        <v>52</v>
      </c>
      <c r="G1580">
        <v>1241.33</v>
      </c>
      <c r="H1580">
        <v>703.94</v>
      </c>
      <c r="I1580">
        <v>13333.35</v>
      </c>
      <c r="J1580" t="s">
        <v>37</v>
      </c>
      <c r="K1580" t="s">
        <v>38</v>
      </c>
      <c r="L1580">
        <v>0</v>
      </c>
      <c r="M1580">
        <v>0</v>
      </c>
      <c r="N1580">
        <v>0</v>
      </c>
      <c r="O1580">
        <v>0</v>
      </c>
      <c r="P1580">
        <v>0</v>
      </c>
      <c r="Q1580">
        <v>585</v>
      </c>
      <c r="R1580">
        <v>0.9</v>
      </c>
      <c r="S1580" t="s">
        <v>72</v>
      </c>
      <c r="T1580" s="1">
        <v>44587</v>
      </c>
      <c r="U1580">
        <v>0</v>
      </c>
    </row>
    <row r="1581" spans="1:21" x14ac:dyDescent="0.25">
      <c r="A1581" t="s">
        <v>1628</v>
      </c>
      <c r="B1581">
        <v>69</v>
      </c>
      <c r="C1581" t="s">
        <v>21</v>
      </c>
      <c r="D1581" t="s">
        <v>22</v>
      </c>
      <c r="E1581" t="s">
        <v>51</v>
      </c>
      <c r="F1581" t="s">
        <v>32</v>
      </c>
      <c r="G1581">
        <v>2968.07</v>
      </c>
      <c r="H1581">
        <v>2450.0100000000002</v>
      </c>
      <c r="I1581">
        <v>27116.49</v>
      </c>
      <c r="J1581" t="s">
        <v>37</v>
      </c>
      <c r="K1581" t="s">
        <v>38</v>
      </c>
      <c r="L1581">
        <v>0</v>
      </c>
      <c r="M1581">
        <v>0</v>
      </c>
      <c r="N1581">
        <v>0</v>
      </c>
      <c r="O1581">
        <v>0</v>
      </c>
      <c r="P1581">
        <v>0</v>
      </c>
      <c r="Q1581">
        <v>788</v>
      </c>
      <c r="R1581">
        <v>0.76</v>
      </c>
      <c r="S1581" t="s">
        <v>39</v>
      </c>
      <c r="T1581" s="1">
        <v>44740</v>
      </c>
      <c r="U1581">
        <v>0</v>
      </c>
    </row>
    <row r="1582" spans="1:21" x14ac:dyDescent="0.25">
      <c r="A1582" t="s">
        <v>1629</v>
      </c>
      <c r="B1582">
        <v>51</v>
      </c>
      <c r="C1582" t="s">
        <v>29</v>
      </c>
      <c r="D1582" t="s">
        <v>35</v>
      </c>
      <c r="E1582" t="s">
        <v>51</v>
      </c>
      <c r="F1582" t="s">
        <v>42</v>
      </c>
      <c r="G1582">
        <v>4060.09</v>
      </c>
      <c r="H1582">
        <v>1872.62</v>
      </c>
      <c r="I1582">
        <v>27312.51</v>
      </c>
      <c r="J1582" t="s">
        <v>37</v>
      </c>
      <c r="K1582" t="s">
        <v>38</v>
      </c>
      <c r="L1582">
        <v>0</v>
      </c>
      <c r="M1582">
        <v>0</v>
      </c>
      <c r="N1582">
        <v>0</v>
      </c>
      <c r="O1582">
        <v>0</v>
      </c>
      <c r="P1582">
        <v>0</v>
      </c>
      <c r="Q1582">
        <v>689</v>
      </c>
      <c r="R1582">
        <v>0.56000000000000005</v>
      </c>
      <c r="S1582" t="s">
        <v>27</v>
      </c>
      <c r="T1582" s="1">
        <v>45605</v>
      </c>
      <c r="U1582">
        <v>0</v>
      </c>
    </row>
    <row r="1583" spans="1:21" x14ac:dyDescent="0.25">
      <c r="A1583" t="s">
        <v>1630</v>
      </c>
      <c r="B1583">
        <v>32</v>
      </c>
      <c r="C1583" t="s">
        <v>29</v>
      </c>
      <c r="D1583" t="s">
        <v>56</v>
      </c>
      <c r="E1583" t="s">
        <v>31</v>
      </c>
      <c r="F1583" t="s">
        <v>52</v>
      </c>
      <c r="G1583">
        <v>1204.24</v>
      </c>
      <c r="H1583">
        <v>464.19</v>
      </c>
      <c r="I1583">
        <v>8385.9500000000007</v>
      </c>
      <c r="J1583" t="s">
        <v>37</v>
      </c>
      <c r="K1583" t="s">
        <v>38</v>
      </c>
      <c r="L1583">
        <v>0</v>
      </c>
      <c r="M1583">
        <v>0</v>
      </c>
      <c r="N1583">
        <v>0</v>
      </c>
      <c r="O1583">
        <v>0</v>
      </c>
      <c r="P1583">
        <v>0</v>
      </c>
      <c r="Q1583">
        <v>816</v>
      </c>
      <c r="R1583">
        <v>0.57999999999999996</v>
      </c>
      <c r="S1583" t="s">
        <v>39</v>
      </c>
      <c r="T1583" s="1">
        <v>45215</v>
      </c>
      <c r="U1583">
        <v>0</v>
      </c>
    </row>
    <row r="1584" spans="1:21" x14ac:dyDescent="0.25">
      <c r="A1584" t="s">
        <v>1631</v>
      </c>
      <c r="B1584">
        <v>44</v>
      </c>
      <c r="C1584" t="s">
        <v>21</v>
      </c>
      <c r="D1584" t="s">
        <v>41</v>
      </c>
      <c r="E1584" t="s">
        <v>31</v>
      </c>
      <c r="F1584" t="s">
        <v>23</v>
      </c>
      <c r="G1584">
        <v>1276.8800000000001</v>
      </c>
      <c r="H1584">
        <v>401.67</v>
      </c>
      <c r="I1584">
        <v>7922.39</v>
      </c>
      <c r="J1584" t="s">
        <v>37</v>
      </c>
      <c r="K1584" t="s">
        <v>38</v>
      </c>
      <c r="L1584">
        <v>0</v>
      </c>
      <c r="M1584">
        <v>0</v>
      </c>
      <c r="N1584">
        <v>0</v>
      </c>
      <c r="O1584">
        <v>0</v>
      </c>
      <c r="P1584">
        <v>0</v>
      </c>
      <c r="Q1584">
        <v>309</v>
      </c>
      <c r="R1584">
        <v>0.52</v>
      </c>
      <c r="S1584" t="s">
        <v>72</v>
      </c>
      <c r="T1584" s="1">
        <v>45805</v>
      </c>
      <c r="U1584">
        <v>0</v>
      </c>
    </row>
    <row r="1585" spans="1:21" x14ac:dyDescent="0.25">
      <c r="A1585" t="s">
        <v>1632</v>
      </c>
      <c r="B1585">
        <v>28</v>
      </c>
      <c r="C1585" t="s">
        <v>29</v>
      </c>
      <c r="D1585" t="s">
        <v>41</v>
      </c>
      <c r="E1585" t="s">
        <v>23</v>
      </c>
      <c r="F1585" t="s">
        <v>32</v>
      </c>
      <c r="G1585">
        <v>3792.97</v>
      </c>
      <c r="H1585">
        <v>3378.27</v>
      </c>
      <c r="I1585">
        <v>16956.52</v>
      </c>
      <c r="J1585" t="s">
        <v>37</v>
      </c>
      <c r="K1585" t="s">
        <v>38</v>
      </c>
      <c r="L1585">
        <v>0</v>
      </c>
      <c r="M1585">
        <v>0</v>
      </c>
      <c r="N1585">
        <v>0</v>
      </c>
      <c r="O1585">
        <v>0</v>
      </c>
      <c r="P1585">
        <v>0</v>
      </c>
      <c r="Q1585">
        <v>632</v>
      </c>
      <c r="R1585">
        <v>0.37</v>
      </c>
      <c r="S1585" t="s">
        <v>72</v>
      </c>
      <c r="T1585" s="1">
        <v>44883</v>
      </c>
      <c r="U1585">
        <v>0</v>
      </c>
    </row>
    <row r="1586" spans="1:21" x14ac:dyDescent="0.25">
      <c r="A1586" t="s">
        <v>1633</v>
      </c>
      <c r="B1586">
        <v>40</v>
      </c>
      <c r="C1586" t="s">
        <v>29</v>
      </c>
      <c r="D1586" t="s">
        <v>35</v>
      </c>
      <c r="E1586" t="s">
        <v>31</v>
      </c>
      <c r="F1586" t="s">
        <v>49</v>
      </c>
      <c r="G1586">
        <v>3792.4</v>
      </c>
      <c r="H1586">
        <v>1181.05</v>
      </c>
      <c r="I1586">
        <v>35800.36</v>
      </c>
      <c r="J1586" t="s">
        <v>37</v>
      </c>
      <c r="K1586" t="s">
        <v>38</v>
      </c>
      <c r="L1586">
        <v>0</v>
      </c>
      <c r="M1586">
        <v>0</v>
      </c>
      <c r="N1586">
        <v>0</v>
      </c>
      <c r="O1586">
        <v>0</v>
      </c>
      <c r="P1586">
        <v>0</v>
      </c>
      <c r="Q1586">
        <v>358</v>
      </c>
      <c r="R1586">
        <v>0.79</v>
      </c>
      <c r="S1586" t="s">
        <v>72</v>
      </c>
      <c r="T1586" s="1">
        <v>45374</v>
      </c>
      <c r="U1586">
        <v>0</v>
      </c>
    </row>
    <row r="1587" spans="1:21" x14ac:dyDescent="0.25">
      <c r="A1587" t="s">
        <v>1634</v>
      </c>
      <c r="B1587">
        <v>49</v>
      </c>
      <c r="C1587" t="s">
        <v>29</v>
      </c>
      <c r="D1587" t="s">
        <v>41</v>
      </c>
      <c r="E1587" t="s">
        <v>31</v>
      </c>
      <c r="F1587" t="s">
        <v>52</v>
      </c>
      <c r="G1587">
        <v>2056.34</v>
      </c>
      <c r="H1587">
        <v>1836.5</v>
      </c>
      <c r="I1587">
        <v>6691.73</v>
      </c>
      <c r="J1587" t="s">
        <v>37</v>
      </c>
      <c r="K1587" t="s">
        <v>38</v>
      </c>
      <c r="L1587">
        <v>0</v>
      </c>
      <c r="M1587">
        <v>0</v>
      </c>
      <c r="N1587">
        <v>0</v>
      </c>
      <c r="O1587">
        <v>0</v>
      </c>
      <c r="P1587">
        <v>0</v>
      </c>
      <c r="Q1587">
        <v>546</v>
      </c>
      <c r="R1587">
        <v>0.27</v>
      </c>
      <c r="S1587" t="s">
        <v>39</v>
      </c>
      <c r="T1587" s="1">
        <v>45601</v>
      </c>
      <c r="U1587">
        <v>0</v>
      </c>
    </row>
    <row r="1588" spans="1:21" x14ac:dyDescent="0.25">
      <c r="A1588" t="s">
        <v>1635</v>
      </c>
      <c r="B1588">
        <v>33</v>
      </c>
      <c r="C1588" t="s">
        <v>21</v>
      </c>
      <c r="D1588" t="s">
        <v>56</v>
      </c>
      <c r="E1588" t="s">
        <v>31</v>
      </c>
      <c r="F1588" t="s">
        <v>32</v>
      </c>
      <c r="G1588">
        <v>3730.7</v>
      </c>
      <c r="H1588">
        <v>3194.18</v>
      </c>
      <c r="I1588">
        <v>8123.21</v>
      </c>
      <c r="J1588" t="s">
        <v>37</v>
      </c>
      <c r="K1588" t="s">
        <v>38</v>
      </c>
      <c r="L1588">
        <v>0</v>
      </c>
      <c r="M1588">
        <v>0</v>
      </c>
      <c r="N1588">
        <v>0</v>
      </c>
      <c r="O1588">
        <v>0</v>
      </c>
      <c r="P1588">
        <v>0</v>
      </c>
      <c r="Q1588">
        <v>373</v>
      </c>
      <c r="R1588">
        <v>0.18</v>
      </c>
      <c r="S1588" t="s">
        <v>47</v>
      </c>
      <c r="T1588" s="1">
        <v>45442</v>
      </c>
      <c r="U1588">
        <v>0</v>
      </c>
    </row>
    <row r="1589" spans="1:21" x14ac:dyDescent="0.25">
      <c r="A1589" t="s">
        <v>1636</v>
      </c>
      <c r="B1589">
        <v>46</v>
      </c>
      <c r="C1589" t="s">
        <v>21</v>
      </c>
      <c r="D1589" t="s">
        <v>35</v>
      </c>
      <c r="E1589" t="s">
        <v>31</v>
      </c>
      <c r="F1589" t="s">
        <v>23</v>
      </c>
      <c r="G1589">
        <v>4685.82</v>
      </c>
      <c r="H1589">
        <v>3742.81</v>
      </c>
      <c r="I1589">
        <v>46392.05</v>
      </c>
      <c r="J1589" t="s">
        <v>37</v>
      </c>
      <c r="K1589" t="s">
        <v>38</v>
      </c>
      <c r="L1589">
        <v>0</v>
      </c>
      <c r="M1589">
        <v>0</v>
      </c>
      <c r="N1589">
        <v>0</v>
      </c>
      <c r="O1589">
        <v>0</v>
      </c>
      <c r="P1589">
        <v>0</v>
      </c>
      <c r="Q1589">
        <v>649</v>
      </c>
      <c r="R1589">
        <v>0.83</v>
      </c>
      <c r="S1589" t="s">
        <v>27</v>
      </c>
      <c r="T1589" s="1">
        <v>44876</v>
      </c>
      <c r="U1589">
        <v>0</v>
      </c>
    </row>
    <row r="1590" spans="1:21" x14ac:dyDescent="0.25">
      <c r="A1590" t="s">
        <v>1637</v>
      </c>
      <c r="B1590">
        <v>58</v>
      </c>
      <c r="C1590" t="s">
        <v>21</v>
      </c>
      <c r="D1590" t="s">
        <v>35</v>
      </c>
      <c r="E1590" t="s">
        <v>31</v>
      </c>
      <c r="F1590" t="s">
        <v>23</v>
      </c>
      <c r="G1590">
        <v>5591.48</v>
      </c>
      <c r="H1590">
        <v>4819.5600000000004</v>
      </c>
      <c r="I1590">
        <v>30563.06</v>
      </c>
      <c r="J1590" t="s">
        <v>37</v>
      </c>
      <c r="K1590" t="s">
        <v>38</v>
      </c>
      <c r="L1590">
        <v>0</v>
      </c>
      <c r="M1590">
        <v>0</v>
      </c>
      <c r="N1590">
        <v>0</v>
      </c>
      <c r="O1590">
        <v>0</v>
      </c>
      <c r="P1590">
        <v>0</v>
      </c>
      <c r="Q1590">
        <v>557</v>
      </c>
      <c r="R1590">
        <v>0.46</v>
      </c>
      <c r="S1590" t="s">
        <v>72</v>
      </c>
      <c r="T1590" s="1">
        <v>45860</v>
      </c>
      <c r="U1590">
        <v>0</v>
      </c>
    </row>
    <row r="1591" spans="1:21" x14ac:dyDescent="0.25">
      <c r="A1591" t="s">
        <v>1638</v>
      </c>
      <c r="B1591">
        <v>23</v>
      </c>
      <c r="C1591" t="s">
        <v>21</v>
      </c>
      <c r="D1591" t="s">
        <v>41</v>
      </c>
      <c r="E1591" t="s">
        <v>31</v>
      </c>
      <c r="F1591" t="s">
        <v>42</v>
      </c>
      <c r="G1591">
        <v>4296.26</v>
      </c>
      <c r="H1591">
        <v>1331.89</v>
      </c>
      <c r="I1591">
        <v>9401.8799999999992</v>
      </c>
      <c r="J1591" t="s">
        <v>25</v>
      </c>
      <c r="K1591" t="s">
        <v>54</v>
      </c>
      <c r="L1591">
        <v>125697.82</v>
      </c>
      <c r="M1591">
        <v>300</v>
      </c>
      <c r="N1591">
        <v>2833.85</v>
      </c>
      <c r="O1591">
        <v>27.02</v>
      </c>
      <c r="P1591">
        <v>0.66</v>
      </c>
      <c r="Q1591">
        <v>392</v>
      </c>
      <c r="R1591">
        <v>0.18</v>
      </c>
      <c r="S1591" t="s">
        <v>39</v>
      </c>
      <c r="T1591" s="1">
        <v>44895</v>
      </c>
      <c r="U1591">
        <v>1</v>
      </c>
    </row>
    <row r="1592" spans="1:21" x14ac:dyDescent="0.25">
      <c r="A1592" t="s">
        <v>1639</v>
      </c>
      <c r="B1592">
        <v>69</v>
      </c>
      <c r="C1592" t="s">
        <v>21</v>
      </c>
      <c r="D1592" t="s">
        <v>35</v>
      </c>
      <c r="E1592" t="s">
        <v>31</v>
      </c>
      <c r="F1592" t="s">
        <v>52</v>
      </c>
      <c r="G1592">
        <v>4254.7299999999996</v>
      </c>
      <c r="H1592">
        <v>3571.11</v>
      </c>
      <c r="I1592">
        <v>12473.46</v>
      </c>
      <c r="J1592" t="s">
        <v>25</v>
      </c>
      <c r="K1592" t="s">
        <v>45</v>
      </c>
      <c r="L1592">
        <v>126474.09</v>
      </c>
      <c r="M1592">
        <v>180</v>
      </c>
      <c r="N1592">
        <v>2355.9899999999998</v>
      </c>
      <c r="O1592">
        <v>21.43</v>
      </c>
      <c r="P1592">
        <v>0.55000000000000004</v>
      </c>
      <c r="Q1592">
        <v>375</v>
      </c>
      <c r="R1592">
        <v>0.24</v>
      </c>
      <c r="S1592" t="s">
        <v>27</v>
      </c>
      <c r="T1592" s="1">
        <v>45388</v>
      </c>
      <c r="U1592">
        <v>1</v>
      </c>
    </row>
    <row r="1593" spans="1:21" x14ac:dyDescent="0.25">
      <c r="A1593" t="s">
        <v>1640</v>
      </c>
      <c r="B1593">
        <v>66</v>
      </c>
      <c r="C1593" t="s">
        <v>29</v>
      </c>
      <c r="D1593" t="s">
        <v>35</v>
      </c>
      <c r="E1593" t="s">
        <v>51</v>
      </c>
      <c r="F1593" t="s">
        <v>32</v>
      </c>
      <c r="G1593">
        <v>5806.99</v>
      </c>
      <c r="H1593">
        <v>4207.46</v>
      </c>
      <c r="I1593">
        <v>67653.73</v>
      </c>
      <c r="J1593" t="s">
        <v>25</v>
      </c>
      <c r="K1593" t="s">
        <v>33</v>
      </c>
      <c r="L1593">
        <v>426456.63</v>
      </c>
      <c r="M1593">
        <v>300</v>
      </c>
      <c r="N1593">
        <v>4732.82</v>
      </c>
      <c r="O1593">
        <v>12.76</v>
      </c>
      <c r="P1593">
        <v>0.82</v>
      </c>
      <c r="Q1593">
        <v>714</v>
      </c>
      <c r="R1593">
        <v>0.97</v>
      </c>
      <c r="S1593" t="s">
        <v>30</v>
      </c>
      <c r="T1593" s="1">
        <v>45160</v>
      </c>
      <c r="U1593">
        <v>1</v>
      </c>
    </row>
    <row r="1594" spans="1:21" x14ac:dyDescent="0.25">
      <c r="A1594" t="s">
        <v>1641</v>
      </c>
      <c r="B1594">
        <v>58</v>
      </c>
      <c r="C1594" t="s">
        <v>29</v>
      </c>
      <c r="D1594" t="s">
        <v>35</v>
      </c>
      <c r="E1594" t="s">
        <v>31</v>
      </c>
      <c r="F1594" t="s">
        <v>36</v>
      </c>
      <c r="G1594">
        <v>3668.66</v>
      </c>
      <c r="H1594">
        <v>3049.13</v>
      </c>
      <c r="I1594">
        <v>11574.28</v>
      </c>
      <c r="J1594" t="s">
        <v>37</v>
      </c>
      <c r="K1594" t="s">
        <v>38</v>
      </c>
      <c r="L1594">
        <v>0</v>
      </c>
      <c r="M1594">
        <v>0</v>
      </c>
      <c r="N1594">
        <v>0</v>
      </c>
      <c r="O1594">
        <v>0</v>
      </c>
      <c r="P1594">
        <v>0</v>
      </c>
      <c r="Q1594">
        <v>748</v>
      </c>
      <c r="R1594">
        <v>0.26</v>
      </c>
      <c r="S1594" t="s">
        <v>72</v>
      </c>
      <c r="T1594" s="1">
        <v>44874</v>
      </c>
      <c r="U1594">
        <v>0</v>
      </c>
    </row>
    <row r="1595" spans="1:21" x14ac:dyDescent="0.25">
      <c r="A1595" t="s">
        <v>1642</v>
      </c>
      <c r="B1595">
        <v>64</v>
      </c>
      <c r="C1595" t="s">
        <v>21</v>
      </c>
      <c r="D1595" t="s">
        <v>22</v>
      </c>
      <c r="E1595" t="s">
        <v>49</v>
      </c>
      <c r="F1595" t="s">
        <v>32</v>
      </c>
      <c r="G1595">
        <v>7760.58</v>
      </c>
      <c r="H1595">
        <v>4019.13</v>
      </c>
      <c r="I1595">
        <v>77239.759999999995</v>
      </c>
      <c r="J1595" t="s">
        <v>37</v>
      </c>
      <c r="K1595" t="s">
        <v>38</v>
      </c>
      <c r="L1595">
        <v>0</v>
      </c>
      <c r="M1595">
        <v>0</v>
      </c>
      <c r="N1595">
        <v>0</v>
      </c>
      <c r="O1595">
        <v>0</v>
      </c>
      <c r="P1595">
        <v>0</v>
      </c>
      <c r="Q1595">
        <v>592</v>
      </c>
      <c r="R1595">
        <v>0.83</v>
      </c>
      <c r="S1595" t="s">
        <v>72</v>
      </c>
      <c r="T1595" s="1">
        <v>45478</v>
      </c>
      <c r="U1595">
        <v>0</v>
      </c>
    </row>
    <row r="1596" spans="1:21" x14ac:dyDescent="0.25">
      <c r="A1596" t="s">
        <v>1643</v>
      </c>
      <c r="B1596">
        <v>64</v>
      </c>
      <c r="C1596" t="s">
        <v>29</v>
      </c>
      <c r="D1596" t="s">
        <v>41</v>
      </c>
      <c r="E1596" t="s">
        <v>51</v>
      </c>
      <c r="F1596" t="s">
        <v>36</v>
      </c>
      <c r="G1596">
        <v>3488.01</v>
      </c>
      <c r="H1596">
        <v>2298.8200000000002</v>
      </c>
      <c r="I1596">
        <v>25046.03</v>
      </c>
      <c r="J1596" t="s">
        <v>37</v>
      </c>
      <c r="K1596" t="s">
        <v>38</v>
      </c>
      <c r="L1596">
        <v>0</v>
      </c>
      <c r="M1596">
        <v>0</v>
      </c>
      <c r="N1596">
        <v>0</v>
      </c>
      <c r="O1596">
        <v>0</v>
      </c>
      <c r="P1596">
        <v>0</v>
      </c>
      <c r="Q1596">
        <v>768</v>
      </c>
      <c r="R1596">
        <v>0.6</v>
      </c>
      <c r="S1596" t="s">
        <v>72</v>
      </c>
      <c r="T1596" s="1">
        <v>45312</v>
      </c>
      <c r="U1596">
        <v>0</v>
      </c>
    </row>
    <row r="1597" spans="1:21" x14ac:dyDescent="0.25">
      <c r="A1597" t="s">
        <v>1644</v>
      </c>
      <c r="B1597">
        <v>46</v>
      </c>
      <c r="C1597" t="s">
        <v>29</v>
      </c>
      <c r="D1597" t="s">
        <v>35</v>
      </c>
      <c r="E1597" t="s">
        <v>31</v>
      </c>
      <c r="F1597" t="s">
        <v>24</v>
      </c>
      <c r="G1597">
        <v>5179.2</v>
      </c>
      <c r="H1597">
        <v>2625.08</v>
      </c>
      <c r="I1597">
        <v>6919.3</v>
      </c>
      <c r="J1597" t="s">
        <v>37</v>
      </c>
      <c r="K1597" t="s">
        <v>38</v>
      </c>
      <c r="L1597">
        <v>0</v>
      </c>
      <c r="M1597">
        <v>0</v>
      </c>
      <c r="N1597">
        <v>0</v>
      </c>
      <c r="O1597">
        <v>0</v>
      </c>
      <c r="P1597">
        <v>0</v>
      </c>
      <c r="Q1597">
        <v>767</v>
      </c>
      <c r="R1597">
        <v>0.11</v>
      </c>
      <c r="S1597" t="s">
        <v>30</v>
      </c>
      <c r="T1597" s="1">
        <v>45396</v>
      </c>
      <c r="U1597">
        <v>0</v>
      </c>
    </row>
    <row r="1598" spans="1:21" x14ac:dyDescent="0.25">
      <c r="A1598" t="s">
        <v>1645</v>
      </c>
      <c r="B1598">
        <v>55</v>
      </c>
      <c r="C1598" t="s">
        <v>30</v>
      </c>
      <c r="D1598" t="s">
        <v>35</v>
      </c>
      <c r="E1598" t="s">
        <v>51</v>
      </c>
      <c r="F1598" t="s">
        <v>63</v>
      </c>
      <c r="G1598">
        <v>4024.59</v>
      </c>
      <c r="H1598">
        <v>3121.05</v>
      </c>
      <c r="I1598">
        <v>27312.07</v>
      </c>
      <c r="J1598" t="s">
        <v>37</v>
      </c>
      <c r="K1598" t="s">
        <v>38</v>
      </c>
      <c r="L1598">
        <v>0</v>
      </c>
      <c r="M1598">
        <v>0</v>
      </c>
      <c r="N1598">
        <v>0</v>
      </c>
      <c r="O1598">
        <v>0</v>
      </c>
      <c r="P1598">
        <v>0</v>
      </c>
      <c r="Q1598">
        <v>419</v>
      </c>
      <c r="R1598">
        <v>0.56999999999999995</v>
      </c>
      <c r="S1598" t="s">
        <v>30</v>
      </c>
      <c r="T1598" s="1">
        <v>44568</v>
      </c>
      <c r="U1598">
        <v>0</v>
      </c>
    </row>
    <row r="1599" spans="1:21" x14ac:dyDescent="0.25">
      <c r="A1599" t="s">
        <v>1646</v>
      </c>
      <c r="B1599">
        <v>37</v>
      </c>
      <c r="C1599" t="s">
        <v>29</v>
      </c>
      <c r="D1599" t="s">
        <v>22</v>
      </c>
      <c r="E1599" t="s">
        <v>51</v>
      </c>
      <c r="F1599" t="s">
        <v>42</v>
      </c>
      <c r="G1599">
        <v>4481.97</v>
      </c>
      <c r="H1599">
        <v>3713.5</v>
      </c>
      <c r="I1599">
        <v>30883.71</v>
      </c>
      <c r="J1599" t="s">
        <v>37</v>
      </c>
      <c r="K1599" t="s">
        <v>38</v>
      </c>
      <c r="L1599">
        <v>0</v>
      </c>
      <c r="M1599">
        <v>0</v>
      </c>
      <c r="N1599">
        <v>0</v>
      </c>
      <c r="O1599">
        <v>0</v>
      </c>
      <c r="P1599">
        <v>0</v>
      </c>
      <c r="Q1599">
        <v>559</v>
      </c>
      <c r="R1599">
        <v>0.56999999999999995</v>
      </c>
      <c r="S1599" t="s">
        <v>47</v>
      </c>
      <c r="T1599" s="1">
        <v>45213</v>
      </c>
      <c r="U1599">
        <v>0</v>
      </c>
    </row>
    <row r="1600" spans="1:21" x14ac:dyDescent="0.25">
      <c r="A1600" t="s">
        <v>1647</v>
      </c>
      <c r="B1600">
        <v>45</v>
      </c>
      <c r="C1600" t="s">
        <v>21</v>
      </c>
      <c r="D1600" t="s">
        <v>22</v>
      </c>
      <c r="E1600" t="s">
        <v>51</v>
      </c>
      <c r="F1600" t="s">
        <v>24</v>
      </c>
      <c r="G1600">
        <v>2832.19</v>
      </c>
      <c r="H1600">
        <v>2445.1999999999998</v>
      </c>
      <c r="I1600">
        <v>8854.2099999999991</v>
      </c>
      <c r="J1600" t="s">
        <v>37</v>
      </c>
      <c r="K1600" t="s">
        <v>38</v>
      </c>
      <c r="L1600">
        <v>0</v>
      </c>
      <c r="M1600">
        <v>0</v>
      </c>
      <c r="N1600">
        <v>0</v>
      </c>
      <c r="O1600">
        <v>0</v>
      </c>
      <c r="P1600">
        <v>0</v>
      </c>
      <c r="Q1600">
        <v>656</v>
      </c>
      <c r="R1600">
        <v>0.26</v>
      </c>
      <c r="S1600" t="s">
        <v>72</v>
      </c>
      <c r="T1600" s="1">
        <v>44677</v>
      </c>
      <c r="U1600">
        <v>0</v>
      </c>
    </row>
    <row r="1601" spans="1:21" x14ac:dyDescent="0.25">
      <c r="A1601" t="s">
        <v>1648</v>
      </c>
      <c r="B1601">
        <v>64</v>
      </c>
      <c r="C1601" t="s">
        <v>29</v>
      </c>
      <c r="D1601" t="s">
        <v>41</v>
      </c>
      <c r="E1601" t="s">
        <v>49</v>
      </c>
      <c r="F1601" t="s">
        <v>44</v>
      </c>
      <c r="G1601">
        <v>7767.34</v>
      </c>
      <c r="H1601">
        <v>4670.66</v>
      </c>
      <c r="I1601">
        <v>38467.08</v>
      </c>
      <c r="J1601" t="s">
        <v>25</v>
      </c>
      <c r="K1601" t="s">
        <v>54</v>
      </c>
      <c r="L1601">
        <v>375441.29</v>
      </c>
      <c r="M1601">
        <v>120</v>
      </c>
      <c r="N1601">
        <v>7297.98</v>
      </c>
      <c r="O1601">
        <v>20.170000000000002</v>
      </c>
      <c r="P1601">
        <v>0.94</v>
      </c>
      <c r="Q1601">
        <v>584</v>
      </c>
      <c r="R1601">
        <v>0.41</v>
      </c>
      <c r="S1601" t="s">
        <v>27</v>
      </c>
      <c r="T1601" s="1">
        <v>44614</v>
      </c>
      <c r="U1601">
        <v>1</v>
      </c>
    </row>
    <row r="1602" spans="1:21" x14ac:dyDescent="0.25">
      <c r="A1602" t="s">
        <v>1649</v>
      </c>
      <c r="B1602">
        <v>37</v>
      </c>
      <c r="C1602" t="s">
        <v>30</v>
      </c>
      <c r="D1602" t="s">
        <v>35</v>
      </c>
      <c r="E1602" t="s">
        <v>31</v>
      </c>
      <c r="F1602" t="s">
        <v>23</v>
      </c>
      <c r="G1602">
        <v>6373.08</v>
      </c>
      <c r="H1602">
        <v>4582.4399999999996</v>
      </c>
      <c r="I1602">
        <v>55398.97</v>
      </c>
      <c r="J1602" t="s">
        <v>25</v>
      </c>
      <c r="K1602" t="s">
        <v>54</v>
      </c>
      <c r="L1602">
        <v>434509.55</v>
      </c>
      <c r="M1602">
        <v>360</v>
      </c>
      <c r="N1602">
        <v>10126.61</v>
      </c>
      <c r="O1602">
        <v>27.96</v>
      </c>
      <c r="P1602">
        <v>1.59</v>
      </c>
      <c r="Q1602">
        <v>401</v>
      </c>
      <c r="R1602">
        <v>0.72</v>
      </c>
      <c r="S1602" t="s">
        <v>47</v>
      </c>
      <c r="T1602" s="1">
        <v>45222</v>
      </c>
      <c r="U1602">
        <v>1</v>
      </c>
    </row>
    <row r="1603" spans="1:21" x14ac:dyDescent="0.25">
      <c r="A1603" t="s">
        <v>1650</v>
      </c>
      <c r="B1603">
        <v>38</v>
      </c>
      <c r="C1603" t="s">
        <v>29</v>
      </c>
      <c r="D1603" t="s">
        <v>41</v>
      </c>
      <c r="E1603" t="s">
        <v>31</v>
      </c>
      <c r="F1603" t="s">
        <v>42</v>
      </c>
      <c r="G1603">
        <v>6428.41</v>
      </c>
      <c r="H1603">
        <v>3041.23</v>
      </c>
      <c r="I1603">
        <v>64731.66</v>
      </c>
      <c r="J1603" t="s">
        <v>37</v>
      </c>
      <c r="K1603" t="s">
        <v>38</v>
      </c>
      <c r="L1603">
        <v>0</v>
      </c>
      <c r="M1603">
        <v>0</v>
      </c>
      <c r="N1603">
        <v>0</v>
      </c>
      <c r="O1603">
        <v>0</v>
      </c>
      <c r="P1603">
        <v>0</v>
      </c>
      <c r="Q1603">
        <v>599</v>
      </c>
      <c r="R1603">
        <v>0.84</v>
      </c>
      <c r="S1603" t="s">
        <v>72</v>
      </c>
      <c r="T1603" s="1">
        <v>45094</v>
      </c>
      <c r="U1603">
        <v>0</v>
      </c>
    </row>
    <row r="1604" spans="1:21" x14ac:dyDescent="0.25">
      <c r="A1604" t="s">
        <v>1651</v>
      </c>
      <c r="B1604">
        <v>33</v>
      </c>
      <c r="C1604" t="s">
        <v>29</v>
      </c>
      <c r="D1604" t="s">
        <v>56</v>
      </c>
      <c r="E1604" t="s">
        <v>31</v>
      </c>
      <c r="F1604" t="s">
        <v>63</v>
      </c>
      <c r="G1604">
        <v>3882.13</v>
      </c>
      <c r="H1604">
        <v>3205.91</v>
      </c>
      <c r="I1604">
        <v>37230.68</v>
      </c>
      <c r="J1604" t="s">
        <v>37</v>
      </c>
      <c r="K1604" t="s">
        <v>38</v>
      </c>
      <c r="L1604">
        <v>0</v>
      </c>
      <c r="M1604">
        <v>0</v>
      </c>
      <c r="N1604">
        <v>0</v>
      </c>
      <c r="O1604">
        <v>0</v>
      </c>
      <c r="P1604">
        <v>0</v>
      </c>
      <c r="Q1604">
        <v>484</v>
      </c>
      <c r="R1604">
        <v>0.8</v>
      </c>
      <c r="S1604" t="s">
        <v>72</v>
      </c>
      <c r="T1604" s="1">
        <v>45842</v>
      </c>
      <c r="U1604">
        <v>0</v>
      </c>
    </row>
    <row r="1605" spans="1:21" x14ac:dyDescent="0.25">
      <c r="A1605" t="s">
        <v>1652</v>
      </c>
      <c r="B1605">
        <v>69</v>
      </c>
      <c r="C1605" t="s">
        <v>29</v>
      </c>
      <c r="D1605" t="s">
        <v>41</v>
      </c>
      <c r="E1605" t="s">
        <v>31</v>
      </c>
      <c r="F1605" t="s">
        <v>63</v>
      </c>
      <c r="G1605">
        <v>4823.53</v>
      </c>
      <c r="H1605">
        <v>4283.37</v>
      </c>
      <c r="I1605">
        <v>46650.66</v>
      </c>
      <c r="J1605" t="s">
        <v>37</v>
      </c>
      <c r="K1605" t="s">
        <v>38</v>
      </c>
      <c r="L1605">
        <v>0</v>
      </c>
      <c r="M1605">
        <v>0</v>
      </c>
      <c r="N1605">
        <v>0</v>
      </c>
      <c r="O1605">
        <v>0</v>
      </c>
      <c r="P1605">
        <v>0</v>
      </c>
      <c r="Q1605">
        <v>660</v>
      </c>
      <c r="R1605">
        <v>0.81</v>
      </c>
      <c r="S1605" t="s">
        <v>72</v>
      </c>
      <c r="T1605" s="1">
        <v>44626</v>
      </c>
      <c r="U1605">
        <v>0</v>
      </c>
    </row>
    <row r="1606" spans="1:21" x14ac:dyDescent="0.25">
      <c r="A1606" t="s">
        <v>1653</v>
      </c>
      <c r="B1606">
        <v>27</v>
      </c>
      <c r="C1606" t="s">
        <v>29</v>
      </c>
      <c r="D1606" t="s">
        <v>22</v>
      </c>
      <c r="E1606" t="s">
        <v>31</v>
      </c>
      <c r="F1606" t="s">
        <v>24</v>
      </c>
      <c r="G1606">
        <v>2980.29</v>
      </c>
      <c r="H1606">
        <v>2527.66</v>
      </c>
      <c r="I1606">
        <v>35103.440000000002</v>
      </c>
      <c r="J1606" t="s">
        <v>37</v>
      </c>
      <c r="K1606" t="s">
        <v>38</v>
      </c>
      <c r="L1606">
        <v>0</v>
      </c>
      <c r="M1606">
        <v>0</v>
      </c>
      <c r="N1606">
        <v>0</v>
      </c>
      <c r="O1606">
        <v>0</v>
      </c>
      <c r="P1606">
        <v>0</v>
      </c>
      <c r="Q1606">
        <v>719</v>
      </c>
      <c r="R1606">
        <v>0.98</v>
      </c>
      <c r="S1606" t="s">
        <v>72</v>
      </c>
      <c r="T1606" s="1">
        <v>44553</v>
      </c>
      <c r="U1606">
        <v>0</v>
      </c>
    </row>
    <row r="1607" spans="1:21" x14ac:dyDescent="0.25">
      <c r="A1607" t="s">
        <v>1654</v>
      </c>
      <c r="B1607">
        <v>69</v>
      </c>
      <c r="C1607" t="s">
        <v>30</v>
      </c>
      <c r="D1607" t="s">
        <v>35</v>
      </c>
      <c r="E1607" t="s">
        <v>31</v>
      </c>
      <c r="F1607" t="s">
        <v>36</v>
      </c>
      <c r="G1607">
        <v>2366.48</v>
      </c>
      <c r="H1607">
        <v>1901.37</v>
      </c>
      <c r="I1607">
        <v>12301.05</v>
      </c>
      <c r="J1607" t="s">
        <v>25</v>
      </c>
      <c r="K1607" t="s">
        <v>33</v>
      </c>
      <c r="L1607">
        <v>472498.48</v>
      </c>
      <c r="M1607">
        <v>240</v>
      </c>
      <c r="N1607">
        <v>2779.31</v>
      </c>
      <c r="O1607">
        <v>3.66</v>
      </c>
      <c r="P1607">
        <v>1.17</v>
      </c>
      <c r="Q1607">
        <v>526</v>
      </c>
      <c r="R1607">
        <v>0.43</v>
      </c>
      <c r="S1607" t="s">
        <v>72</v>
      </c>
      <c r="T1607" s="1">
        <v>45646</v>
      </c>
      <c r="U1607">
        <v>1</v>
      </c>
    </row>
    <row r="1608" spans="1:21" x14ac:dyDescent="0.25">
      <c r="A1608" t="s">
        <v>1655</v>
      </c>
      <c r="B1608">
        <v>40</v>
      </c>
      <c r="C1608" t="s">
        <v>21</v>
      </c>
      <c r="D1608" t="s">
        <v>41</v>
      </c>
      <c r="E1608" t="s">
        <v>49</v>
      </c>
      <c r="F1608" t="s">
        <v>63</v>
      </c>
      <c r="G1608">
        <v>4017.51</v>
      </c>
      <c r="H1608">
        <v>2584.3000000000002</v>
      </c>
      <c r="I1608">
        <v>41276.19</v>
      </c>
      <c r="J1608" t="s">
        <v>25</v>
      </c>
      <c r="K1608" t="s">
        <v>45</v>
      </c>
      <c r="L1608">
        <v>494244.67</v>
      </c>
      <c r="M1608">
        <v>240</v>
      </c>
      <c r="N1608">
        <v>5981.61</v>
      </c>
      <c r="O1608">
        <v>13.54</v>
      </c>
      <c r="P1608">
        <v>1.49</v>
      </c>
      <c r="Q1608">
        <v>641</v>
      </c>
      <c r="R1608">
        <v>0.86</v>
      </c>
      <c r="S1608" t="s">
        <v>39</v>
      </c>
      <c r="T1608" s="1">
        <v>45282</v>
      </c>
      <c r="U1608">
        <v>1</v>
      </c>
    </row>
    <row r="1609" spans="1:21" x14ac:dyDescent="0.25">
      <c r="A1609" t="s">
        <v>1656</v>
      </c>
      <c r="B1609">
        <v>64</v>
      </c>
      <c r="C1609" t="s">
        <v>29</v>
      </c>
      <c r="D1609" t="s">
        <v>56</v>
      </c>
      <c r="E1609" t="s">
        <v>23</v>
      </c>
      <c r="F1609" t="s">
        <v>49</v>
      </c>
      <c r="G1609">
        <v>2418.1</v>
      </c>
      <c r="H1609">
        <v>1943.27</v>
      </c>
      <c r="I1609">
        <v>9515.92</v>
      </c>
      <c r="J1609" t="s">
        <v>25</v>
      </c>
      <c r="K1609" t="s">
        <v>54</v>
      </c>
      <c r="L1609">
        <v>218695.88</v>
      </c>
      <c r="M1609">
        <v>300</v>
      </c>
      <c r="N1609">
        <v>3924.94</v>
      </c>
      <c r="O1609">
        <v>21.43</v>
      </c>
      <c r="P1609">
        <v>1.62</v>
      </c>
      <c r="Q1609">
        <v>501</v>
      </c>
      <c r="R1609">
        <v>0.33</v>
      </c>
      <c r="S1609" t="s">
        <v>72</v>
      </c>
      <c r="T1609" s="1">
        <v>45515</v>
      </c>
      <c r="U1609">
        <v>1</v>
      </c>
    </row>
    <row r="1610" spans="1:21" x14ac:dyDescent="0.25">
      <c r="A1610" t="s">
        <v>1657</v>
      </c>
      <c r="B1610">
        <v>31</v>
      </c>
      <c r="C1610" t="s">
        <v>29</v>
      </c>
      <c r="D1610" t="s">
        <v>35</v>
      </c>
      <c r="E1610" t="s">
        <v>31</v>
      </c>
      <c r="F1610" t="s">
        <v>63</v>
      </c>
      <c r="G1610">
        <v>5136.2299999999996</v>
      </c>
      <c r="H1610">
        <v>3300.95</v>
      </c>
      <c r="I1610">
        <v>41262.86</v>
      </c>
      <c r="J1610" t="s">
        <v>37</v>
      </c>
      <c r="K1610" t="s">
        <v>38</v>
      </c>
      <c r="L1610">
        <v>0</v>
      </c>
      <c r="M1610">
        <v>0</v>
      </c>
      <c r="N1610">
        <v>0</v>
      </c>
      <c r="O1610">
        <v>0</v>
      </c>
      <c r="P1610">
        <v>0</v>
      </c>
      <c r="Q1610">
        <v>556</v>
      </c>
      <c r="R1610">
        <v>0.67</v>
      </c>
      <c r="S1610" t="s">
        <v>72</v>
      </c>
      <c r="T1610" s="1">
        <v>45718</v>
      </c>
      <c r="U1610">
        <v>0</v>
      </c>
    </row>
    <row r="1611" spans="1:21" x14ac:dyDescent="0.25">
      <c r="A1611" t="s">
        <v>1658</v>
      </c>
      <c r="B1611">
        <v>61</v>
      </c>
      <c r="C1611" t="s">
        <v>21</v>
      </c>
      <c r="D1611" t="s">
        <v>35</v>
      </c>
      <c r="E1611" t="s">
        <v>31</v>
      </c>
      <c r="F1611" t="s">
        <v>49</v>
      </c>
      <c r="G1611">
        <v>8038.19</v>
      </c>
      <c r="H1611">
        <v>6312.6</v>
      </c>
      <c r="I1611">
        <v>25818.92</v>
      </c>
      <c r="J1611" t="s">
        <v>37</v>
      </c>
      <c r="K1611" t="s">
        <v>38</v>
      </c>
      <c r="L1611">
        <v>0</v>
      </c>
      <c r="M1611">
        <v>0</v>
      </c>
      <c r="N1611">
        <v>0</v>
      </c>
      <c r="O1611">
        <v>0</v>
      </c>
      <c r="P1611">
        <v>0</v>
      </c>
      <c r="Q1611">
        <v>799</v>
      </c>
      <c r="R1611">
        <v>0.27</v>
      </c>
      <c r="S1611" t="s">
        <v>39</v>
      </c>
      <c r="T1611" s="1">
        <v>45081</v>
      </c>
      <c r="U1611">
        <v>0</v>
      </c>
    </row>
    <row r="1612" spans="1:21" x14ac:dyDescent="0.25">
      <c r="A1612" t="s">
        <v>1659</v>
      </c>
      <c r="B1612">
        <v>46</v>
      </c>
      <c r="C1612" t="s">
        <v>29</v>
      </c>
      <c r="D1612" t="s">
        <v>41</v>
      </c>
      <c r="E1612" t="s">
        <v>49</v>
      </c>
      <c r="F1612" t="s">
        <v>42</v>
      </c>
      <c r="G1612">
        <v>5135.8100000000004</v>
      </c>
      <c r="H1612">
        <v>1645.92</v>
      </c>
      <c r="I1612">
        <v>47785.55</v>
      </c>
      <c r="J1612" t="s">
        <v>37</v>
      </c>
      <c r="K1612" t="s">
        <v>38</v>
      </c>
      <c r="L1612">
        <v>0</v>
      </c>
      <c r="M1612">
        <v>0</v>
      </c>
      <c r="N1612">
        <v>0</v>
      </c>
      <c r="O1612">
        <v>0</v>
      </c>
      <c r="P1612">
        <v>0</v>
      </c>
      <c r="Q1612">
        <v>433</v>
      </c>
      <c r="R1612">
        <v>0.78</v>
      </c>
      <c r="S1612" t="s">
        <v>27</v>
      </c>
      <c r="T1612" s="1">
        <v>44729</v>
      </c>
      <c r="U1612">
        <v>0</v>
      </c>
    </row>
    <row r="1613" spans="1:21" x14ac:dyDescent="0.25">
      <c r="A1613" t="s">
        <v>1660</v>
      </c>
      <c r="B1613">
        <v>50</v>
      </c>
      <c r="C1613" t="s">
        <v>29</v>
      </c>
      <c r="D1613" t="s">
        <v>41</v>
      </c>
      <c r="E1613" t="s">
        <v>31</v>
      </c>
      <c r="F1613" t="s">
        <v>63</v>
      </c>
      <c r="G1613">
        <v>1747.67</v>
      </c>
      <c r="H1613">
        <v>1560.73</v>
      </c>
      <c r="I1613">
        <v>7066.4</v>
      </c>
      <c r="J1613" t="s">
        <v>37</v>
      </c>
      <c r="K1613" t="s">
        <v>38</v>
      </c>
      <c r="L1613">
        <v>0</v>
      </c>
      <c r="M1613">
        <v>0</v>
      </c>
      <c r="N1613">
        <v>0</v>
      </c>
      <c r="O1613">
        <v>0</v>
      </c>
      <c r="P1613">
        <v>0</v>
      </c>
      <c r="Q1613">
        <v>713</v>
      </c>
      <c r="R1613">
        <v>0.34</v>
      </c>
      <c r="S1613" t="s">
        <v>30</v>
      </c>
      <c r="T1613" s="1">
        <v>45183</v>
      </c>
      <c r="U1613">
        <v>0</v>
      </c>
    </row>
    <row r="1614" spans="1:21" x14ac:dyDescent="0.25">
      <c r="A1614" t="s">
        <v>1661</v>
      </c>
      <c r="B1614">
        <v>23</v>
      </c>
      <c r="C1614" t="s">
        <v>21</v>
      </c>
      <c r="D1614" t="s">
        <v>41</v>
      </c>
      <c r="E1614" t="s">
        <v>31</v>
      </c>
      <c r="F1614" t="s">
        <v>52</v>
      </c>
      <c r="G1614">
        <v>8423.0300000000007</v>
      </c>
      <c r="H1614">
        <v>3740.06</v>
      </c>
      <c r="I1614">
        <v>41515.24</v>
      </c>
      <c r="J1614" t="s">
        <v>25</v>
      </c>
      <c r="K1614" t="s">
        <v>45</v>
      </c>
      <c r="L1614">
        <v>472502.12</v>
      </c>
      <c r="M1614">
        <v>36</v>
      </c>
      <c r="N1614">
        <v>15563.26</v>
      </c>
      <c r="O1614">
        <v>11.42</v>
      </c>
      <c r="P1614">
        <v>1.85</v>
      </c>
      <c r="Q1614">
        <v>325</v>
      </c>
      <c r="R1614">
        <v>0.41</v>
      </c>
      <c r="S1614" t="s">
        <v>39</v>
      </c>
      <c r="T1614" s="1">
        <v>44853</v>
      </c>
      <c r="U1614">
        <v>1</v>
      </c>
    </row>
    <row r="1615" spans="1:21" x14ac:dyDescent="0.25">
      <c r="A1615" t="s">
        <v>1662</v>
      </c>
      <c r="B1615">
        <v>58</v>
      </c>
      <c r="C1615" t="s">
        <v>21</v>
      </c>
      <c r="D1615" t="s">
        <v>41</v>
      </c>
      <c r="E1615" t="s">
        <v>31</v>
      </c>
      <c r="F1615" t="s">
        <v>44</v>
      </c>
      <c r="G1615">
        <v>4742.87</v>
      </c>
      <c r="H1615">
        <v>3395.26</v>
      </c>
      <c r="I1615">
        <v>51833.25</v>
      </c>
      <c r="J1615" t="s">
        <v>25</v>
      </c>
      <c r="K1615" t="s">
        <v>26</v>
      </c>
      <c r="L1615">
        <v>375049.14</v>
      </c>
      <c r="M1615">
        <v>300</v>
      </c>
      <c r="N1615">
        <v>2810.73</v>
      </c>
      <c r="O1615">
        <v>7.66</v>
      </c>
      <c r="P1615">
        <v>0.59</v>
      </c>
      <c r="Q1615">
        <v>538</v>
      </c>
      <c r="R1615">
        <v>0.91</v>
      </c>
      <c r="S1615" t="s">
        <v>30</v>
      </c>
      <c r="T1615" s="1">
        <v>45263</v>
      </c>
      <c r="U1615">
        <v>1</v>
      </c>
    </row>
    <row r="1616" spans="1:21" x14ac:dyDescent="0.25">
      <c r="A1616" t="s">
        <v>1663</v>
      </c>
      <c r="B1616">
        <v>51</v>
      </c>
      <c r="C1616" t="s">
        <v>21</v>
      </c>
      <c r="D1616" t="s">
        <v>41</v>
      </c>
      <c r="E1616" t="s">
        <v>31</v>
      </c>
      <c r="F1616" t="s">
        <v>36</v>
      </c>
      <c r="G1616">
        <v>6584.21</v>
      </c>
      <c r="H1616">
        <v>3190.01</v>
      </c>
      <c r="I1616">
        <v>65953.86</v>
      </c>
      <c r="J1616" t="s">
        <v>37</v>
      </c>
      <c r="K1616" t="s">
        <v>38</v>
      </c>
      <c r="L1616">
        <v>0</v>
      </c>
      <c r="M1616">
        <v>0</v>
      </c>
      <c r="N1616">
        <v>0</v>
      </c>
      <c r="O1616">
        <v>0</v>
      </c>
      <c r="P1616">
        <v>0</v>
      </c>
      <c r="Q1616">
        <v>317</v>
      </c>
      <c r="R1616">
        <v>0.83</v>
      </c>
      <c r="S1616" t="s">
        <v>72</v>
      </c>
      <c r="T1616" s="1">
        <v>44682</v>
      </c>
      <c r="U1616">
        <v>0</v>
      </c>
    </row>
    <row r="1617" spans="1:21" x14ac:dyDescent="0.25">
      <c r="A1617" t="s">
        <v>1664</v>
      </c>
      <c r="B1617">
        <v>51</v>
      </c>
      <c r="C1617" t="s">
        <v>29</v>
      </c>
      <c r="D1617" t="s">
        <v>56</v>
      </c>
      <c r="E1617" t="s">
        <v>51</v>
      </c>
      <c r="F1617" t="s">
        <v>24</v>
      </c>
      <c r="G1617">
        <v>4674.5600000000004</v>
      </c>
      <c r="H1617">
        <v>1938.46</v>
      </c>
      <c r="I1617">
        <v>31885.54</v>
      </c>
      <c r="J1617" t="s">
        <v>37</v>
      </c>
      <c r="K1617" t="s">
        <v>38</v>
      </c>
      <c r="L1617">
        <v>0</v>
      </c>
      <c r="M1617">
        <v>0</v>
      </c>
      <c r="N1617">
        <v>0</v>
      </c>
      <c r="O1617">
        <v>0</v>
      </c>
      <c r="P1617">
        <v>0</v>
      </c>
      <c r="Q1617">
        <v>394</v>
      </c>
      <c r="R1617">
        <v>0.56999999999999995</v>
      </c>
      <c r="S1617" t="s">
        <v>47</v>
      </c>
      <c r="T1617" s="1">
        <v>45194</v>
      </c>
      <c r="U1617">
        <v>0</v>
      </c>
    </row>
    <row r="1618" spans="1:21" x14ac:dyDescent="0.25">
      <c r="A1618" t="s">
        <v>1665</v>
      </c>
      <c r="B1618">
        <v>68</v>
      </c>
      <c r="C1618" t="s">
        <v>21</v>
      </c>
      <c r="D1618" t="s">
        <v>22</v>
      </c>
      <c r="E1618" t="s">
        <v>51</v>
      </c>
      <c r="F1618" t="s">
        <v>44</v>
      </c>
      <c r="G1618">
        <v>3417.82</v>
      </c>
      <c r="H1618">
        <v>1891.3</v>
      </c>
      <c r="I1618">
        <v>13403.83</v>
      </c>
      <c r="J1618" t="s">
        <v>37</v>
      </c>
      <c r="K1618" t="s">
        <v>38</v>
      </c>
      <c r="L1618">
        <v>0</v>
      </c>
      <c r="M1618">
        <v>0</v>
      </c>
      <c r="N1618">
        <v>0</v>
      </c>
      <c r="O1618">
        <v>0</v>
      </c>
      <c r="P1618">
        <v>0</v>
      </c>
      <c r="Q1618">
        <v>737</v>
      </c>
      <c r="R1618">
        <v>0.33</v>
      </c>
      <c r="S1618" t="s">
        <v>27</v>
      </c>
      <c r="T1618" s="1">
        <v>45681</v>
      </c>
      <c r="U1618">
        <v>0</v>
      </c>
    </row>
    <row r="1619" spans="1:21" x14ac:dyDescent="0.25">
      <c r="A1619" t="s">
        <v>1666</v>
      </c>
      <c r="B1619">
        <v>28</v>
      </c>
      <c r="C1619" t="s">
        <v>29</v>
      </c>
      <c r="D1619" t="s">
        <v>35</v>
      </c>
      <c r="E1619" t="s">
        <v>31</v>
      </c>
      <c r="F1619" t="s">
        <v>44</v>
      </c>
      <c r="G1619">
        <v>6888.11</v>
      </c>
      <c r="H1619">
        <v>5056.29</v>
      </c>
      <c r="I1619">
        <v>23985.77</v>
      </c>
      <c r="J1619" t="s">
        <v>37</v>
      </c>
      <c r="K1619" t="s">
        <v>38</v>
      </c>
      <c r="L1619">
        <v>0</v>
      </c>
      <c r="M1619">
        <v>0</v>
      </c>
      <c r="N1619">
        <v>0</v>
      </c>
      <c r="O1619">
        <v>0</v>
      </c>
      <c r="P1619">
        <v>0</v>
      </c>
      <c r="Q1619">
        <v>572</v>
      </c>
      <c r="R1619">
        <v>0.28999999999999998</v>
      </c>
      <c r="S1619" t="s">
        <v>72</v>
      </c>
      <c r="T1619" s="1">
        <v>45386</v>
      </c>
      <c r="U1619">
        <v>0</v>
      </c>
    </row>
    <row r="1620" spans="1:21" x14ac:dyDescent="0.25">
      <c r="A1620" t="s">
        <v>1667</v>
      </c>
      <c r="B1620">
        <v>68</v>
      </c>
      <c r="C1620" t="s">
        <v>29</v>
      </c>
      <c r="D1620" t="s">
        <v>22</v>
      </c>
      <c r="E1620" t="s">
        <v>51</v>
      </c>
      <c r="F1620" t="s">
        <v>23</v>
      </c>
      <c r="G1620">
        <v>3242.53</v>
      </c>
      <c r="H1620">
        <v>2367.9299999999998</v>
      </c>
      <c r="I1620">
        <v>18047.29</v>
      </c>
      <c r="J1620" t="s">
        <v>37</v>
      </c>
      <c r="K1620" t="s">
        <v>38</v>
      </c>
      <c r="L1620">
        <v>0</v>
      </c>
      <c r="M1620">
        <v>0</v>
      </c>
      <c r="N1620">
        <v>0</v>
      </c>
      <c r="O1620">
        <v>0</v>
      </c>
      <c r="P1620">
        <v>0</v>
      </c>
      <c r="Q1620">
        <v>373</v>
      </c>
      <c r="R1620">
        <v>0.46</v>
      </c>
      <c r="S1620" t="s">
        <v>27</v>
      </c>
      <c r="T1620" s="1">
        <v>45712</v>
      </c>
      <c r="U1620">
        <v>0</v>
      </c>
    </row>
    <row r="1621" spans="1:21" x14ac:dyDescent="0.25">
      <c r="A1621" t="s">
        <v>1668</v>
      </c>
      <c r="B1621">
        <v>49</v>
      </c>
      <c r="C1621" t="s">
        <v>29</v>
      </c>
      <c r="D1621" t="s">
        <v>35</v>
      </c>
      <c r="E1621" t="s">
        <v>31</v>
      </c>
      <c r="F1621" t="s">
        <v>63</v>
      </c>
      <c r="G1621">
        <v>4467.57</v>
      </c>
      <c r="H1621">
        <v>2395.5500000000002</v>
      </c>
      <c r="I1621">
        <v>45473.14</v>
      </c>
      <c r="J1621" t="s">
        <v>25</v>
      </c>
      <c r="K1621" t="s">
        <v>45</v>
      </c>
      <c r="L1621">
        <v>190332.9</v>
      </c>
      <c r="M1621">
        <v>36</v>
      </c>
      <c r="N1621">
        <v>7818.45</v>
      </c>
      <c r="O1621">
        <v>27.47</v>
      </c>
      <c r="P1621">
        <v>1.75</v>
      </c>
      <c r="Q1621">
        <v>696</v>
      </c>
      <c r="R1621">
        <v>0.85</v>
      </c>
      <c r="S1621" t="s">
        <v>27</v>
      </c>
      <c r="T1621" s="1">
        <v>45100</v>
      </c>
      <c r="U1621">
        <v>1</v>
      </c>
    </row>
    <row r="1622" spans="1:21" x14ac:dyDescent="0.25">
      <c r="A1622" t="s">
        <v>1669</v>
      </c>
      <c r="B1622">
        <v>22</v>
      </c>
      <c r="C1622" t="s">
        <v>29</v>
      </c>
      <c r="D1622" t="s">
        <v>41</v>
      </c>
      <c r="E1622" t="s">
        <v>31</v>
      </c>
      <c r="F1622" t="s">
        <v>23</v>
      </c>
      <c r="G1622">
        <v>2108.9</v>
      </c>
      <c r="H1622">
        <v>1091.1199999999999</v>
      </c>
      <c r="I1622">
        <v>19735.03</v>
      </c>
      <c r="J1622" t="s">
        <v>25</v>
      </c>
      <c r="K1622" t="s">
        <v>26</v>
      </c>
      <c r="L1622">
        <v>200518.74</v>
      </c>
      <c r="M1622">
        <v>240</v>
      </c>
      <c r="N1622">
        <v>3585.14</v>
      </c>
      <c r="O1622">
        <v>21.13</v>
      </c>
      <c r="P1622">
        <v>1.7</v>
      </c>
      <c r="Q1622">
        <v>789</v>
      </c>
      <c r="R1622">
        <v>0.78</v>
      </c>
      <c r="S1622" t="s">
        <v>72</v>
      </c>
      <c r="T1622" s="1">
        <v>45492</v>
      </c>
      <c r="U1622">
        <v>1</v>
      </c>
    </row>
    <row r="1623" spans="1:21" x14ac:dyDescent="0.25">
      <c r="A1623" t="s">
        <v>1670</v>
      </c>
      <c r="B1623">
        <v>52</v>
      </c>
      <c r="C1623" t="s">
        <v>29</v>
      </c>
      <c r="D1623" t="s">
        <v>35</v>
      </c>
      <c r="E1623" t="s">
        <v>31</v>
      </c>
      <c r="F1623" t="s">
        <v>42</v>
      </c>
      <c r="G1623">
        <v>5550.6</v>
      </c>
      <c r="H1623">
        <v>4145</v>
      </c>
      <c r="I1623">
        <v>23721.06</v>
      </c>
      <c r="J1623" t="s">
        <v>37</v>
      </c>
      <c r="K1623" t="s">
        <v>38</v>
      </c>
      <c r="L1623">
        <v>0</v>
      </c>
      <c r="M1623">
        <v>0</v>
      </c>
      <c r="N1623">
        <v>0</v>
      </c>
      <c r="O1623">
        <v>0</v>
      </c>
      <c r="P1623">
        <v>0</v>
      </c>
      <c r="Q1623">
        <v>769</v>
      </c>
      <c r="R1623">
        <v>0.36</v>
      </c>
      <c r="S1623" t="s">
        <v>39</v>
      </c>
      <c r="T1623" s="1">
        <v>44950</v>
      </c>
      <c r="U1623">
        <v>0</v>
      </c>
    </row>
    <row r="1624" spans="1:21" x14ac:dyDescent="0.25">
      <c r="A1624" t="s">
        <v>1671</v>
      </c>
      <c r="B1624">
        <v>33</v>
      </c>
      <c r="C1624" t="s">
        <v>29</v>
      </c>
      <c r="D1624" t="s">
        <v>35</v>
      </c>
      <c r="E1624" t="s">
        <v>51</v>
      </c>
      <c r="F1624" t="s">
        <v>44</v>
      </c>
      <c r="G1624">
        <v>5021.6899999999996</v>
      </c>
      <c r="H1624">
        <v>2958.06</v>
      </c>
      <c r="I1624">
        <v>26092.28</v>
      </c>
      <c r="J1624" t="s">
        <v>37</v>
      </c>
      <c r="K1624" t="s">
        <v>38</v>
      </c>
      <c r="L1624">
        <v>0</v>
      </c>
      <c r="M1624">
        <v>0</v>
      </c>
      <c r="N1624">
        <v>0</v>
      </c>
      <c r="O1624">
        <v>0</v>
      </c>
      <c r="P1624">
        <v>0</v>
      </c>
      <c r="Q1624">
        <v>554</v>
      </c>
      <c r="R1624">
        <v>0.43</v>
      </c>
      <c r="S1624" t="s">
        <v>72</v>
      </c>
      <c r="T1624" s="1">
        <v>45560</v>
      </c>
      <c r="U1624">
        <v>0</v>
      </c>
    </row>
    <row r="1625" spans="1:21" x14ac:dyDescent="0.25">
      <c r="A1625" t="s">
        <v>1672</v>
      </c>
      <c r="B1625">
        <v>18</v>
      </c>
      <c r="C1625" t="s">
        <v>29</v>
      </c>
      <c r="D1625" t="s">
        <v>35</v>
      </c>
      <c r="E1625" t="s">
        <v>51</v>
      </c>
      <c r="F1625" t="s">
        <v>24</v>
      </c>
      <c r="G1625">
        <v>3004.22</v>
      </c>
      <c r="H1625">
        <v>2569.48</v>
      </c>
      <c r="I1625">
        <v>32534.2</v>
      </c>
      <c r="J1625" t="s">
        <v>25</v>
      </c>
      <c r="K1625" t="s">
        <v>45</v>
      </c>
      <c r="L1625">
        <v>79644.41</v>
      </c>
      <c r="M1625">
        <v>36</v>
      </c>
      <c r="N1625">
        <v>2998.56</v>
      </c>
      <c r="O1625">
        <v>20.95</v>
      </c>
      <c r="P1625">
        <v>1</v>
      </c>
      <c r="Q1625">
        <v>709</v>
      </c>
      <c r="R1625">
        <v>0.9</v>
      </c>
      <c r="S1625" t="s">
        <v>72</v>
      </c>
      <c r="T1625" s="1">
        <v>44870</v>
      </c>
      <c r="U1625">
        <v>1</v>
      </c>
    </row>
    <row r="1626" spans="1:21" x14ac:dyDescent="0.25">
      <c r="A1626" t="s">
        <v>1673</v>
      </c>
      <c r="B1626">
        <v>60</v>
      </c>
      <c r="C1626" t="s">
        <v>21</v>
      </c>
      <c r="D1626" t="s">
        <v>22</v>
      </c>
      <c r="E1626" t="s">
        <v>51</v>
      </c>
      <c r="F1626" t="s">
        <v>44</v>
      </c>
      <c r="G1626">
        <v>7048.28</v>
      </c>
      <c r="H1626">
        <v>5083.1000000000004</v>
      </c>
      <c r="I1626">
        <v>42654.57</v>
      </c>
      <c r="J1626" t="s">
        <v>37</v>
      </c>
      <c r="K1626" t="s">
        <v>38</v>
      </c>
      <c r="L1626">
        <v>0</v>
      </c>
      <c r="M1626">
        <v>0</v>
      </c>
      <c r="N1626">
        <v>0</v>
      </c>
      <c r="O1626">
        <v>0</v>
      </c>
      <c r="P1626">
        <v>0</v>
      </c>
      <c r="Q1626">
        <v>566</v>
      </c>
      <c r="R1626">
        <v>0.5</v>
      </c>
      <c r="S1626" t="s">
        <v>27</v>
      </c>
      <c r="T1626" s="1">
        <v>45533</v>
      </c>
      <c r="U1626">
        <v>0</v>
      </c>
    </row>
    <row r="1627" spans="1:21" x14ac:dyDescent="0.25">
      <c r="A1627" t="s">
        <v>1674</v>
      </c>
      <c r="B1627">
        <v>53</v>
      </c>
      <c r="C1627" t="s">
        <v>21</v>
      </c>
      <c r="D1627" t="s">
        <v>41</v>
      </c>
      <c r="E1627" t="s">
        <v>51</v>
      </c>
      <c r="F1627" t="s">
        <v>42</v>
      </c>
      <c r="G1627">
        <v>6690.15</v>
      </c>
      <c r="H1627">
        <v>2907.59</v>
      </c>
      <c r="I1627">
        <v>20732.78</v>
      </c>
      <c r="J1627" t="s">
        <v>25</v>
      </c>
      <c r="K1627" t="s">
        <v>26</v>
      </c>
      <c r="L1627">
        <v>27725.94</v>
      </c>
      <c r="M1627">
        <v>180</v>
      </c>
      <c r="N1627">
        <v>648.74</v>
      </c>
      <c r="O1627">
        <v>27.61</v>
      </c>
      <c r="P1627">
        <v>0.1</v>
      </c>
      <c r="Q1627">
        <v>565</v>
      </c>
      <c r="R1627">
        <v>0.26</v>
      </c>
      <c r="S1627" t="s">
        <v>47</v>
      </c>
      <c r="T1627" s="1">
        <v>44557</v>
      </c>
      <c r="U1627">
        <v>0</v>
      </c>
    </row>
    <row r="1628" spans="1:21" x14ac:dyDescent="0.25">
      <c r="A1628" t="s">
        <v>1675</v>
      </c>
      <c r="B1628">
        <v>28</v>
      </c>
      <c r="C1628" t="s">
        <v>21</v>
      </c>
      <c r="D1628" t="s">
        <v>35</v>
      </c>
      <c r="E1628" t="s">
        <v>31</v>
      </c>
      <c r="F1628" t="s">
        <v>63</v>
      </c>
      <c r="G1628">
        <v>3246.88</v>
      </c>
      <c r="H1628">
        <v>1177.93</v>
      </c>
      <c r="I1628">
        <v>8520.68</v>
      </c>
      <c r="J1628" t="s">
        <v>37</v>
      </c>
      <c r="K1628" t="s">
        <v>38</v>
      </c>
      <c r="L1628">
        <v>0</v>
      </c>
      <c r="M1628">
        <v>0</v>
      </c>
      <c r="N1628">
        <v>0</v>
      </c>
      <c r="O1628">
        <v>0</v>
      </c>
      <c r="P1628">
        <v>0</v>
      </c>
      <c r="Q1628">
        <v>308</v>
      </c>
      <c r="R1628">
        <v>0.22</v>
      </c>
      <c r="S1628" t="s">
        <v>72</v>
      </c>
      <c r="T1628" s="1">
        <v>44562</v>
      </c>
      <c r="U1628">
        <v>0</v>
      </c>
    </row>
    <row r="1629" spans="1:21" x14ac:dyDescent="0.25">
      <c r="A1629" t="s">
        <v>1676</v>
      </c>
      <c r="B1629">
        <v>40</v>
      </c>
      <c r="C1629" t="s">
        <v>21</v>
      </c>
      <c r="D1629" t="s">
        <v>35</v>
      </c>
      <c r="E1629" t="s">
        <v>31</v>
      </c>
      <c r="F1629" t="s">
        <v>49</v>
      </c>
      <c r="G1629">
        <v>3488.08</v>
      </c>
      <c r="H1629">
        <v>2277.5500000000002</v>
      </c>
      <c r="I1629">
        <v>39740.85</v>
      </c>
      <c r="J1629" t="s">
        <v>25</v>
      </c>
      <c r="K1629" t="s">
        <v>45</v>
      </c>
      <c r="L1629">
        <v>33072.449999999997</v>
      </c>
      <c r="M1629">
        <v>60</v>
      </c>
      <c r="N1629">
        <v>716.6</v>
      </c>
      <c r="O1629">
        <v>10.85</v>
      </c>
      <c r="P1629">
        <v>0.21</v>
      </c>
      <c r="Q1629">
        <v>513</v>
      </c>
      <c r="R1629">
        <v>0.95</v>
      </c>
      <c r="S1629" t="s">
        <v>30</v>
      </c>
      <c r="T1629" s="1">
        <v>45659</v>
      </c>
      <c r="U1629">
        <v>0</v>
      </c>
    </row>
    <row r="1630" spans="1:21" x14ac:dyDescent="0.25">
      <c r="A1630" t="s">
        <v>1677</v>
      </c>
      <c r="B1630">
        <v>62</v>
      </c>
      <c r="C1630" t="s">
        <v>21</v>
      </c>
      <c r="D1630" t="s">
        <v>41</v>
      </c>
      <c r="E1630" t="s">
        <v>23</v>
      </c>
      <c r="F1630" t="s">
        <v>63</v>
      </c>
      <c r="G1630">
        <v>5958.86</v>
      </c>
      <c r="H1630">
        <v>2778.82</v>
      </c>
      <c r="I1630">
        <v>16455.439999999999</v>
      </c>
      <c r="J1630" t="s">
        <v>37</v>
      </c>
      <c r="K1630" t="s">
        <v>38</v>
      </c>
      <c r="L1630">
        <v>0</v>
      </c>
      <c r="M1630">
        <v>0</v>
      </c>
      <c r="N1630">
        <v>0</v>
      </c>
      <c r="O1630">
        <v>0</v>
      </c>
      <c r="P1630">
        <v>0</v>
      </c>
      <c r="Q1630">
        <v>332</v>
      </c>
      <c r="R1630">
        <v>0.23</v>
      </c>
      <c r="S1630" t="s">
        <v>30</v>
      </c>
      <c r="T1630" s="1">
        <v>44464</v>
      </c>
      <c r="U1630">
        <v>0</v>
      </c>
    </row>
    <row r="1631" spans="1:21" x14ac:dyDescent="0.25">
      <c r="A1631" t="s">
        <v>1678</v>
      </c>
      <c r="B1631">
        <v>38</v>
      </c>
      <c r="C1631" t="s">
        <v>21</v>
      </c>
      <c r="D1631" t="s">
        <v>35</v>
      </c>
      <c r="E1631" t="s">
        <v>51</v>
      </c>
      <c r="F1631" t="s">
        <v>49</v>
      </c>
      <c r="G1631">
        <v>6630.23</v>
      </c>
      <c r="H1631">
        <v>3460.23</v>
      </c>
      <c r="I1631">
        <v>35171.300000000003</v>
      </c>
      <c r="J1631" t="s">
        <v>37</v>
      </c>
      <c r="K1631" t="s">
        <v>38</v>
      </c>
      <c r="L1631">
        <v>0</v>
      </c>
      <c r="M1631">
        <v>0</v>
      </c>
      <c r="N1631">
        <v>0</v>
      </c>
      <c r="O1631">
        <v>0</v>
      </c>
      <c r="P1631">
        <v>0</v>
      </c>
      <c r="Q1631">
        <v>495</v>
      </c>
      <c r="R1631">
        <v>0.44</v>
      </c>
      <c r="S1631" t="s">
        <v>47</v>
      </c>
      <c r="T1631" s="1">
        <v>44843</v>
      </c>
      <c r="U1631">
        <v>0</v>
      </c>
    </row>
    <row r="1632" spans="1:21" x14ac:dyDescent="0.25">
      <c r="A1632" t="s">
        <v>1679</v>
      </c>
      <c r="B1632">
        <v>43</v>
      </c>
      <c r="C1632" t="s">
        <v>21</v>
      </c>
      <c r="D1632" t="s">
        <v>22</v>
      </c>
      <c r="E1632" t="s">
        <v>31</v>
      </c>
      <c r="F1632" t="s">
        <v>36</v>
      </c>
      <c r="G1632">
        <v>6841.59</v>
      </c>
      <c r="H1632">
        <v>2214.71</v>
      </c>
      <c r="I1632">
        <v>14893.14</v>
      </c>
      <c r="J1632" t="s">
        <v>37</v>
      </c>
      <c r="K1632" t="s">
        <v>38</v>
      </c>
      <c r="L1632">
        <v>0</v>
      </c>
      <c r="M1632">
        <v>0</v>
      </c>
      <c r="N1632">
        <v>0</v>
      </c>
      <c r="O1632">
        <v>0</v>
      </c>
      <c r="P1632">
        <v>0</v>
      </c>
      <c r="Q1632">
        <v>590</v>
      </c>
      <c r="R1632">
        <v>0.18</v>
      </c>
      <c r="S1632" t="s">
        <v>47</v>
      </c>
      <c r="T1632" s="1">
        <v>44650</v>
      </c>
      <c r="U1632">
        <v>0</v>
      </c>
    </row>
    <row r="1633" spans="1:21" x14ac:dyDescent="0.25">
      <c r="A1633" t="s">
        <v>1680</v>
      </c>
      <c r="B1633">
        <v>53</v>
      </c>
      <c r="C1633" t="s">
        <v>21</v>
      </c>
      <c r="D1633" t="s">
        <v>22</v>
      </c>
      <c r="E1633" t="s">
        <v>49</v>
      </c>
      <c r="F1633" t="s">
        <v>49</v>
      </c>
      <c r="G1633">
        <v>500</v>
      </c>
      <c r="H1633">
        <v>361.29</v>
      </c>
      <c r="I1633">
        <v>5558.17</v>
      </c>
      <c r="J1633" t="s">
        <v>37</v>
      </c>
      <c r="K1633" t="s">
        <v>38</v>
      </c>
      <c r="L1633">
        <v>0</v>
      </c>
      <c r="M1633">
        <v>0</v>
      </c>
      <c r="N1633">
        <v>0</v>
      </c>
      <c r="O1633">
        <v>0</v>
      </c>
      <c r="P1633">
        <v>0</v>
      </c>
      <c r="Q1633">
        <v>846</v>
      </c>
      <c r="R1633">
        <v>0.93</v>
      </c>
      <c r="S1633" t="s">
        <v>39</v>
      </c>
      <c r="T1633" s="1">
        <v>45576</v>
      </c>
      <c r="U1633">
        <v>0</v>
      </c>
    </row>
    <row r="1634" spans="1:21" x14ac:dyDescent="0.25">
      <c r="A1634" t="s">
        <v>1681</v>
      </c>
      <c r="B1634">
        <v>45</v>
      </c>
      <c r="C1634" t="s">
        <v>29</v>
      </c>
      <c r="D1634" t="s">
        <v>22</v>
      </c>
      <c r="E1634" t="s">
        <v>51</v>
      </c>
      <c r="F1634" t="s">
        <v>42</v>
      </c>
      <c r="G1634">
        <v>4898.58</v>
      </c>
      <c r="H1634">
        <v>1682.46</v>
      </c>
      <c r="I1634">
        <v>10919.46</v>
      </c>
      <c r="J1634" t="s">
        <v>25</v>
      </c>
      <c r="K1634" t="s">
        <v>45</v>
      </c>
      <c r="L1634">
        <v>104796.62</v>
      </c>
      <c r="M1634">
        <v>300</v>
      </c>
      <c r="N1634">
        <v>2461.5700000000002</v>
      </c>
      <c r="O1634">
        <v>28.16</v>
      </c>
      <c r="P1634">
        <v>0.5</v>
      </c>
      <c r="Q1634">
        <v>787</v>
      </c>
      <c r="R1634">
        <v>0.19</v>
      </c>
      <c r="S1634" t="s">
        <v>30</v>
      </c>
      <c r="T1634" s="1">
        <v>45013</v>
      </c>
      <c r="U1634">
        <v>1</v>
      </c>
    </row>
    <row r="1635" spans="1:21" x14ac:dyDescent="0.25">
      <c r="A1635" t="s">
        <v>1682</v>
      </c>
      <c r="B1635">
        <v>64</v>
      </c>
      <c r="C1635" t="s">
        <v>29</v>
      </c>
      <c r="D1635" t="s">
        <v>35</v>
      </c>
      <c r="E1635" t="s">
        <v>49</v>
      </c>
      <c r="F1635" t="s">
        <v>42</v>
      </c>
      <c r="G1635">
        <v>1972.82</v>
      </c>
      <c r="H1635">
        <v>679.88</v>
      </c>
      <c r="I1635">
        <v>9620.4599999999991</v>
      </c>
      <c r="J1635" t="s">
        <v>37</v>
      </c>
      <c r="K1635" t="s">
        <v>38</v>
      </c>
      <c r="L1635">
        <v>0</v>
      </c>
      <c r="M1635">
        <v>0</v>
      </c>
      <c r="N1635">
        <v>0</v>
      </c>
      <c r="O1635">
        <v>0</v>
      </c>
      <c r="P1635">
        <v>0</v>
      </c>
      <c r="Q1635">
        <v>465</v>
      </c>
      <c r="R1635">
        <v>0.41</v>
      </c>
      <c r="S1635" t="s">
        <v>72</v>
      </c>
      <c r="T1635" s="1">
        <v>44824</v>
      </c>
      <c r="U1635">
        <v>0</v>
      </c>
    </row>
    <row r="1636" spans="1:21" x14ac:dyDescent="0.25">
      <c r="A1636" t="s">
        <v>1683</v>
      </c>
      <c r="B1636">
        <v>46</v>
      </c>
      <c r="C1636" t="s">
        <v>21</v>
      </c>
      <c r="D1636" t="s">
        <v>41</v>
      </c>
      <c r="E1636" t="s">
        <v>51</v>
      </c>
      <c r="F1636" t="s">
        <v>63</v>
      </c>
      <c r="G1636">
        <v>6596.96</v>
      </c>
      <c r="H1636">
        <v>2005.19</v>
      </c>
      <c r="I1636">
        <v>14098.68</v>
      </c>
      <c r="J1636" t="s">
        <v>25</v>
      </c>
      <c r="K1636" t="s">
        <v>33</v>
      </c>
      <c r="L1636">
        <v>267424.45</v>
      </c>
      <c r="M1636">
        <v>360</v>
      </c>
      <c r="N1636">
        <v>3170.75</v>
      </c>
      <c r="O1636">
        <v>14.01</v>
      </c>
      <c r="P1636">
        <v>0.48</v>
      </c>
      <c r="Q1636">
        <v>303</v>
      </c>
      <c r="R1636">
        <v>0.18</v>
      </c>
      <c r="S1636" t="s">
        <v>39</v>
      </c>
      <c r="T1636" s="1">
        <v>45246</v>
      </c>
      <c r="U1636">
        <v>1</v>
      </c>
    </row>
    <row r="1637" spans="1:21" x14ac:dyDescent="0.25">
      <c r="A1637" t="s">
        <v>1684</v>
      </c>
      <c r="B1637">
        <v>44</v>
      </c>
      <c r="C1637" t="s">
        <v>29</v>
      </c>
      <c r="D1637" t="s">
        <v>41</v>
      </c>
      <c r="E1637" t="s">
        <v>51</v>
      </c>
      <c r="F1637" t="s">
        <v>42</v>
      </c>
      <c r="G1637">
        <v>5946.24</v>
      </c>
      <c r="H1637">
        <v>4233.32</v>
      </c>
      <c r="I1637">
        <v>46846.68</v>
      </c>
      <c r="J1637" t="s">
        <v>25</v>
      </c>
      <c r="K1637" t="s">
        <v>45</v>
      </c>
      <c r="L1637">
        <v>7305.66</v>
      </c>
      <c r="M1637">
        <v>180</v>
      </c>
      <c r="N1637">
        <v>98.92</v>
      </c>
      <c r="O1637">
        <v>14.33</v>
      </c>
      <c r="P1637">
        <v>0.02</v>
      </c>
      <c r="Q1637">
        <v>554</v>
      </c>
      <c r="R1637">
        <v>0.66</v>
      </c>
      <c r="S1637" t="s">
        <v>27</v>
      </c>
      <c r="T1637" s="1">
        <v>44855</v>
      </c>
      <c r="U1637">
        <v>0</v>
      </c>
    </row>
    <row r="1638" spans="1:21" x14ac:dyDescent="0.25">
      <c r="A1638" t="s">
        <v>1685</v>
      </c>
      <c r="B1638">
        <v>64</v>
      </c>
      <c r="C1638" t="s">
        <v>29</v>
      </c>
      <c r="D1638" t="s">
        <v>41</v>
      </c>
      <c r="E1638" t="s">
        <v>31</v>
      </c>
      <c r="F1638" t="s">
        <v>42</v>
      </c>
      <c r="G1638">
        <v>2705.89</v>
      </c>
      <c r="H1638">
        <v>2110.27</v>
      </c>
      <c r="I1638">
        <v>12337.83</v>
      </c>
      <c r="J1638" t="s">
        <v>37</v>
      </c>
      <c r="K1638" t="s">
        <v>38</v>
      </c>
      <c r="L1638">
        <v>0</v>
      </c>
      <c r="M1638">
        <v>0</v>
      </c>
      <c r="N1638">
        <v>0</v>
      </c>
      <c r="O1638">
        <v>0</v>
      </c>
      <c r="P1638">
        <v>0</v>
      </c>
      <c r="Q1638">
        <v>453</v>
      </c>
      <c r="R1638">
        <v>0.38</v>
      </c>
      <c r="S1638" t="s">
        <v>39</v>
      </c>
      <c r="T1638" s="1">
        <v>44984</v>
      </c>
      <c r="U1638">
        <v>0</v>
      </c>
    </row>
    <row r="1639" spans="1:21" x14ac:dyDescent="0.25">
      <c r="A1639" t="s">
        <v>1686</v>
      </c>
      <c r="B1639">
        <v>48</v>
      </c>
      <c r="C1639" t="s">
        <v>21</v>
      </c>
      <c r="D1639" t="s">
        <v>41</v>
      </c>
      <c r="E1639" t="s">
        <v>51</v>
      </c>
      <c r="F1639" t="s">
        <v>63</v>
      </c>
      <c r="G1639">
        <v>5556.07</v>
      </c>
      <c r="H1639">
        <v>3057.11</v>
      </c>
      <c r="I1639">
        <v>16867.03</v>
      </c>
      <c r="J1639" t="s">
        <v>37</v>
      </c>
      <c r="K1639" t="s">
        <v>38</v>
      </c>
      <c r="L1639">
        <v>0</v>
      </c>
      <c r="M1639">
        <v>0</v>
      </c>
      <c r="N1639">
        <v>0</v>
      </c>
      <c r="O1639">
        <v>0</v>
      </c>
      <c r="P1639">
        <v>0</v>
      </c>
      <c r="Q1639">
        <v>459</v>
      </c>
      <c r="R1639">
        <v>0.25</v>
      </c>
      <c r="S1639" t="s">
        <v>30</v>
      </c>
      <c r="T1639" s="1">
        <v>45218</v>
      </c>
      <c r="U1639">
        <v>0</v>
      </c>
    </row>
    <row r="1640" spans="1:21" x14ac:dyDescent="0.25">
      <c r="A1640" t="s">
        <v>1687</v>
      </c>
      <c r="B1640">
        <v>30</v>
      </c>
      <c r="C1640" t="s">
        <v>21</v>
      </c>
      <c r="D1640" t="s">
        <v>41</v>
      </c>
      <c r="E1640" t="s">
        <v>23</v>
      </c>
      <c r="F1640" t="s">
        <v>23</v>
      </c>
      <c r="G1640">
        <v>5913.01</v>
      </c>
      <c r="H1640">
        <v>3688.68</v>
      </c>
      <c r="I1640">
        <v>53573.43</v>
      </c>
      <c r="J1640" t="s">
        <v>25</v>
      </c>
      <c r="K1640" t="s">
        <v>33</v>
      </c>
      <c r="L1640">
        <v>357528.79</v>
      </c>
      <c r="M1640">
        <v>180</v>
      </c>
      <c r="N1640">
        <v>4235.8999999999996</v>
      </c>
      <c r="O1640">
        <v>11.76</v>
      </c>
      <c r="P1640">
        <v>0.72</v>
      </c>
      <c r="Q1640">
        <v>333</v>
      </c>
      <c r="R1640">
        <v>0.76</v>
      </c>
      <c r="S1640" t="s">
        <v>72</v>
      </c>
      <c r="T1640" s="1">
        <v>44868</v>
      </c>
      <c r="U1640">
        <v>1</v>
      </c>
    </row>
    <row r="1641" spans="1:21" x14ac:dyDescent="0.25">
      <c r="A1641" t="s">
        <v>1688</v>
      </c>
      <c r="B1641">
        <v>46</v>
      </c>
      <c r="C1641" t="s">
        <v>29</v>
      </c>
      <c r="D1641" t="s">
        <v>35</v>
      </c>
      <c r="E1641" t="s">
        <v>51</v>
      </c>
      <c r="F1641" t="s">
        <v>32</v>
      </c>
      <c r="G1641">
        <v>7735.82</v>
      </c>
      <c r="H1641">
        <v>3255.78</v>
      </c>
      <c r="I1641">
        <v>34756.6</v>
      </c>
      <c r="J1641" t="s">
        <v>37</v>
      </c>
      <c r="K1641" t="s">
        <v>38</v>
      </c>
      <c r="L1641">
        <v>0</v>
      </c>
      <c r="M1641">
        <v>0</v>
      </c>
      <c r="N1641">
        <v>0</v>
      </c>
      <c r="O1641">
        <v>0</v>
      </c>
      <c r="P1641">
        <v>0</v>
      </c>
      <c r="Q1641">
        <v>478</v>
      </c>
      <c r="R1641">
        <v>0.37</v>
      </c>
      <c r="S1641" t="s">
        <v>47</v>
      </c>
      <c r="T1641" s="1">
        <v>45494</v>
      </c>
      <c r="U1641">
        <v>0</v>
      </c>
    </row>
    <row r="1642" spans="1:21" x14ac:dyDescent="0.25">
      <c r="A1642" t="s">
        <v>1689</v>
      </c>
      <c r="B1642">
        <v>32</v>
      </c>
      <c r="C1642" t="s">
        <v>21</v>
      </c>
      <c r="D1642" t="s">
        <v>41</v>
      </c>
      <c r="E1642" t="s">
        <v>31</v>
      </c>
      <c r="F1642" t="s">
        <v>44</v>
      </c>
      <c r="G1642">
        <v>3312.22</v>
      </c>
      <c r="H1642">
        <v>1115.25</v>
      </c>
      <c r="I1642">
        <v>21605.24</v>
      </c>
      <c r="J1642" t="s">
        <v>37</v>
      </c>
      <c r="K1642" t="s">
        <v>38</v>
      </c>
      <c r="L1642">
        <v>0</v>
      </c>
      <c r="M1642">
        <v>0</v>
      </c>
      <c r="N1642">
        <v>0</v>
      </c>
      <c r="O1642">
        <v>0</v>
      </c>
      <c r="P1642">
        <v>0</v>
      </c>
      <c r="Q1642">
        <v>534</v>
      </c>
      <c r="R1642">
        <v>0.54</v>
      </c>
      <c r="S1642" t="s">
        <v>30</v>
      </c>
      <c r="T1642" s="1">
        <v>45174</v>
      </c>
      <c r="U1642">
        <v>0</v>
      </c>
    </row>
    <row r="1643" spans="1:21" x14ac:dyDescent="0.25">
      <c r="A1643" t="s">
        <v>1690</v>
      </c>
      <c r="B1643">
        <v>54</v>
      </c>
      <c r="C1643" t="s">
        <v>29</v>
      </c>
      <c r="D1643" t="s">
        <v>41</v>
      </c>
      <c r="E1643" t="s">
        <v>51</v>
      </c>
      <c r="F1643" t="s">
        <v>36</v>
      </c>
      <c r="G1643">
        <v>3451.2</v>
      </c>
      <c r="H1643">
        <v>1939.59</v>
      </c>
      <c r="I1643">
        <v>8263.5300000000007</v>
      </c>
      <c r="J1643" t="s">
        <v>37</v>
      </c>
      <c r="K1643" t="s">
        <v>38</v>
      </c>
      <c r="L1643">
        <v>0</v>
      </c>
      <c r="M1643">
        <v>0</v>
      </c>
      <c r="N1643">
        <v>0</v>
      </c>
      <c r="O1643">
        <v>0</v>
      </c>
      <c r="P1643">
        <v>0</v>
      </c>
      <c r="Q1643">
        <v>311</v>
      </c>
      <c r="R1643">
        <v>0.2</v>
      </c>
      <c r="S1643" t="s">
        <v>27</v>
      </c>
      <c r="T1643" s="1">
        <v>44707</v>
      </c>
      <c r="U1643">
        <v>0</v>
      </c>
    </row>
    <row r="1644" spans="1:21" x14ac:dyDescent="0.25">
      <c r="A1644" t="s">
        <v>1691</v>
      </c>
      <c r="B1644">
        <v>40</v>
      </c>
      <c r="C1644" t="s">
        <v>21</v>
      </c>
      <c r="D1644" t="s">
        <v>35</v>
      </c>
      <c r="E1644" t="s">
        <v>51</v>
      </c>
      <c r="F1644" t="s">
        <v>44</v>
      </c>
      <c r="G1644">
        <v>2483.92</v>
      </c>
      <c r="H1644">
        <v>1880.87</v>
      </c>
      <c r="I1644">
        <v>29092.87</v>
      </c>
      <c r="J1644" t="s">
        <v>37</v>
      </c>
      <c r="K1644" t="s">
        <v>38</v>
      </c>
      <c r="L1644">
        <v>0</v>
      </c>
      <c r="M1644">
        <v>0</v>
      </c>
      <c r="N1644">
        <v>0</v>
      </c>
      <c r="O1644">
        <v>0</v>
      </c>
      <c r="P1644">
        <v>0</v>
      </c>
      <c r="Q1644">
        <v>680</v>
      </c>
      <c r="R1644">
        <v>0.98</v>
      </c>
      <c r="S1644" t="s">
        <v>27</v>
      </c>
      <c r="T1644" s="1">
        <v>45550</v>
      </c>
      <c r="U1644">
        <v>0</v>
      </c>
    </row>
    <row r="1645" spans="1:21" x14ac:dyDescent="0.25">
      <c r="A1645" t="s">
        <v>1692</v>
      </c>
      <c r="B1645">
        <v>58</v>
      </c>
      <c r="C1645" t="s">
        <v>21</v>
      </c>
      <c r="D1645" t="s">
        <v>35</v>
      </c>
      <c r="E1645" t="s">
        <v>23</v>
      </c>
      <c r="F1645" t="s">
        <v>49</v>
      </c>
      <c r="G1645">
        <v>4902.82</v>
      </c>
      <c r="H1645">
        <v>4301.21</v>
      </c>
      <c r="I1645">
        <v>53231.24</v>
      </c>
      <c r="J1645" t="s">
        <v>37</v>
      </c>
      <c r="K1645" t="s">
        <v>38</v>
      </c>
      <c r="L1645">
        <v>0</v>
      </c>
      <c r="M1645">
        <v>0</v>
      </c>
      <c r="N1645">
        <v>0</v>
      </c>
      <c r="O1645">
        <v>0</v>
      </c>
      <c r="P1645">
        <v>0</v>
      </c>
      <c r="Q1645">
        <v>340</v>
      </c>
      <c r="R1645">
        <v>0.9</v>
      </c>
      <c r="S1645" t="s">
        <v>27</v>
      </c>
      <c r="T1645" s="1">
        <v>45741</v>
      </c>
      <c r="U1645">
        <v>0</v>
      </c>
    </row>
    <row r="1646" spans="1:21" x14ac:dyDescent="0.25">
      <c r="A1646" t="s">
        <v>1693</v>
      </c>
      <c r="B1646">
        <v>22</v>
      </c>
      <c r="C1646" t="s">
        <v>29</v>
      </c>
      <c r="D1646" t="s">
        <v>22</v>
      </c>
      <c r="E1646" t="s">
        <v>31</v>
      </c>
      <c r="F1646" t="s">
        <v>44</v>
      </c>
      <c r="G1646">
        <v>4804.2</v>
      </c>
      <c r="H1646">
        <v>2807.63</v>
      </c>
      <c r="I1646">
        <v>25702.36</v>
      </c>
      <c r="J1646" t="s">
        <v>37</v>
      </c>
      <c r="K1646" t="s">
        <v>38</v>
      </c>
      <c r="L1646">
        <v>0</v>
      </c>
      <c r="M1646">
        <v>0</v>
      </c>
      <c r="N1646">
        <v>0</v>
      </c>
      <c r="O1646">
        <v>0</v>
      </c>
      <c r="P1646">
        <v>0</v>
      </c>
      <c r="Q1646">
        <v>567</v>
      </c>
      <c r="R1646">
        <v>0.45</v>
      </c>
      <c r="S1646" t="s">
        <v>27</v>
      </c>
      <c r="T1646" s="1">
        <v>44834</v>
      </c>
      <c r="U1646">
        <v>0</v>
      </c>
    </row>
    <row r="1647" spans="1:21" x14ac:dyDescent="0.25">
      <c r="A1647" t="s">
        <v>1694</v>
      </c>
      <c r="B1647">
        <v>28</v>
      </c>
      <c r="C1647" t="s">
        <v>21</v>
      </c>
      <c r="D1647" t="s">
        <v>41</v>
      </c>
      <c r="E1647" t="s">
        <v>31</v>
      </c>
      <c r="F1647" t="s">
        <v>63</v>
      </c>
      <c r="G1647">
        <v>4301.93</v>
      </c>
      <c r="H1647">
        <v>2574.9</v>
      </c>
      <c r="I1647">
        <v>31087.25</v>
      </c>
      <c r="J1647" t="s">
        <v>37</v>
      </c>
      <c r="K1647" t="s">
        <v>38</v>
      </c>
      <c r="L1647">
        <v>0</v>
      </c>
      <c r="M1647">
        <v>0</v>
      </c>
      <c r="N1647">
        <v>0</v>
      </c>
      <c r="O1647">
        <v>0</v>
      </c>
      <c r="P1647">
        <v>0</v>
      </c>
      <c r="Q1647">
        <v>514</v>
      </c>
      <c r="R1647">
        <v>0.6</v>
      </c>
      <c r="S1647" t="s">
        <v>72</v>
      </c>
      <c r="T1647" s="1">
        <v>44829</v>
      </c>
      <c r="U1647">
        <v>0</v>
      </c>
    </row>
    <row r="1648" spans="1:21" x14ac:dyDescent="0.25">
      <c r="A1648" t="s">
        <v>1695</v>
      </c>
      <c r="B1648">
        <v>20</v>
      </c>
      <c r="C1648" t="s">
        <v>29</v>
      </c>
      <c r="D1648" t="s">
        <v>22</v>
      </c>
      <c r="E1648" t="s">
        <v>31</v>
      </c>
      <c r="F1648" t="s">
        <v>49</v>
      </c>
      <c r="G1648">
        <v>4141.0600000000004</v>
      </c>
      <c r="H1648">
        <v>3061.92</v>
      </c>
      <c r="I1648">
        <v>43402.02</v>
      </c>
      <c r="J1648" t="s">
        <v>37</v>
      </c>
      <c r="K1648" t="s">
        <v>38</v>
      </c>
      <c r="L1648">
        <v>0</v>
      </c>
      <c r="M1648">
        <v>0</v>
      </c>
      <c r="N1648">
        <v>0</v>
      </c>
      <c r="O1648">
        <v>0</v>
      </c>
      <c r="P1648">
        <v>0</v>
      </c>
      <c r="Q1648">
        <v>762</v>
      </c>
      <c r="R1648">
        <v>0.87</v>
      </c>
      <c r="S1648" t="s">
        <v>39</v>
      </c>
      <c r="T1648" s="1">
        <v>44986</v>
      </c>
      <c r="U1648">
        <v>0</v>
      </c>
    </row>
    <row r="1649" spans="1:21" x14ac:dyDescent="0.25">
      <c r="A1649" t="s">
        <v>1696</v>
      </c>
      <c r="B1649">
        <v>60</v>
      </c>
      <c r="C1649" t="s">
        <v>21</v>
      </c>
      <c r="D1649" t="s">
        <v>30</v>
      </c>
      <c r="E1649" t="s">
        <v>31</v>
      </c>
      <c r="F1649" t="s">
        <v>63</v>
      </c>
      <c r="G1649">
        <v>3293.2</v>
      </c>
      <c r="H1649">
        <v>2458.15</v>
      </c>
      <c r="I1649">
        <v>15705.2</v>
      </c>
      <c r="J1649" t="s">
        <v>37</v>
      </c>
      <c r="K1649" t="s">
        <v>38</v>
      </c>
      <c r="L1649">
        <v>0</v>
      </c>
      <c r="M1649">
        <v>0</v>
      </c>
      <c r="N1649">
        <v>0</v>
      </c>
      <c r="O1649">
        <v>0</v>
      </c>
      <c r="P1649">
        <v>0</v>
      </c>
      <c r="Q1649">
        <v>312</v>
      </c>
      <c r="R1649">
        <v>0.4</v>
      </c>
      <c r="S1649" t="s">
        <v>39</v>
      </c>
      <c r="T1649" s="1">
        <v>44613</v>
      </c>
      <c r="U1649">
        <v>0</v>
      </c>
    </row>
    <row r="1650" spans="1:21" x14ac:dyDescent="0.25">
      <c r="A1650" t="s">
        <v>1697</v>
      </c>
      <c r="B1650">
        <v>38</v>
      </c>
      <c r="C1650" t="s">
        <v>21</v>
      </c>
      <c r="D1650" t="s">
        <v>22</v>
      </c>
      <c r="E1650" t="s">
        <v>31</v>
      </c>
      <c r="F1650" t="s">
        <v>36</v>
      </c>
      <c r="G1650">
        <v>6265.34</v>
      </c>
      <c r="H1650">
        <v>2420.37</v>
      </c>
      <c r="I1650">
        <v>60457.58</v>
      </c>
      <c r="J1650" t="s">
        <v>37</v>
      </c>
      <c r="K1650" t="s">
        <v>38</v>
      </c>
      <c r="L1650">
        <v>0</v>
      </c>
      <c r="M1650">
        <v>0</v>
      </c>
      <c r="N1650">
        <v>0</v>
      </c>
      <c r="O1650">
        <v>0</v>
      </c>
      <c r="P1650">
        <v>0</v>
      </c>
      <c r="Q1650">
        <v>411</v>
      </c>
      <c r="R1650">
        <v>0.8</v>
      </c>
      <c r="S1650" t="s">
        <v>30</v>
      </c>
      <c r="T1650" s="1">
        <v>44665</v>
      </c>
      <c r="U1650">
        <v>0</v>
      </c>
    </row>
    <row r="1651" spans="1:21" x14ac:dyDescent="0.25">
      <c r="A1651" t="s">
        <v>1698</v>
      </c>
      <c r="B1651">
        <v>65</v>
      </c>
      <c r="C1651" t="s">
        <v>21</v>
      </c>
      <c r="D1651" t="s">
        <v>35</v>
      </c>
      <c r="E1651" t="s">
        <v>31</v>
      </c>
      <c r="F1651" t="s">
        <v>24</v>
      </c>
      <c r="G1651">
        <v>3434.72</v>
      </c>
      <c r="H1651">
        <v>1111.6099999999999</v>
      </c>
      <c r="I1651">
        <v>39667.67</v>
      </c>
      <c r="J1651" t="s">
        <v>25</v>
      </c>
      <c r="K1651" t="s">
        <v>54</v>
      </c>
      <c r="L1651">
        <v>112665.59</v>
      </c>
      <c r="M1651">
        <v>120</v>
      </c>
      <c r="N1651">
        <v>1273.57</v>
      </c>
      <c r="O1651">
        <v>6.4</v>
      </c>
      <c r="P1651">
        <v>0.37</v>
      </c>
      <c r="Q1651">
        <v>586</v>
      </c>
      <c r="R1651">
        <v>0.96</v>
      </c>
      <c r="S1651" t="s">
        <v>30</v>
      </c>
      <c r="T1651" s="1">
        <v>45764</v>
      </c>
      <c r="U1651">
        <v>0</v>
      </c>
    </row>
    <row r="1652" spans="1:21" x14ac:dyDescent="0.25">
      <c r="A1652" t="s">
        <v>1699</v>
      </c>
      <c r="B1652">
        <v>22</v>
      </c>
      <c r="C1652" t="s">
        <v>29</v>
      </c>
      <c r="D1652" t="s">
        <v>41</v>
      </c>
      <c r="E1652" t="s">
        <v>31</v>
      </c>
      <c r="F1652" t="s">
        <v>49</v>
      </c>
      <c r="G1652">
        <v>3598.1</v>
      </c>
      <c r="H1652">
        <v>1928.93</v>
      </c>
      <c r="I1652">
        <v>22644.98</v>
      </c>
      <c r="J1652" t="s">
        <v>37</v>
      </c>
      <c r="K1652" t="s">
        <v>38</v>
      </c>
      <c r="L1652">
        <v>0</v>
      </c>
      <c r="M1652">
        <v>0</v>
      </c>
      <c r="N1652">
        <v>0</v>
      </c>
      <c r="O1652">
        <v>0</v>
      </c>
      <c r="P1652">
        <v>0</v>
      </c>
      <c r="Q1652">
        <v>588</v>
      </c>
      <c r="R1652">
        <v>0.52</v>
      </c>
      <c r="S1652" t="s">
        <v>47</v>
      </c>
      <c r="T1652" s="1">
        <v>45036</v>
      </c>
      <c r="U1652">
        <v>0</v>
      </c>
    </row>
    <row r="1653" spans="1:21" x14ac:dyDescent="0.25">
      <c r="A1653" t="s">
        <v>1700</v>
      </c>
      <c r="B1653">
        <v>37</v>
      </c>
      <c r="C1653" t="s">
        <v>21</v>
      </c>
      <c r="D1653" t="s">
        <v>22</v>
      </c>
      <c r="E1653" t="s">
        <v>31</v>
      </c>
      <c r="F1653" t="s">
        <v>23</v>
      </c>
      <c r="G1653">
        <v>5069.9799999999996</v>
      </c>
      <c r="H1653">
        <v>2477.04</v>
      </c>
      <c r="I1653">
        <v>50180.76</v>
      </c>
      <c r="J1653" t="s">
        <v>37</v>
      </c>
      <c r="K1653" t="s">
        <v>38</v>
      </c>
      <c r="L1653">
        <v>0</v>
      </c>
      <c r="M1653">
        <v>0</v>
      </c>
      <c r="N1653">
        <v>0</v>
      </c>
      <c r="O1653">
        <v>0</v>
      </c>
      <c r="P1653">
        <v>0</v>
      </c>
      <c r="Q1653">
        <v>656</v>
      </c>
      <c r="R1653">
        <v>0.82</v>
      </c>
      <c r="S1653" t="s">
        <v>39</v>
      </c>
      <c r="T1653" s="1">
        <v>45724</v>
      </c>
      <c r="U1653">
        <v>0</v>
      </c>
    </row>
    <row r="1654" spans="1:21" x14ac:dyDescent="0.25">
      <c r="A1654" t="s">
        <v>1701</v>
      </c>
      <c r="B1654">
        <v>38</v>
      </c>
      <c r="C1654" t="s">
        <v>21</v>
      </c>
      <c r="D1654" t="s">
        <v>56</v>
      </c>
      <c r="E1654" t="s">
        <v>31</v>
      </c>
      <c r="F1654" t="s">
        <v>63</v>
      </c>
      <c r="G1654">
        <v>7309.43</v>
      </c>
      <c r="H1654">
        <v>2222.5500000000002</v>
      </c>
      <c r="I1654">
        <v>15905.51</v>
      </c>
      <c r="J1654" t="s">
        <v>37</v>
      </c>
      <c r="K1654" t="s">
        <v>38</v>
      </c>
      <c r="L1654">
        <v>0</v>
      </c>
      <c r="M1654">
        <v>0</v>
      </c>
      <c r="N1654">
        <v>0</v>
      </c>
      <c r="O1654">
        <v>0</v>
      </c>
      <c r="P1654">
        <v>0</v>
      </c>
      <c r="Q1654">
        <v>540</v>
      </c>
      <c r="R1654">
        <v>0.18</v>
      </c>
      <c r="S1654" t="s">
        <v>30</v>
      </c>
      <c r="T1654" s="1">
        <v>45599</v>
      </c>
      <c r="U1654">
        <v>0</v>
      </c>
    </row>
    <row r="1655" spans="1:21" x14ac:dyDescent="0.25">
      <c r="A1655" t="s">
        <v>1702</v>
      </c>
      <c r="B1655">
        <v>51</v>
      </c>
      <c r="C1655" t="s">
        <v>21</v>
      </c>
      <c r="D1655" t="s">
        <v>30</v>
      </c>
      <c r="E1655" t="s">
        <v>23</v>
      </c>
      <c r="F1655" t="s">
        <v>24</v>
      </c>
      <c r="G1655">
        <v>4118.3999999999996</v>
      </c>
      <c r="H1655">
        <v>3592.22</v>
      </c>
      <c r="I1655">
        <v>34259.32</v>
      </c>
      <c r="J1655" t="s">
        <v>37</v>
      </c>
      <c r="K1655" t="s">
        <v>38</v>
      </c>
      <c r="L1655">
        <v>0</v>
      </c>
      <c r="M1655">
        <v>0</v>
      </c>
      <c r="N1655">
        <v>0</v>
      </c>
      <c r="O1655">
        <v>0</v>
      </c>
      <c r="P1655">
        <v>0</v>
      </c>
      <c r="Q1655">
        <v>840</v>
      </c>
      <c r="R1655">
        <v>0.69</v>
      </c>
      <c r="S1655" t="s">
        <v>30</v>
      </c>
      <c r="T1655" s="1">
        <v>44715</v>
      </c>
      <c r="U1655">
        <v>0</v>
      </c>
    </row>
    <row r="1656" spans="1:21" x14ac:dyDescent="0.25">
      <c r="A1656" t="s">
        <v>1703</v>
      </c>
      <c r="B1656">
        <v>44</v>
      </c>
      <c r="C1656" t="s">
        <v>21</v>
      </c>
      <c r="D1656" t="s">
        <v>41</v>
      </c>
      <c r="E1656" t="s">
        <v>51</v>
      </c>
      <c r="F1656" t="s">
        <v>36</v>
      </c>
      <c r="G1656">
        <v>5753.92</v>
      </c>
      <c r="H1656">
        <v>5172.21</v>
      </c>
      <c r="I1656">
        <v>12051.64</v>
      </c>
      <c r="J1656" t="s">
        <v>25</v>
      </c>
      <c r="K1656" t="s">
        <v>45</v>
      </c>
      <c r="L1656">
        <v>164392.21</v>
      </c>
      <c r="M1656">
        <v>60</v>
      </c>
      <c r="N1656">
        <v>4305.2299999999996</v>
      </c>
      <c r="O1656">
        <v>19.45</v>
      </c>
      <c r="P1656">
        <v>0.75</v>
      </c>
      <c r="Q1656">
        <v>455</v>
      </c>
      <c r="R1656">
        <v>0.17</v>
      </c>
      <c r="S1656" t="s">
        <v>47</v>
      </c>
      <c r="T1656" s="1">
        <v>45445</v>
      </c>
      <c r="U1656">
        <v>1</v>
      </c>
    </row>
    <row r="1657" spans="1:21" x14ac:dyDescent="0.25">
      <c r="A1657" t="s">
        <v>1704</v>
      </c>
      <c r="B1657">
        <v>25</v>
      </c>
      <c r="C1657" t="s">
        <v>29</v>
      </c>
      <c r="D1657" t="s">
        <v>22</v>
      </c>
      <c r="E1657" t="s">
        <v>31</v>
      </c>
      <c r="F1657" t="s">
        <v>24</v>
      </c>
      <c r="G1657">
        <v>6345.68</v>
      </c>
      <c r="H1657">
        <v>3792.56</v>
      </c>
      <c r="I1657">
        <v>15032.31</v>
      </c>
      <c r="J1657" t="s">
        <v>37</v>
      </c>
      <c r="K1657" t="s">
        <v>38</v>
      </c>
      <c r="L1657">
        <v>0</v>
      </c>
      <c r="M1657">
        <v>0</v>
      </c>
      <c r="N1657">
        <v>0</v>
      </c>
      <c r="O1657">
        <v>0</v>
      </c>
      <c r="P1657">
        <v>0</v>
      </c>
      <c r="Q1657">
        <v>628</v>
      </c>
      <c r="R1657">
        <v>0.2</v>
      </c>
      <c r="S1657" t="s">
        <v>47</v>
      </c>
      <c r="T1657" s="1">
        <v>44512</v>
      </c>
      <c r="U1657">
        <v>0</v>
      </c>
    </row>
    <row r="1658" spans="1:21" x14ac:dyDescent="0.25">
      <c r="A1658" t="s">
        <v>1705</v>
      </c>
      <c r="B1658">
        <v>59</v>
      </c>
      <c r="C1658" t="s">
        <v>21</v>
      </c>
      <c r="D1658" t="s">
        <v>41</v>
      </c>
      <c r="E1658" t="s">
        <v>31</v>
      </c>
      <c r="F1658" t="s">
        <v>32</v>
      </c>
      <c r="G1658">
        <v>500</v>
      </c>
      <c r="H1658">
        <v>342.35</v>
      </c>
      <c r="I1658">
        <v>1222.99</v>
      </c>
      <c r="J1658" t="s">
        <v>37</v>
      </c>
      <c r="K1658" t="s">
        <v>38</v>
      </c>
      <c r="L1658">
        <v>0</v>
      </c>
      <c r="M1658">
        <v>0</v>
      </c>
      <c r="N1658">
        <v>0</v>
      </c>
      <c r="O1658">
        <v>0</v>
      </c>
      <c r="P1658">
        <v>0</v>
      </c>
      <c r="Q1658">
        <v>313</v>
      </c>
      <c r="R1658">
        <v>0.2</v>
      </c>
      <c r="S1658" t="s">
        <v>30</v>
      </c>
      <c r="T1658" s="1">
        <v>45508</v>
      </c>
      <c r="U1658">
        <v>0</v>
      </c>
    </row>
    <row r="1659" spans="1:21" x14ac:dyDescent="0.25">
      <c r="A1659" t="s">
        <v>1706</v>
      </c>
      <c r="B1659">
        <v>57</v>
      </c>
      <c r="C1659" t="s">
        <v>21</v>
      </c>
      <c r="D1659" t="s">
        <v>35</v>
      </c>
      <c r="E1659" t="s">
        <v>49</v>
      </c>
      <c r="F1659" t="s">
        <v>44</v>
      </c>
      <c r="G1659">
        <v>9102.7800000000007</v>
      </c>
      <c r="H1659">
        <v>6436.98</v>
      </c>
      <c r="I1659">
        <v>20006.650000000001</v>
      </c>
      <c r="J1659" t="s">
        <v>37</v>
      </c>
      <c r="K1659" t="s">
        <v>38</v>
      </c>
      <c r="L1659">
        <v>0</v>
      </c>
      <c r="M1659">
        <v>0</v>
      </c>
      <c r="N1659">
        <v>0</v>
      </c>
      <c r="O1659">
        <v>0</v>
      </c>
      <c r="P1659">
        <v>0</v>
      </c>
      <c r="Q1659">
        <v>600</v>
      </c>
      <c r="R1659">
        <v>0.18</v>
      </c>
      <c r="S1659" t="s">
        <v>39</v>
      </c>
      <c r="T1659" s="1">
        <v>44892</v>
      </c>
      <c r="U1659">
        <v>0</v>
      </c>
    </row>
    <row r="1660" spans="1:21" x14ac:dyDescent="0.25">
      <c r="A1660" t="s">
        <v>1707</v>
      </c>
      <c r="B1660">
        <v>34</v>
      </c>
      <c r="C1660" t="s">
        <v>21</v>
      </c>
      <c r="D1660" t="s">
        <v>41</v>
      </c>
      <c r="E1660" t="s">
        <v>31</v>
      </c>
      <c r="F1660" t="s">
        <v>23</v>
      </c>
      <c r="G1660">
        <v>1775.57</v>
      </c>
      <c r="H1660">
        <v>825.74</v>
      </c>
      <c r="I1660">
        <v>14678.54</v>
      </c>
      <c r="J1660" t="s">
        <v>37</v>
      </c>
      <c r="K1660" t="s">
        <v>38</v>
      </c>
      <c r="L1660">
        <v>0</v>
      </c>
      <c r="M1660">
        <v>0</v>
      </c>
      <c r="N1660">
        <v>0</v>
      </c>
      <c r="O1660">
        <v>0</v>
      </c>
      <c r="P1660">
        <v>0</v>
      </c>
      <c r="Q1660">
        <v>639</v>
      </c>
      <c r="R1660">
        <v>0.69</v>
      </c>
      <c r="S1660" t="s">
        <v>27</v>
      </c>
      <c r="T1660" s="1">
        <v>45599</v>
      </c>
      <c r="U1660">
        <v>0</v>
      </c>
    </row>
    <row r="1661" spans="1:21" x14ac:dyDescent="0.25">
      <c r="A1661" t="s">
        <v>1708</v>
      </c>
      <c r="B1661">
        <v>53</v>
      </c>
      <c r="C1661" t="s">
        <v>29</v>
      </c>
      <c r="D1661" t="s">
        <v>41</v>
      </c>
      <c r="E1661" t="s">
        <v>31</v>
      </c>
      <c r="F1661" t="s">
        <v>44</v>
      </c>
      <c r="G1661">
        <v>5534.89</v>
      </c>
      <c r="H1661">
        <v>1984.66</v>
      </c>
      <c r="I1661">
        <v>43685.66</v>
      </c>
      <c r="J1661" t="s">
        <v>37</v>
      </c>
      <c r="K1661" t="s">
        <v>38</v>
      </c>
      <c r="L1661">
        <v>0</v>
      </c>
      <c r="M1661">
        <v>0</v>
      </c>
      <c r="N1661">
        <v>0</v>
      </c>
      <c r="O1661">
        <v>0</v>
      </c>
      <c r="P1661">
        <v>0</v>
      </c>
      <c r="Q1661">
        <v>810</v>
      </c>
      <c r="R1661">
        <v>0.66</v>
      </c>
      <c r="S1661" t="s">
        <v>27</v>
      </c>
      <c r="T1661" s="1">
        <v>44794</v>
      </c>
      <c r="U1661">
        <v>0</v>
      </c>
    </row>
    <row r="1662" spans="1:21" x14ac:dyDescent="0.25">
      <c r="A1662" t="s">
        <v>1709</v>
      </c>
      <c r="B1662">
        <v>46</v>
      </c>
      <c r="C1662" t="s">
        <v>21</v>
      </c>
      <c r="D1662" t="s">
        <v>56</v>
      </c>
      <c r="E1662" t="s">
        <v>31</v>
      </c>
      <c r="F1662" t="s">
        <v>52</v>
      </c>
      <c r="G1662">
        <v>1546.75</v>
      </c>
      <c r="H1662">
        <v>1387.65</v>
      </c>
      <c r="I1662">
        <v>12999.75</v>
      </c>
      <c r="J1662" t="s">
        <v>37</v>
      </c>
      <c r="K1662" t="s">
        <v>38</v>
      </c>
      <c r="L1662">
        <v>0</v>
      </c>
      <c r="M1662">
        <v>0</v>
      </c>
      <c r="N1662">
        <v>0</v>
      </c>
      <c r="O1662">
        <v>0</v>
      </c>
      <c r="P1662">
        <v>0</v>
      </c>
      <c r="Q1662">
        <v>300</v>
      </c>
      <c r="R1662">
        <v>0.7</v>
      </c>
      <c r="S1662" t="s">
        <v>47</v>
      </c>
      <c r="T1662" s="1">
        <v>45465</v>
      </c>
      <c r="U1662">
        <v>0</v>
      </c>
    </row>
    <row r="1663" spans="1:21" x14ac:dyDescent="0.25">
      <c r="A1663" t="s">
        <v>1710</v>
      </c>
      <c r="B1663">
        <v>66</v>
      </c>
      <c r="C1663" t="s">
        <v>21</v>
      </c>
      <c r="D1663" t="s">
        <v>41</v>
      </c>
      <c r="E1663" t="s">
        <v>23</v>
      </c>
      <c r="F1663" t="s">
        <v>49</v>
      </c>
      <c r="G1663">
        <v>5725.53</v>
      </c>
      <c r="H1663">
        <v>2707.97</v>
      </c>
      <c r="I1663">
        <v>43901.46</v>
      </c>
      <c r="J1663" t="s">
        <v>37</v>
      </c>
      <c r="K1663" t="s">
        <v>38</v>
      </c>
      <c r="L1663">
        <v>0</v>
      </c>
      <c r="M1663">
        <v>0</v>
      </c>
      <c r="N1663">
        <v>0</v>
      </c>
      <c r="O1663">
        <v>0</v>
      </c>
      <c r="P1663">
        <v>0</v>
      </c>
      <c r="Q1663">
        <v>601</v>
      </c>
      <c r="R1663">
        <v>0.64</v>
      </c>
      <c r="S1663" t="s">
        <v>39</v>
      </c>
      <c r="T1663" s="1">
        <v>44850</v>
      </c>
      <c r="U1663">
        <v>0</v>
      </c>
    </row>
    <row r="1664" spans="1:21" x14ac:dyDescent="0.25">
      <c r="A1664" t="s">
        <v>1711</v>
      </c>
      <c r="B1664">
        <v>59</v>
      </c>
      <c r="C1664" t="s">
        <v>29</v>
      </c>
      <c r="D1664" t="s">
        <v>22</v>
      </c>
      <c r="E1664" t="s">
        <v>31</v>
      </c>
      <c r="F1664" t="s">
        <v>36</v>
      </c>
      <c r="G1664">
        <v>6261.73</v>
      </c>
      <c r="H1664">
        <v>4567.24</v>
      </c>
      <c r="I1664">
        <v>29106.83</v>
      </c>
      <c r="J1664" t="s">
        <v>37</v>
      </c>
      <c r="K1664" t="s">
        <v>38</v>
      </c>
      <c r="L1664">
        <v>0</v>
      </c>
      <c r="M1664">
        <v>0</v>
      </c>
      <c r="N1664">
        <v>0</v>
      </c>
      <c r="O1664">
        <v>0</v>
      </c>
      <c r="P1664">
        <v>0</v>
      </c>
      <c r="Q1664">
        <v>697</v>
      </c>
      <c r="R1664">
        <v>0.39</v>
      </c>
      <c r="S1664" t="s">
        <v>72</v>
      </c>
      <c r="T1664" s="1">
        <v>45431</v>
      </c>
      <c r="U1664">
        <v>0</v>
      </c>
    </row>
    <row r="1665" spans="1:21" x14ac:dyDescent="0.25">
      <c r="A1665" t="s">
        <v>1712</v>
      </c>
      <c r="B1665">
        <v>65</v>
      </c>
      <c r="C1665" t="s">
        <v>29</v>
      </c>
      <c r="D1665" t="s">
        <v>41</v>
      </c>
      <c r="E1665" t="s">
        <v>31</v>
      </c>
      <c r="F1665" t="s">
        <v>44</v>
      </c>
      <c r="G1665">
        <v>2403.44</v>
      </c>
      <c r="H1665">
        <v>2065.96</v>
      </c>
      <c r="I1665">
        <v>24492.14</v>
      </c>
      <c r="J1665" t="s">
        <v>37</v>
      </c>
      <c r="K1665" t="s">
        <v>38</v>
      </c>
      <c r="L1665">
        <v>0</v>
      </c>
      <c r="M1665">
        <v>0</v>
      </c>
      <c r="N1665">
        <v>0</v>
      </c>
      <c r="O1665">
        <v>0</v>
      </c>
      <c r="P1665">
        <v>0</v>
      </c>
      <c r="Q1665">
        <v>480</v>
      </c>
      <c r="R1665">
        <v>0.85</v>
      </c>
      <c r="S1665" t="s">
        <v>39</v>
      </c>
      <c r="T1665" s="1">
        <v>44853</v>
      </c>
      <c r="U1665">
        <v>0</v>
      </c>
    </row>
    <row r="1666" spans="1:21" x14ac:dyDescent="0.25">
      <c r="A1666" t="s">
        <v>1713</v>
      </c>
      <c r="B1666">
        <v>57</v>
      </c>
      <c r="C1666" t="s">
        <v>29</v>
      </c>
      <c r="D1666" t="s">
        <v>22</v>
      </c>
      <c r="E1666" t="s">
        <v>31</v>
      </c>
      <c r="F1666" t="s">
        <v>52</v>
      </c>
      <c r="G1666">
        <v>2930.57</v>
      </c>
      <c r="H1666">
        <v>1379.99</v>
      </c>
      <c r="I1666">
        <v>4614.88</v>
      </c>
      <c r="J1666" t="s">
        <v>37</v>
      </c>
      <c r="K1666" t="s">
        <v>38</v>
      </c>
      <c r="L1666">
        <v>0</v>
      </c>
      <c r="M1666">
        <v>0</v>
      </c>
      <c r="N1666">
        <v>0</v>
      </c>
      <c r="O1666">
        <v>0</v>
      </c>
      <c r="P1666">
        <v>0</v>
      </c>
      <c r="Q1666">
        <v>710</v>
      </c>
      <c r="R1666">
        <v>0.13</v>
      </c>
      <c r="S1666" t="s">
        <v>27</v>
      </c>
      <c r="T1666" s="1">
        <v>45348</v>
      </c>
      <c r="U1666">
        <v>0</v>
      </c>
    </row>
    <row r="1667" spans="1:21" x14ac:dyDescent="0.25">
      <c r="A1667" t="s">
        <v>1714</v>
      </c>
      <c r="B1667">
        <v>54</v>
      </c>
      <c r="C1667" t="s">
        <v>21</v>
      </c>
      <c r="D1667" t="s">
        <v>41</v>
      </c>
      <c r="E1667" t="s">
        <v>31</v>
      </c>
      <c r="F1667" t="s">
        <v>24</v>
      </c>
      <c r="G1667">
        <v>3558.84</v>
      </c>
      <c r="H1667">
        <v>2408.0100000000002</v>
      </c>
      <c r="I1667">
        <v>33592.120000000003</v>
      </c>
      <c r="J1667" t="s">
        <v>37</v>
      </c>
      <c r="K1667" t="s">
        <v>38</v>
      </c>
      <c r="L1667">
        <v>0</v>
      </c>
      <c r="M1667">
        <v>0</v>
      </c>
      <c r="N1667">
        <v>0</v>
      </c>
      <c r="O1667">
        <v>0</v>
      </c>
      <c r="P1667">
        <v>0</v>
      </c>
      <c r="Q1667">
        <v>484</v>
      </c>
      <c r="R1667">
        <v>0.79</v>
      </c>
      <c r="S1667" t="s">
        <v>72</v>
      </c>
      <c r="T1667" s="1">
        <v>44788</v>
      </c>
      <c r="U1667">
        <v>0</v>
      </c>
    </row>
    <row r="1668" spans="1:21" x14ac:dyDescent="0.25">
      <c r="A1668" t="s">
        <v>1715</v>
      </c>
      <c r="B1668">
        <v>55</v>
      </c>
      <c r="C1668" t="s">
        <v>29</v>
      </c>
      <c r="D1668" t="s">
        <v>35</v>
      </c>
      <c r="E1668" t="s">
        <v>23</v>
      </c>
      <c r="F1668" t="s">
        <v>44</v>
      </c>
      <c r="G1668">
        <v>3638.12</v>
      </c>
      <c r="H1668">
        <v>1164.1099999999999</v>
      </c>
      <c r="I1668">
        <v>7324.29</v>
      </c>
      <c r="J1668" t="s">
        <v>25</v>
      </c>
      <c r="K1668" t="s">
        <v>45</v>
      </c>
      <c r="L1668">
        <v>243762.72</v>
      </c>
      <c r="M1668">
        <v>240</v>
      </c>
      <c r="N1668">
        <v>2826.39</v>
      </c>
      <c r="O1668">
        <v>12.83</v>
      </c>
      <c r="P1668">
        <v>0.78</v>
      </c>
      <c r="Q1668">
        <v>461</v>
      </c>
      <c r="R1668">
        <v>0.17</v>
      </c>
      <c r="S1668" t="s">
        <v>39</v>
      </c>
      <c r="T1668" s="1">
        <v>45398</v>
      </c>
      <c r="U1668">
        <v>1</v>
      </c>
    </row>
    <row r="1669" spans="1:21" x14ac:dyDescent="0.25">
      <c r="A1669" t="s">
        <v>1716</v>
      </c>
      <c r="B1669">
        <v>66</v>
      </c>
      <c r="C1669" t="s">
        <v>21</v>
      </c>
      <c r="D1669" t="s">
        <v>35</v>
      </c>
      <c r="E1669" t="s">
        <v>31</v>
      </c>
      <c r="F1669" t="s">
        <v>23</v>
      </c>
      <c r="G1669">
        <v>4837.79</v>
      </c>
      <c r="H1669">
        <v>2032.43</v>
      </c>
      <c r="I1669">
        <v>53249.1</v>
      </c>
      <c r="J1669" t="s">
        <v>37</v>
      </c>
      <c r="K1669" t="s">
        <v>38</v>
      </c>
      <c r="L1669">
        <v>0</v>
      </c>
      <c r="M1669">
        <v>0</v>
      </c>
      <c r="N1669">
        <v>0</v>
      </c>
      <c r="O1669">
        <v>0</v>
      </c>
      <c r="P1669">
        <v>0</v>
      </c>
      <c r="Q1669">
        <v>639</v>
      </c>
      <c r="R1669">
        <v>0.92</v>
      </c>
      <c r="S1669" t="s">
        <v>27</v>
      </c>
      <c r="T1669" s="1">
        <v>45646</v>
      </c>
      <c r="U1669">
        <v>0</v>
      </c>
    </row>
    <row r="1670" spans="1:21" x14ac:dyDescent="0.25">
      <c r="A1670" t="s">
        <v>1717</v>
      </c>
      <c r="B1670">
        <v>65</v>
      </c>
      <c r="C1670" t="s">
        <v>21</v>
      </c>
      <c r="D1670" t="s">
        <v>35</v>
      </c>
      <c r="E1670" t="s">
        <v>23</v>
      </c>
      <c r="F1670" t="s">
        <v>52</v>
      </c>
      <c r="G1670">
        <v>10102.81</v>
      </c>
      <c r="H1670">
        <v>4801.84</v>
      </c>
      <c r="I1670">
        <v>22616.02</v>
      </c>
      <c r="J1670" t="s">
        <v>37</v>
      </c>
      <c r="K1670" t="s">
        <v>38</v>
      </c>
      <c r="L1670">
        <v>0</v>
      </c>
      <c r="M1670">
        <v>0</v>
      </c>
      <c r="N1670">
        <v>0</v>
      </c>
      <c r="O1670">
        <v>0</v>
      </c>
      <c r="P1670">
        <v>0</v>
      </c>
      <c r="Q1670">
        <v>382</v>
      </c>
      <c r="R1670">
        <v>0.19</v>
      </c>
      <c r="S1670" t="s">
        <v>27</v>
      </c>
      <c r="T1670" s="1">
        <v>44768</v>
      </c>
      <c r="U1670">
        <v>0</v>
      </c>
    </row>
    <row r="1671" spans="1:21" x14ac:dyDescent="0.25">
      <c r="A1671" t="s">
        <v>1718</v>
      </c>
      <c r="B1671">
        <v>41</v>
      </c>
      <c r="C1671" t="s">
        <v>29</v>
      </c>
      <c r="D1671" t="s">
        <v>41</v>
      </c>
      <c r="E1671" t="s">
        <v>31</v>
      </c>
      <c r="F1671" t="s">
        <v>36</v>
      </c>
      <c r="G1671">
        <v>500</v>
      </c>
      <c r="H1671">
        <v>246.8</v>
      </c>
      <c r="I1671">
        <v>5049.6899999999996</v>
      </c>
      <c r="J1671" t="s">
        <v>37</v>
      </c>
      <c r="K1671" t="s">
        <v>38</v>
      </c>
      <c r="L1671">
        <v>0</v>
      </c>
      <c r="M1671">
        <v>0</v>
      </c>
      <c r="N1671">
        <v>0</v>
      </c>
      <c r="O1671">
        <v>0</v>
      </c>
      <c r="P1671">
        <v>0</v>
      </c>
      <c r="Q1671">
        <v>324</v>
      </c>
      <c r="R1671">
        <v>0.84</v>
      </c>
      <c r="S1671" t="s">
        <v>30</v>
      </c>
      <c r="T1671" s="1">
        <v>44852</v>
      </c>
      <c r="U1671">
        <v>0</v>
      </c>
    </row>
    <row r="1672" spans="1:21" x14ac:dyDescent="0.25">
      <c r="A1672" t="s">
        <v>1719</v>
      </c>
      <c r="B1672">
        <v>23</v>
      </c>
      <c r="C1672" t="s">
        <v>21</v>
      </c>
      <c r="D1672" t="s">
        <v>41</v>
      </c>
      <c r="E1672" t="s">
        <v>31</v>
      </c>
      <c r="F1672" t="s">
        <v>52</v>
      </c>
      <c r="G1672">
        <v>4631.4799999999996</v>
      </c>
      <c r="H1672">
        <v>2404.9899999999998</v>
      </c>
      <c r="I1672">
        <v>51519.31</v>
      </c>
      <c r="J1672" t="s">
        <v>37</v>
      </c>
      <c r="K1672" t="s">
        <v>38</v>
      </c>
      <c r="L1672">
        <v>0</v>
      </c>
      <c r="M1672">
        <v>0</v>
      </c>
      <c r="N1672">
        <v>0</v>
      </c>
      <c r="O1672">
        <v>0</v>
      </c>
      <c r="P1672">
        <v>0</v>
      </c>
      <c r="Q1672">
        <v>490</v>
      </c>
      <c r="R1672">
        <v>0.93</v>
      </c>
      <c r="S1672" t="s">
        <v>30</v>
      </c>
      <c r="T1672" s="1">
        <v>45308</v>
      </c>
      <c r="U1672">
        <v>0</v>
      </c>
    </row>
    <row r="1673" spans="1:21" x14ac:dyDescent="0.25">
      <c r="A1673" t="s">
        <v>1720</v>
      </c>
      <c r="B1673">
        <v>29</v>
      </c>
      <c r="C1673" t="s">
        <v>21</v>
      </c>
      <c r="D1673" t="s">
        <v>41</v>
      </c>
      <c r="E1673" t="s">
        <v>49</v>
      </c>
      <c r="F1673" t="s">
        <v>52</v>
      </c>
      <c r="G1673">
        <v>3140.73</v>
      </c>
      <c r="H1673">
        <v>1458.65</v>
      </c>
      <c r="I1673">
        <v>6056.81</v>
      </c>
      <c r="J1673" t="s">
        <v>37</v>
      </c>
      <c r="K1673" t="s">
        <v>38</v>
      </c>
      <c r="L1673">
        <v>0</v>
      </c>
      <c r="M1673">
        <v>0</v>
      </c>
      <c r="N1673">
        <v>0</v>
      </c>
      <c r="O1673">
        <v>0</v>
      </c>
      <c r="P1673">
        <v>0</v>
      </c>
      <c r="Q1673">
        <v>532</v>
      </c>
      <c r="R1673">
        <v>0.16</v>
      </c>
      <c r="S1673" t="s">
        <v>39</v>
      </c>
      <c r="T1673" s="1">
        <v>45843</v>
      </c>
      <c r="U1673">
        <v>0</v>
      </c>
    </row>
    <row r="1674" spans="1:21" x14ac:dyDescent="0.25">
      <c r="A1674" t="s">
        <v>1721</v>
      </c>
      <c r="B1674">
        <v>27</v>
      </c>
      <c r="C1674" t="s">
        <v>29</v>
      </c>
      <c r="D1674" t="s">
        <v>41</v>
      </c>
      <c r="E1674" t="s">
        <v>31</v>
      </c>
      <c r="F1674" t="s">
        <v>52</v>
      </c>
      <c r="G1674">
        <v>5325.83</v>
      </c>
      <c r="H1674">
        <v>3897.64</v>
      </c>
      <c r="I1674">
        <v>51240.34</v>
      </c>
      <c r="J1674" t="s">
        <v>37</v>
      </c>
      <c r="K1674" t="s">
        <v>38</v>
      </c>
      <c r="L1674">
        <v>0</v>
      </c>
      <c r="M1674">
        <v>0</v>
      </c>
      <c r="N1674">
        <v>0</v>
      </c>
      <c r="O1674">
        <v>0</v>
      </c>
      <c r="P1674">
        <v>0</v>
      </c>
      <c r="Q1674">
        <v>476</v>
      </c>
      <c r="R1674">
        <v>0.8</v>
      </c>
      <c r="S1674" t="s">
        <v>27</v>
      </c>
      <c r="T1674" s="1">
        <v>44944</v>
      </c>
      <c r="U1674">
        <v>0</v>
      </c>
    </row>
    <row r="1675" spans="1:21" x14ac:dyDescent="0.25">
      <c r="A1675" t="s">
        <v>1722</v>
      </c>
      <c r="B1675">
        <v>68</v>
      </c>
      <c r="C1675" t="s">
        <v>29</v>
      </c>
      <c r="D1675" t="s">
        <v>35</v>
      </c>
      <c r="E1675" t="s">
        <v>31</v>
      </c>
      <c r="F1675" t="s">
        <v>32</v>
      </c>
      <c r="G1675">
        <v>3817.78</v>
      </c>
      <c r="H1675">
        <v>1676.31</v>
      </c>
      <c r="I1675">
        <v>18583.740000000002</v>
      </c>
      <c r="J1675" t="s">
        <v>37</v>
      </c>
      <c r="K1675" t="s">
        <v>38</v>
      </c>
      <c r="L1675">
        <v>0</v>
      </c>
      <c r="M1675">
        <v>0</v>
      </c>
      <c r="N1675">
        <v>0</v>
      </c>
      <c r="O1675">
        <v>0</v>
      </c>
      <c r="P1675">
        <v>0</v>
      </c>
      <c r="Q1675">
        <v>703</v>
      </c>
      <c r="R1675">
        <v>0.41</v>
      </c>
      <c r="S1675" t="s">
        <v>72</v>
      </c>
      <c r="T1675" s="1">
        <v>44895</v>
      </c>
      <c r="U1675">
        <v>0</v>
      </c>
    </row>
    <row r="1676" spans="1:21" x14ac:dyDescent="0.25">
      <c r="A1676" t="s">
        <v>1723</v>
      </c>
      <c r="B1676">
        <v>64</v>
      </c>
      <c r="C1676" t="s">
        <v>21</v>
      </c>
      <c r="D1676" t="s">
        <v>22</v>
      </c>
      <c r="E1676" t="s">
        <v>31</v>
      </c>
      <c r="F1676" t="s">
        <v>42</v>
      </c>
      <c r="G1676">
        <v>8563.25</v>
      </c>
      <c r="H1676">
        <v>5929.65</v>
      </c>
      <c r="I1676">
        <v>35156.769999999997</v>
      </c>
      <c r="J1676" t="s">
        <v>25</v>
      </c>
      <c r="K1676" t="s">
        <v>33</v>
      </c>
      <c r="L1676">
        <v>444249.38</v>
      </c>
      <c r="M1676">
        <v>360</v>
      </c>
      <c r="N1676">
        <v>9046.8799999999992</v>
      </c>
      <c r="O1676">
        <v>24.42</v>
      </c>
      <c r="P1676">
        <v>1.06</v>
      </c>
      <c r="Q1676">
        <v>788</v>
      </c>
      <c r="R1676">
        <v>0.34</v>
      </c>
      <c r="S1676" t="s">
        <v>30</v>
      </c>
      <c r="T1676" s="1">
        <v>45068</v>
      </c>
      <c r="U1676">
        <v>1</v>
      </c>
    </row>
    <row r="1677" spans="1:21" x14ac:dyDescent="0.25">
      <c r="A1677" t="s">
        <v>1724</v>
      </c>
      <c r="B1677">
        <v>26</v>
      </c>
      <c r="C1677" t="s">
        <v>29</v>
      </c>
      <c r="D1677" t="s">
        <v>41</v>
      </c>
      <c r="E1677" t="s">
        <v>23</v>
      </c>
      <c r="F1677" t="s">
        <v>63</v>
      </c>
      <c r="G1677">
        <v>2418.64</v>
      </c>
      <c r="H1677">
        <v>1580.39</v>
      </c>
      <c r="I1677">
        <v>10426.69</v>
      </c>
      <c r="J1677" t="s">
        <v>37</v>
      </c>
      <c r="K1677" t="s">
        <v>38</v>
      </c>
      <c r="L1677">
        <v>0</v>
      </c>
      <c r="M1677">
        <v>0</v>
      </c>
      <c r="N1677">
        <v>0</v>
      </c>
      <c r="O1677">
        <v>0</v>
      </c>
      <c r="P1677">
        <v>0</v>
      </c>
      <c r="Q1677">
        <v>804</v>
      </c>
      <c r="R1677">
        <v>0.36</v>
      </c>
      <c r="S1677" t="s">
        <v>27</v>
      </c>
      <c r="T1677" s="1">
        <v>44762</v>
      </c>
      <c r="U1677">
        <v>0</v>
      </c>
    </row>
    <row r="1678" spans="1:21" x14ac:dyDescent="0.25">
      <c r="A1678" t="s">
        <v>1725</v>
      </c>
      <c r="B1678">
        <v>66</v>
      </c>
      <c r="C1678" t="s">
        <v>21</v>
      </c>
      <c r="D1678" t="s">
        <v>35</v>
      </c>
      <c r="E1678" t="s">
        <v>31</v>
      </c>
      <c r="F1678" t="s">
        <v>52</v>
      </c>
      <c r="G1678">
        <v>5405.91</v>
      </c>
      <c r="H1678">
        <v>3299.53</v>
      </c>
      <c r="I1678">
        <v>6629.92</v>
      </c>
      <c r="J1678" t="s">
        <v>37</v>
      </c>
      <c r="K1678" t="s">
        <v>38</v>
      </c>
      <c r="L1678">
        <v>0</v>
      </c>
      <c r="M1678">
        <v>0</v>
      </c>
      <c r="N1678">
        <v>0</v>
      </c>
      <c r="O1678">
        <v>0</v>
      </c>
      <c r="P1678">
        <v>0</v>
      </c>
      <c r="Q1678">
        <v>444</v>
      </c>
      <c r="R1678">
        <v>0.1</v>
      </c>
      <c r="S1678" t="s">
        <v>30</v>
      </c>
      <c r="T1678" s="1">
        <v>45339</v>
      </c>
      <c r="U1678">
        <v>0</v>
      </c>
    </row>
    <row r="1679" spans="1:21" x14ac:dyDescent="0.25">
      <c r="A1679" t="s">
        <v>1726</v>
      </c>
      <c r="B1679">
        <v>34</v>
      </c>
      <c r="C1679" t="s">
        <v>21</v>
      </c>
      <c r="D1679" t="s">
        <v>35</v>
      </c>
      <c r="E1679" t="s">
        <v>31</v>
      </c>
      <c r="F1679" t="s">
        <v>23</v>
      </c>
      <c r="G1679">
        <v>3195.73</v>
      </c>
      <c r="H1679">
        <v>1709.51</v>
      </c>
      <c r="I1679">
        <v>34617.440000000002</v>
      </c>
      <c r="J1679" t="s">
        <v>37</v>
      </c>
      <c r="K1679" t="s">
        <v>38</v>
      </c>
      <c r="L1679">
        <v>0</v>
      </c>
      <c r="M1679">
        <v>0</v>
      </c>
      <c r="N1679">
        <v>0</v>
      </c>
      <c r="O1679">
        <v>0</v>
      </c>
      <c r="P1679">
        <v>0</v>
      </c>
      <c r="Q1679">
        <v>315</v>
      </c>
      <c r="R1679">
        <v>0.9</v>
      </c>
      <c r="S1679" t="s">
        <v>47</v>
      </c>
      <c r="T1679" s="1">
        <v>45141</v>
      </c>
      <c r="U1679">
        <v>0</v>
      </c>
    </row>
    <row r="1680" spans="1:21" x14ac:dyDescent="0.25">
      <c r="A1680" t="s">
        <v>1727</v>
      </c>
      <c r="B1680">
        <v>46</v>
      </c>
      <c r="C1680" t="s">
        <v>29</v>
      </c>
      <c r="D1680" t="s">
        <v>30</v>
      </c>
      <c r="E1680" t="s">
        <v>31</v>
      </c>
      <c r="F1680" t="s">
        <v>32</v>
      </c>
      <c r="G1680">
        <v>963.86</v>
      </c>
      <c r="H1680">
        <v>496.99</v>
      </c>
      <c r="I1680">
        <v>10936.22</v>
      </c>
      <c r="J1680" t="s">
        <v>37</v>
      </c>
      <c r="K1680" t="s">
        <v>38</v>
      </c>
      <c r="L1680">
        <v>0</v>
      </c>
      <c r="M1680">
        <v>0</v>
      </c>
      <c r="N1680">
        <v>0</v>
      </c>
      <c r="O1680">
        <v>0</v>
      </c>
      <c r="P1680">
        <v>0</v>
      </c>
      <c r="Q1680">
        <v>789</v>
      </c>
      <c r="R1680">
        <v>0.95</v>
      </c>
      <c r="S1680" t="s">
        <v>30</v>
      </c>
      <c r="T1680" s="1">
        <v>45168</v>
      </c>
      <c r="U1680">
        <v>0</v>
      </c>
    </row>
    <row r="1681" spans="1:21" x14ac:dyDescent="0.25">
      <c r="A1681" t="s">
        <v>1728</v>
      </c>
      <c r="B1681">
        <v>37</v>
      </c>
      <c r="C1681" t="s">
        <v>21</v>
      </c>
      <c r="D1681" t="s">
        <v>35</v>
      </c>
      <c r="E1681" t="s">
        <v>31</v>
      </c>
      <c r="F1681" t="s">
        <v>24</v>
      </c>
      <c r="G1681">
        <v>1733.65</v>
      </c>
      <c r="H1681">
        <v>563.04</v>
      </c>
      <c r="I1681">
        <v>8020.49</v>
      </c>
      <c r="J1681" t="s">
        <v>37</v>
      </c>
      <c r="K1681" t="s">
        <v>38</v>
      </c>
      <c r="L1681">
        <v>0</v>
      </c>
      <c r="M1681">
        <v>0</v>
      </c>
      <c r="N1681">
        <v>0</v>
      </c>
      <c r="O1681">
        <v>0</v>
      </c>
      <c r="P1681">
        <v>0</v>
      </c>
      <c r="Q1681">
        <v>788</v>
      </c>
      <c r="R1681">
        <v>0.39</v>
      </c>
      <c r="S1681" t="s">
        <v>27</v>
      </c>
      <c r="T1681" s="1">
        <v>44447</v>
      </c>
      <c r="U1681">
        <v>0</v>
      </c>
    </row>
    <row r="1682" spans="1:21" x14ac:dyDescent="0.25">
      <c r="A1682" t="s">
        <v>1729</v>
      </c>
      <c r="B1682">
        <v>31</v>
      </c>
      <c r="C1682" t="s">
        <v>21</v>
      </c>
      <c r="D1682" t="s">
        <v>41</v>
      </c>
      <c r="E1682" t="s">
        <v>31</v>
      </c>
      <c r="F1682" t="s">
        <v>42</v>
      </c>
      <c r="G1682">
        <v>4119.13</v>
      </c>
      <c r="H1682">
        <v>1769.67</v>
      </c>
      <c r="I1682">
        <v>31380.1</v>
      </c>
      <c r="J1682" t="s">
        <v>37</v>
      </c>
      <c r="K1682" t="s">
        <v>38</v>
      </c>
      <c r="L1682">
        <v>0</v>
      </c>
      <c r="M1682">
        <v>0</v>
      </c>
      <c r="N1682">
        <v>0</v>
      </c>
      <c r="O1682">
        <v>0</v>
      </c>
      <c r="P1682">
        <v>0</v>
      </c>
      <c r="Q1682">
        <v>542</v>
      </c>
      <c r="R1682">
        <v>0.63</v>
      </c>
      <c r="S1682" t="s">
        <v>39</v>
      </c>
      <c r="T1682" s="1">
        <v>44524</v>
      </c>
      <c r="U1682">
        <v>0</v>
      </c>
    </row>
    <row r="1683" spans="1:21" x14ac:dyDescent="0.25">
      <c r="A1683" t="s">
        <v>1730</v>
      </c>
      <c r="B1683">
        <v>54</v>
      </c>
      <c r="C1683" t="s">
        <v>29</v>
      </c>
      <c r="D1683" t="s">
        <v>22</v>
      </c>
      <c r="E1683" t="s">
        <v>31</v>
      </c>
      <c r="F1683" t="s">
        <v>52</v>
      </c>
      <c r="G1683">
        <v>6369.07</v>
      </c>
      <c r="H1683">
        <v>4098.45</v>
      </c>
      <c r="I1683">
        <v>65311.6</v>
      </c>
      <c r="J1683" t="s">
        <v>37</v>
      </c>
      <c r="K1683" t="s">
        <v>38</v>
      </c>
      <c r="L1683">
        <v>0</v>
      </c>
      <c r="M1683">
        <v>0</v>
      </c>
      <c r="N1683">
        <v>0</v>
      </c>
      <c r="O1683">
        <v>0</v>
      </c>
      <c r="P1683">
        <v>0</v>
      </c>
      <c r="Q1683">
        <v>455</v>
      </c>
      <c r="R1683">
        <v>0.85</v>
      </c>
      <c r="S1683" t="s">
        <v>30</v>
      </c>
      <c r="T1683" s="1">
        <v>45341</v>
      </c>
      <c r="U1683">
        <v>0</v>
      </c>
    </row>
    <row r="1684" spans="1:21" x14ac:dyDescent="0.25">
      <c r="A1684" t="s">
        <v>1731</v>
      </c>
      <c r="B1684">
        <v>40</v>
      </c>
      <c r="C1684" t="s">
        <v>29</v>
      </c>
      <c r="D1684" t="s">
        <v>35</v>
      </c>
      <c r="E1684" t="s">
        <v>51</v>
      </c>
      <c r="F1684" t="s">
        <v>23</v>
      </c>
      <c r="G1684">
        <v>4080.16</v>
      </c>
      <c r="H1684">
        <v>1409.73</v>
      </c>
      <c r="I1684">
        <v>45949.75</v>
      </c>
      <c r="J1684" t="s">
        <v>25</v>
      </c>
      <c r="K1684" t="s">
        <v>45</v>
      </c>
      <c r="L1684">
        <v>143673.71</v>
      </c>
      <c r="M1684">
        <v>24</v>
      </c>
      <c r="N1684">
        <v>7983</v>
      </c>
      <c r="O1684">
        <v>29.32</v>
      </c>
      <c r="P1684">
        <v>1.96</v>
      </c>
      <c r="Q1684">
        <v>307</v>
      </c>
      <c r="R1684">
        <v>0.94</v>
      </c>
      <c r="S1684" t="s">
        <v>47</v>
      </c>
      <c r="T1684" s="1">
        <v>45242</v>
      </c>
      <c r="U1684">
        <v>1</v>
      </c>
    </row>
    <row r="1685" spans="1:21" x14ac:dyDescent="0.25">
      <c r="A1685" t="s">
        <v>1732</v>
      </c>
      <c r="B1685">
        <v>24</v>
      </c>
      <c r="C1685" t="s">
        <v>21</v>
      </c>
      <c r="D1685" t="s">
        <v>30</v>
      </c>
      <c r="E1685" t="s">
        <v>31</v>
      </c>
      <c r="F1685" t="s">
        <v>36</v>
      </c>
      <c r="G1685">
        <v>6082.94</v>
      </c>
      <c r="H1685">
        <v>2654.18</v>
      </c>
      <c r="I1685">
        <v>62654.61</v>
      </c>
      <c r="J1685" t="s">
        <v>37</v>
      </c>
      <c r="K1685" t="s">
        <v>38</v>
      </c>
      <c r="L1685">
        <v>0</v>
      </c>
      <c r="M1685">
        <v>0</v>
      </c>
      <c r="N1685">
        <v>0</v>
      </c>
      <c r="O1685">
        <v>0</v>
      </c>
      <c r="P1685">
        <v>0</v>
      </c>
      <c r="Q1685">
        <v>401</v>
      </c>
      <c r="R1685">
        <v>0.86</v>
      </c>
      <c r="S1685" t="s">
        <v>27</v>
      </c>
      <c r="T1685" s="1">
        <v>44466</v>
      </c>
      <c r="U1685">
        <v>0</v>
      </c>
    </row>
    <row r="1686" spans="1:21" x14ac:dyDescent="0.25">
      <c r="A1686" t="s">
        <v>1733</v>
      </c>
      <c r="B1686">
        <v>62</v>
      </c>
      <c r="C1686" t="s">
        <v>29</v>
      </c>
      <c r="D1686" t="s">
        <v>35</v>
      </c>
      <c r="E1686" t="s">
        <v>51</v>
      </c>
      <c r="F1686" t="s">
        <v>42</v>
      </c>
      <c r="G1686">
        <v>3955.33</v>
      </c>
      <c r="H1686">
        <v>2892.69</v>
      </c>
      <c r="I1686">
        <v>21411.1</v>
      </c>
      <c r="J1686" t="s">
        <v>37</v>
      </c>
      <c r="K1686" t="s">
        <v>38</v>
      </c>
      <c r="L1686">
        <v>0</v>
      </c>
      <c r="M1686">
        <v>0</v>
      </c>
      <c r="N1686">
        <v>0</v>
      </c>
      <c r="O1686">
        <v>0</v>
      </c>
      <c r="P1686">
        <v>0</v>
      </c>
      <c r="Q1686">
        <v>580</v>
      </c>
      <c r="R1686">
        <v>0.45</v>
      </c>
      <c r="S1686" t="s">
        <v>47</v>
      </c>
      <c r="T1686" s="1">
        <v>44766</v>
      </c>
      <c r="U1686">
        <v>0</v>
      </c>
    </row>
    <row r="1687" spans="1:21" x14ac:dyDescent="0.25">
      <c r="A1687" t="s">
        <v>1734</v>
      </c>
      <c r="B1687">
        <v>26</v>
      </c>
      <c r="C1687" t="s">
        <v>21</v>
      </c>
      <c r="D1687" t="s">
        <v>41</v>
      </c>
      <c r="E1687" t="s">
        <v>51</v>
      </c>
      <c r="F1687" t="s">
        <v>49</v>
      </c>
      <c r="G1687">
        <v>5517.18</v>
      </c>
      <c r="H1687">
        <v>3934.35</v>
      </c>
      <c r="I1687">
        <v>35277.129999999997</v>
      </c>
      <c r="J1687" t="s">
        <v>25</v>
      </c>
      <c r="K1687" t="s">
        <v>26</v>
      </c>
      <c r="L1687">
        <v>120810.39</v>
      </c>
      <c r="M1687">
        <v>12</v>
      </c>
      <c r="N1687">
        <v>10447.200000000001</v>
      </c>
      <c r="O1687">
        <v>6.89</v>
      </c>
      <c r="P1687">
        <v>1.89</v>
      </c>
      <c r="Q1687">
        <v>703</v>
      </c>
      <c r="R1687">
        <v>0.53</v>
      </c>
      <c r="S1687" t="s">
        <v>30</v>
      </c>
      <c r="T1687" s="1">
        <v>44485</v>
      </c>
      <c r="U1687">
        <v>1</v>
      </c>
    </row>
    <row r="1688" spans="1:21" x14ac:dyDescent="0.25">
      <c r="A1688" t="s">
        <v>1735</v>
      </c>
      <c r="B1688">
        <v>66</v>
      </c>
      <c r="C1688" t="s">
        <v>29</v>
      </c>
      <c r="D1688" t="s">
        <v>30</v>
      </c>
      <c r="E1688" t="s">
        <v>31</v>
      </c>
      <c r="F1688" t="s">
        <v>36</v>
      </c>
      <c r="G1688">
        <v>5171.8599999999997</v>
      </c>
      <c r="H1688">
        <v>1962.93</v>
      </c>
      <c r="I1688">
        <v>7739.32</v>
      </c>
      <c r="J1688" t="s">
        <v>25</v>
      </c>
      <c r="K1688" t="s">
        <v>54</v>
      </c>
      <c r="L1688">
        <v>144939.17000000001</v>
      </c>
      <c r="M1688">
        <v>300</v>
      </c>
      <c r="N1688">
        <v>2845.66</v>
      </c>
      <c r="O1688">
        <v>23.49</v>
      </c>
      <c r="P1688">
        <v>0.55000000000000004</v>
      </c>
      <c r="Q1688">
        <v>702</v>
      </c>
      <c r="R1688">
        <v>0.12</v>
      </c>
      <c r="S1688" t="s">
        <v>30</v>
      </c>
      <c r="T1688" s="1">
        <v>45021</v>
      </c>
      <c r="U1688">
        <v>1</v>
      </c>
    </row>
    <row r="1689" spans="1:21" x14ac:dyDescent="0.25">
      <c r="A1689" t="s">
        <v>1736</v>
      </c>
      <c r="B1689">
        <v>41</v>
      </c>
      <c r="C1689" t="s">
        <v>30</v>
      </c>
      <c r="D1689" t="s">
        <v>41</v>
      </c>
      <c r="E1689" t="s">
        <v>51</v>
      </c>
      <c r="F1689" t="s">
        <v>24</v>
      </c>
      <c r="G1689">
        <v>4469.66</v>
      </c>
      <c r="H1689">
        <v>1852.85</v>
      </c>
      <c r="I1689">
        <v>21162.97</v>
      </c>
      <c r="J1689" t="s">
        <v>37</v>
      </c>
      <c r="K1689" t="s">
        <v>38</v>
      </c>
      <c r="L1689">
        <v>0</v>
      </c>
      <c r="M1689">
        <v>0</v>
      </c>
      <c r="N1689">
        <v>0</v>
      </c>
      <c r="O1689">
        <v>0</v>
      </c>
      <c r="P1689">
        <v>0</v>
      </c>
      <c r="Q1689">
        <v>468</v>
      </c>
      <c r="R1689">
        <v>0.39</v>
      </c>
      <c r="S1689" t="s">
        <v>47</v>
      </c>
      <c r="T1689" s="1">
        <v>44674</v>
      </c>
      <c r="U1689">
        <v>0</v>
      </c>
    </row>
    <row r="1690" spans="1:21" x14ac:dyDescent="0.25">
      <c r="A1690" t="s">
        <v>1737</v>
      </c>
      <c r="B1690">
        <v>36</v>
      </c>
      <c r="C1690" t="s">
        <v>21</v>
      </c>
      <c r="D1690" t="s">
        <v>41</v>
      </c>
      <c r="E1690" t="s">
        <v>23</v>
      </c>
      <c r="F1690" t="s">
        <v>52</v>
      </c>
      <c r="G1690">
        <v>4870.33</v>
      </c>
      <c r="H1690">
        <v>3402.46</v>
      </c>
      <c r="I1690">
        <v>41409.620000000003</v>
      </c>
      <c r="J1690" t="s">
        <v>25</v>
      </c>
      <c r="K1690" t="s">
        <v>33</v>
      </c>
      <c r="L1690">
        <v>416969.72</v>
      </c>
      <c r="M1690">
        <v>240</v>
      </c>
      <c r="N1690">
        <v>8039.95</v>
      </c>
      <c r="O1690">
        <v>22.89</v>
      </c>
      <c r="P1690">
        <v>1.65</v>
      </c>
      <c r="Q1690">
        <v>794</v>
      </c>
      <c r="R1690">
        <v>0.71</v>
      </c>
      <c r="S1690" t="s">
        <v>72</v>
      </c>
      <c r="T1690" s="1">
        <v>44967</v>
      </c>
      <c r="U1690">
        <v>1</v>
      </c>
    </row>
    <row r="1691" spans="1:21" x14ac:dyDescent="0.25">
      <c r="A1691" t="s">
        <v>1738</v>
      </c>
      <c r="B1691">
        <v>22</v>
      </c>
      <c r="C1691" t="s">
        <v>29</v>
      </c>
      <c r="D1691" t="s">
        <v>56</v>
      </c>
      <c r="E1691" t="s">
        <v>31</v>
      </c>
      <c r="F1691" t="s">
        <v>49</v>
      </c>
      <c r="G1691">
        <v>6559.89</v>
      </c>
      <c r="H1691">
        <v>5428.39</v>
      </c>
      <c r="I1691">
        <v>23484.93</v>
      </c>
      <c r="J1691" t="s">
        <v>37</v>
      </c>
      <c r="K1691" t="s">
        <v>38</v>
      </c>
      <c r="L1691">
        <v>0</v>
      </c>
      <c r="M1691">
        <v>0</v>
      </c>
      <c r="N1691">
        <v>0</v>
      </c>
      <c r="O1691">
        <v>0</v>
      </c>
      <c r="P1691">
        <v>0</v>
      </c>
      <c r="Q1691">
        <v>339</v>
      </c>
      <c r="R1691">
        <v>0.3</v>
      </c>
      <c r="S1691" t="s">
        <v>27</v>
      </c>
      <c r="T1691" s="1">
        <v>45236</v>
      </c>
      <c r="U1691">
        <v>0</v>
      </c>
    </row>
    <row r="1692" spans="1:21" x14ac:dyDescent="0.25">
      <c r="A1692" t="s">
        <v>1739</v>
      </c>
      <c r="B1692">
        <v>18</v>
      </c>
      <c r="C1692" t="s">
        <v>29</v>
      </c>
      <c r="D1692" t="s">
        <v>41</v>
      </c>
      <c r="E1692" t="s">
        <v>31</v>
      </c>
      <c r="F1692" t="s">
        <v>63</v>
      </c>
      <c r="G1692">
        <v>6244.66</v>
      </c>
      <c r="H1692">
        <v>2795.92</v>
      </c>
      <c r="I1692">
        <v>13280.7</v>
      </c>
      <c r="J1692" t="s">
        <v>37</v>
      </c>
      <c r="K1692" t="s">
        <v>38</v>
      </c>
      <c r="L1692">
        <v>0</v>
      </c>
      <c r="M1692">
        <v>0</v>
      </c>
      <c r="N1692">
        <v>0</v>
      </c>
      <c r="O1692">
        <v>0</v>
      </c>
      <c r="P1692">
        <v>0</v>
      </c>
      <c r="Q1692">
        <v>502</v>
      </c>
      <c r="R1692">
        <v>0.18</v>
      </c>
      <c r="S1692" t="s">
        <v>27</v>
      </c>
      <c r="T1692" s="1">
        <v>45788</v>
      </c>
      <c r="U1692">
        <v>0</v>
      </c>
    </row>
    <row r="1693" spans="1:21" x14ac:dyDescent="0.25">
      <c r="A1693" t="s">
        <v>1740</v>
      </c>
      <c r="B1693">
        <v>61</v>
      </c>
      <c r="C1693" t="s">
        <v>29</v>
      </c>
      <c r="D1693" t="s">
        <v>41</v>
      </c>
      <c r="E1693" t="s">
        <v>31</v>
      </c>
      <c r="F1693" t="s">
        <v>52</v>
      </c>
      <c r="G1693">
        <v>5030.83</v>
      </c>
      <c r="H1693">
        <v>1644.82</v>
      </c>
      <c r="I1693">
        <v>6962.83</v>
      </c>
      <c r="J1693" t="s">
        <v>37</v>
      </c>
      <c r="K1693" t="s">
        <v>38</v>
      </c>
      <c r="L1693">
        <v>0</v>
      </c>
      <c r="M1693">
        <v>0</v>
      </c>
      <c r="N1693">
        <v>0</v>
      </c>
      <c r="O1693">
        <v>0</v>
      </c>
      <c r="P1693">
        <v>0</v>
      </c>
      <c r="Q1693">
        <v>580</v>
      </c>
      <c r="R1693">
        <v>0.12</v>
      </c>
      <c r="S1693" t="s">
        <v>30</v>
      </c>
      <c r="T1693" s="1">
        <v>45126</v>
      </c>
      <c r="U1693">
        <v>0</v>
      </c>
    </row>
    <row r="1694" spans="1:21" x14ac:dyDescent="0.25">
      <c r="A1694" t="s">
        <v>1741</v>
      </c>
      <c r="B1694">
        <v>27</v>
      </c>
      <c r="C1694" t="s">
        <v>21</v>
      </c>
      <c r="D1694" t="s">
        <v>30</v>
      </c>
      <c r="E1694" t="s">
        <v>31</v>
      </c>
      <c r="F1694" t="s">
        <v>52</v>
      </c>
      <c r="G1694">
        <v>3325.44</v>
      </c>
      <c r="H1694">
        <v>2592.15</v>
      </c>
      <c r="I1694">
        <v>13176.45</v>
      </c>
      <c r="J1694" t="s">
        <v>37</v>
      </c>
      <c r="K1694" t="s">
        <v>38</v>
      </c>
      <c r="L1694">
        <v>0</v>
      </c>
      <c r="M1694">
        <v>0</v>
      </c>
      <c r="N1694">
        <v>0</v>
      </c>
      <c r="O1694">
        <v>0</v>
      </c>
      <c r="P1694">
        <v>0</v>
      </c>
      <c r="Q1694">
        <v>354</v>
      </c>
      <c r="R1694">
        <v>0.33</v>
      </c>
      <c r="S1694" t="s">
        <v>30</v>
      </c>
      <c r="T1694" s="1">
        <v>45543</v>
      </c>
      <c r="U1694">
        <v>0</v>
      </c>
    </row>
    <row r="1695" spans="1:21" x14ac:dyDescent="0.25">
      <c r="A1695" t="s">
        <v>1742</v>
      </c>
      <c r="B1695">
        <v>31</v>
      </c>
      <c r="C1695" t="s">
        <v>21</v>
      </c>
      <c r="D1695" t="s">
        <v>22</v>
      </c>
      <c r="E1695" t="s">
        <v>51</v>
      </c>
      <c r="F1695" t="s">
        <v>49</v>
      </c>
      <c r="G1695">
        <v>5144.07</v>
      </c>
      <c r="H1695">
        <v>3295.95</v>
      </c>
      <c r="I1695">
        <v>42764.77</v>
      </c>
      <c r="J1695" t="s">
        <v>37</v>
      </c>
      <c r="K1695" t="s">
        <v>38</v>
      </c>
      <c r="L1695">
        <v>0</v>
      </c>
      <c r="M1695">
        <v>0</v>
      </c>
      <c r="N1695">
        <v>0</v>
      </c>
      <c r="O1695">
        <v>0</v>
      </c>
      <c r="P1695">
        <v>0</v>
      </c>
      <c r="Q1695">
        <v>433</v>
      </c>
      <c r="R1695">
        <v>0.69</v>
      </c>
      <c r="S1695" t="s">
        <v>72</v>
      </c>
      <c r="T1695" s="1">
        <v>44779</v>
      </c>
      <c r="U1695">
        <v>0</v>
      </c>
    </row>
    <row r="1696" spans="1:21" x14ac:dyDescent="0.25">
      <c r="A1696" t="s">
        <v>1743</v>
      </c>
      <c r="B1696">
        <v>49</v>
      </c>
      <c r="C1696" t="s">
        <v>21</v>
      </c>
      <c r="D1696" t="s">
        <v>22</v>
      </c>
      <c r="E1696" t="s">
        <v>31</v>
      </c>
      <c r="F1696" t="s">
        <v>44</v>
      </c>
      <c r="G1696">
        <v>500</v>
      </c>
      <c r="H1696">
        <v>437.99</v>
      </c>
      <c r="I1696">
        <v>3606.87</v>
      </c>
      <c r="J1696" t="s">
        <v>37</v>
      </c>
      <c r="K1696" t="s">
        <v>38</v>
      </c>
      <c r="L1696">
        <v>0</v>
      </c>
      <c r="M1696">
        <v>0</v>
      </c>
      <c r="N1696">
        <v>0</v>
      </c>
      <c r="O1696">
        <v>0</v>
      </c>
      <c r="P1696">
        <v>0</v>
      </c>
      <c r="Q1696">
        <v>569</v>
      </c>
      <c r="R1696">
        <v>0.6</v>
      </c>
      <c r="S1696" t="s">
        <v>47</v>
      </c>
      <c r="T1696" s="1">
        <v>45493</v>
      </c>
      <c r="U1696">
        <v>0</v>
      </c>
    </row>
    <row r="1697" spans="1:21" x14ac:dyDescent="0.25">
      <c r="A1697" t="s">
        <v>1744</v>
      </c>
      <c r="B1697">
        <v>26</v>
      </c>
      <c r="C1697" t="s">
        <v>29</v>
      </c>
      <c r="D1697" t="s">
        <v>56</v>
      </c>
      <c r="E1697" t="s">
        <v>31</v>
      </c>
      <c r="F1697" t="s">
        <v>44</v>
      </c>
      <c r="G1697">
        <v>3472.68</v>
      </c>
      <c r="H1697">
        <v>3009.93</v>
      </c>
      <c r="I1697">
        <v>6629.67</v>
      </c>
      <c r="J1697" t="s">
        <v>37</v>
      </c>
      <c r="K1697" t="s">
        <v>38</v>
      </c>
      <c r="L1697">
        <v>0</v>
      </c>
      <c r="M1697">
        <v>0</v>
      </c>
      <c r="N1697">
        <v>0</v>
      </c>
      <c r="O1697">
        <v>0</v>
      </c>
      <c r="P1697">
        <v>0</v>
      </c>
      <c r="Q1697">
        <v>724</v>
      </c>
      <c r="R1697">
        <v>0.16</v>
      </c>
      <c r="S1697" t="s">
        <v>27</v>
      </c>
      <c r="T1697" s="1">
        <v>45228</v>
      </c>
      <c r="U1697">
        <v>0</v>
      </c>
    </row>
    <row r="1698" spans="1:21" x14ac:dyDescent="0.25">
      <c r="A1698" t="s">
        <v>1745</v>
      </c>
      <c r="B1698">
        <v>53</v>
      </c>
      <c r="C1698" t="s">
        <v>21</v>
      </c>
      <c r="D1698" t="s">
        <v>41</v>
      </c>
      <c r="E1698" t="s">
        <v>23</v>
      </c>
      <c r="F1698" t="s">
        <v>52</v>
      </c>
      <c r="G1698">
        <v>3855.77</v>
      </c>
      <c r="H1698">
        <v>2625.6</v>
      </c>
      <c r="I1698">
        <v>8749.56</v>
      </c>
      <c r="J1698" t="s">
        <v>25</v>
      </c>
      <c r="K1698" t="s">
        <v>45</v>
      </c>
      <c r="L1698">
        <v>258942.5</v>
      </c>
      <c r="M1698">
        <v>120</v>
      </c>
      <c r="N1698">
        <v>6369.89</v>
      </c>
      <c r="O1698">
        <v>27.59</v>
      </c>
      <c r="P1698">
        <v>1.65</v>
      </c>
      <c r="Q1698">
        <v>815</v>
      </c>
      <c r="R1698">
        <v>0.19</v>
      </c>
      <c r="S1698" t="s">
        <v>39</v>
      </c>
      <c r="T1698" s="1">
        <v>45129</v>
      </c>
      <c r="U1698">
        <v>1</v>
      </c>
    </row>
    <row r="1699" spans="1:21" x14ac:dyDescent="0.25">
      <c r="A1699" t="s">
        <v>1746</v>
      </c>
      <c r="B1699">
        <v>62</v>
      </c>
      <c r="C1699" t="s">
        <v>21</v>
      </c>
      <c r="D1699" t="s">
        <v>41</v>
      </c>
      <c r="E1699" t="s">
        <v>51</v>
      </c>
      <c r="F1699" t="s">
        <v>23</v>
      </c>
      <c r="G1699">
        <v>5620.49</v>
      </c>
      <c r="H1699">
        <v>4785.68</v>
      </c>
      <c r="I1699">
        <v>47264.93</v>
      </c>
      <c r="J1699" t="s">
        <v>37</v>
      </c>
      <c r="K1699" t="s">
        <v>38</v>
      </c>
      <c r="L1699">
        <v>0</v>
      </c>
      <c r="M1699">
        <v>0</v>
      </c>
      <c r="N1699">
        <v>0</v>
      </c>
      <c r="O1699">
        <v>0</v>
      </c>
      <c r="P1699">
        <v>0</v>
      </c>
      <c r="Q1699">
        <v>342</v>
      </c>
      <c r="R1699">
        <v>0.7</v>
      </c>
      <c r="S1699" t="s">
        <v>72</v>
      </c>
      <c r="T1699" s="1">
        <v>44641</v>
      </c>
      <c r="U1699">
        <v>0</v>
      </c>
    </row>
    <row r="1700" spans="1:21" x14ac:dyDescent="0.25">
      <c r="A1700" t="s">
        <v>1747</v>
      </c>
      <c r="B1700">
        <v>18</v>
      </c>
      <c r="C1700" t="s">
        <v>21</v>
      </c>
      <c r="D1700" t="s">
        <v>22</v>
      </c>
      <c r="E1700" t="s">
        <v>31</v>
      </c>
      <c r="F1700" t="s">
        <v>42</v>
      </c>
      <c r="G1700">
        <v>2267.87</v>
      </c>
      <c r="H1700">
        <v>764.94</v>
      </c>
      <c r="I1700">
        <v>9127.09</v>
      </c>
      <c r="J1700" t="s">
        <v>25</v>
      </c>
      <c r="K1700" t="s">
        <v>26</v>
      </c>
      <c r="L1700">
        <v>439521.71</v>
      </c>
      <c r="M1700">
        <v>360</v>
      </c>
      <c r="N1700">
        <v>2284.81</v>
      </c>
      <c r="O1700">
        <v>4.72</v>
      </c>
      <c r="P1700">
        <v>1.01</v>
      </c>
      <c r="Q1700">
        <v>383</v>
      </c>
      <c r="R1700">
        <v>0.34</v>
      </c>
      <c r="S1700" t="s">
        <v>72</v>
      </c>
      <c r="T1700" s="1">
        <v>45227</v>
      </c>
      <c r="U1700">
        <v>1</v>
      </c>
    </row>
    <row r="1701" spans="1:21" x14ac:dyDescent="0.25">
      <c r="A1701" t="s">
        <v>1748</v>
      </c>
      <c r="B1701">
        <v>48</v>
      </c>
      <c r="C1701" t="s">
        <v>21</v>
      </c>
      <c r="D1701" t="s">
        <v>35</v>
      </c>
      <c r="E1701" t="s">
        <v>51</v>
      </c>
      <c r="F1701" t="s">
        <v>42</v>
      </c>
      <c r="G1701">
        <v>3914.81</v>
      </c>
      <c r="H1701">
        <v>2675.51</v>
      </c>
      <c r="I1701">
        <v>43578.92</v>
      </c>
      <c r="J1701" t="s">
        <v>25</v>
      </c>
      <c r="K1701" t="s">
        <v>26</v>
      </c>
      <c r="L1701">
        <v>360878.8</v>
      </c>
      <c r="M1701">
        <v>360</v>
      </c>
      <c r="N1701">
        <v>7019.95</v>
      </c>
      <c r="O1701">
        <v>23.32</v>
      </c>
      <c r="P1701">
        <v>1.79</v>
      </c>
      <c r="Q1701">
        <v>841</v>
      </c>
      <c r="R1701">
        <v>0.93</v>
      </c>
      <c r="S1701" t="s">
        <v>30</v>
      </c>
      <c r="T1701" s="1">
        <v>45711</v>
      </c>
      <c r="U1701">
        <v>1</v>
      </c>
    </row>
    <row r="1702" spans="1:21" x14ac:dyDescent="0.25">
      <c r="A1702" t="s">
        <v>1749</v>
      </c>
      <c r="B1702">
        <v>35</v>
      </c>
      <c r="C1702" t="s">
        <v>30</v>
      </c>
      <c r="D1702" t="s">
        <v>22</v>
      </c>
      <c r="E1702" t="s">
        <v>51</v>
      </c>
      <c r="F1702" t="s">
        <v>36</v>
      </c>
      <c r="G1702">
        <v>6344.45</v>
      </c>
      <c r="H1702">
        <v>2919.32</v>
      </c>
      <c r="I1702">
        <v>65012.72</v>
      </c>
      <c r="J1702" t="s">
        <v>37</v>
      </c>
      <c r="K1702" t="s">
        <v>38</v>
      </c>
      <c r="L1702">
        <v>0</v>
      </c>
      <c r="M1702">
        <v>0</v>
      </c>
      <c r="N1702">
        <v>0</v>
      </c>
      <c r="O1702">
        <v>0</v>
      </c>
      <c r="P1702">
        <v>0</v>
      </c>
      <c r="Q1702">
        <v>360</v>
      </c>
      <c r="R1702">
        <v>0.85</v>
      </c>
      <c r="S1702" t="s">
        <v>47</v>
      </c>
      <c r="T1702" s="1">
        <v>45030</v>
      </c>
      <c r="U1702">
        <v>0</v>
      </c>
    </row>
    <row r="1703" spans="1:21" x14ac:dyDescent="0.25">
      <c r="A1703" t="s">
        <v>1750</v>
      </c>
      <c r="B1703">
        <v>48</v>
      </c>
      <c r="C1703" t="s">
        <v>29</v>
      </c>
      <c r="D1703" t="s">
        <v>41</v>
      </c>
      <c r="E1703" t="s">
        <v>31</v>
      </c>
      <c r="F1703" t="s">
        <v>32</v>
      </c>
      <c r="G1703">
        <v>4759.83</v>
      </c>
      <c r="H1703">
        <v>2383.38</v>
      </c>
      <c r="I1703">
        <v>53672.5</v>
      </c>
      <c r="J1703" t="s">
        <v>37</v>
      </c>
      <c r="K1703" t="s">
        <v>38</v>
      </c>
      <c r="L1703">
        <v>0</v>
      </c>
      <c r="M1703">
        <v>0</v>
      </c>
      <c r="N1703">
        <v>0</v>
      </c>
      <c r="O1703">
        <v>0</v>
      </c>
      <c r="P1703">
        <v>0</v>
      </c>
      <c r="Q1703">
        <v>544</v>
      </c>
      <c r="R1703">
        <v>0.94</v>
      </c>
      <c r="S1703" t="s">
        <v>30</v>
      </c>
      <c r="T1703" s="1">
        <v>45565</v>
      </c>
      <c r="U1703">
        <v>0</v>
      </c>
    </row>
    <row r="1704" spans="1:21" x14ac:dyDescent="0.25">
      <c r="A1704" t="s">
        <v>1751</v>
      </c>
      <c r="B1704">
        <v>36</v>
      </c>
      <c r="C1704" t="s">
        <v>21</v>
      </c>
      <c r="D1704" t="s">
        <v>41</v>
      </c>
      <c r="E1704" t="s">
        <v>31</v>
      </c>
      <c r="F1704" t="s">
        <v>24</v>
      </c>
      <c r="G1704">
        <v>5716.85</v>
      </c>
      <c r="H1704">
        <v>4596.57</v>
      </c>
      <c r="I1704">
        <v>57178.87</v>
      </c>
      <c r="J1704" t="s">
        <v>37</v>
      </c>
      <c r="K1704" t="s">
        <v>38</v>
      </c>
      <c r="L1704">
        <v>0</v>
      </c>
      <c r="M1704">
        <v>0</v>
      </c>
      <c r="N1704">
        <v>0</v>
      </c>
      <c r="O1704">
        <v>0</v>
      </c>
      <c r="P1704">
        <v>0</v>
      </c>
      <c r="Q1704">
        <v>484</v>
      </c>
      <c r="R1704">
        <v>0.83</v>
      </c>
      <c r="S1704" t="s">
        <v>27</v>
      </c>
      <c r="T1704" s="1">
        <v>44568</v>
      </c>
      <c r="U1704">
        <v>0</v>
      </c>
    </row>
    <row r="1705" spans="1:21" x14ac:dyDescent="0.25">
      <c r="A1705" t="s">
        <v>1752</v>
      </c>
      <c r="B1705">
        <v>54</v>
      </c>
      <c r="C1705" t="s">
        <v>21</v>
      </c>
      <c r="D1705" t="s">
        <v>22</v>
      </c>
      <c r="E1705" t="s">
        <v>31</v>
      </c>
      <c r="F1705" t="s">
        <v>24</v>
      </c>
      <c r="G1705">
        <v>1102.82</v>
      </c>
      <c r="H1705">
        <v>558.57000000000005</v>
      </c>
      <c r="I1705">
        <v>10548.51</v>
      </c>
      <c r="J1705" t="s">
        <v>37</v>
      </c>
      <c r="K1705" t="s">
        <v>38</v>
      </c>
      <c r="L1705">
        <v>0</v>
      </c>
      <c r="M1705">
        <v>0</v>
      </c>
      <c r="N1705">
        <v>0</v>
      </c>
      <c r="O1705">
        <v>0</v>
      </c>
      <c r="P1705">
        <v>0</v>
      </c>
      <c r="Q1705">
        <v>658</v>
      </c>
      <c r="R1705">
        <v>0.8</v>
      </c>
      <c r="S1705" t="s">
        <v>39</v>
      </c>
      <c r="T1705" s="1">
        <v>45355</v>
      </c>
      <c r="U1705">
        <v>0</v>
      </c>
    </row>
    <row r="1706" spans="1:21" x14ac:dyDescent="0.25">
      <c r="A1706" t="s">
        <v>1753</v>
      </c>
      <c r="B1706">
        <v>69</v>
      </c>
      <c r="C1706" t="s">
        <v>29</v>
      </c>
      <c r="D1706" t="s">
        <v>41</v>
      </c>
      <c r="E1706" t="s">
        <v>31</v>
      </c>
      <c r="F1706" t="s">
        <v>32</v>
      </c>
      <c r="G1706">
        <v>5684.25</v>
      </c>
      <c r="H1706">
        <v>1996.91</v>
      </c>
      <c r="I1706">
        <v>55442.43</v>
      </c>
      <c r="J1706" t="s">
        <v>37</v>
      </c>
      <c r="K1706" t="s">
        <v>38</v>
      </c>
      <c r="L1706">
        <v>0</v>
      </c>
      <c r="M1706">
        <v>0</v>
      </c>
      <c r="N1706">
        <v>0</v>
      </c>
      <c r="O1706">
        <v>0</v>
      </c>
      <c r="P1706">
        <v>0</v>
      </c>
      <c r="Q1706">
        <v>523</v>
      </c>
      <c r="R1706">
        <v>0.81</v>
      </c>
      <c r="S1706" t="s">
        <v>39</v>
      </c>
      <c r="T1706" s="1">
        <v>45748</v>
      </c>
      <c r="U1706">
        <v>0</v>
      </c>
    </row>
    <row r="1707" spans="1:21" x14ac:dyDescent="0.25">
      <c r="A1707" t="s">
        <v>1754</v>
      </c>
      <c r="B1707">
        <v>65</v>
      </c>
      <c r="C1707" t="s">
        <v>29</v>
      </c>
      <c r="D1707" t="s">
        <v>30</v>
      </c>
      <c r="E1707" t="s">
        <v>31</v>
      </c>
      <c r="F1707" t="s">
        <v>63</v>
      </c>
      <c r="G1707">
        <v>3986.54</v>
      </c>
      <c r="H1707">
        <v>3114.88</v>
      </c>
      <c r="I1707">
        <v>10431.61</v>
      </c>
      <c r="J1707" t="s">
        <v>37</v>
      </c>
      <c r="K1707" t="s">
        <v>38</v>
      </c>
      <c r="L1707">
        <v>0</v>
      </c>
      <c r="M1707">
        <v>0</v>
      </c>
      <c r="N1707">
        <v>0</v>
      </c>
      <c r="O1707">
        <v>0</v>
      </c>
      <c r="P1707">
        <v>0</v>
      </c>
      <c r="Q1707">
        <v>362</v>
      </c>
      <c r="R1707">
        <v>0.22</v>
      </c>
      <c r="S1707" t="s">
        <v>30</v>
      </c>
      <c r="T1707" s="1">
        <v>44643</v>
      </c>
      <c r="U1707">
        <v>0</v>
      </c>
    </row>
    <row r="1708" spans="1:21" x14ac:dyDescent="0.25">
      <c r="A1708" t="s">
        <v>1755</v>
      </c>
      <c r="B1708">
        <v>55</v>
      </c>
      <c r="C1708" t="s">
        <v>21</v>
      </c>
      <c r="D1708" t="s">
        <v>30</v>
      </c>
      <c r="E1708" t="s">
        <v>49</v>
      </c>
      <c r="F1708" t="s">
        <v>23</v>
      </c>
      <c r="G1708">
        <v>2564.2800000000002</v>
      </c>
      <c r="H1708">
        <v>1710.46</v>
      </c>
      <c r="I1708">
        <v>27703.57</v>
      </c>
      <c r="J1708" t="s">
        <v>37</v>
      </c>
      <c r="K1708" t="s">
        <v>38</v>
      </c>
      <c r="L1708">
        <v>0</v>
      </c>
      <c r="M1708">
        <v>0</v>
      </c>
      <c r="N1708">
        <v>0</v>
      </c>
      <c r="O1708">
        <v>0</v>
      </c>
      <c r="P1708">
        <v>0</v>
      </c>
      <c r="Q1708">
        <v>441</v>
      </c>
      <c r="R1708">
        <v>0.9</v>
      </c>
      <c r="S1708" t="s">
        <v>30</v>
      </c>
      <c r="T1708" s="1">
        <v>44436</v>
      </c>
      <c r="U1708">
        <v>0</v>
      </c>
    </row>
    <row r="1709" spans="1:21" x14ac:dyDescent="0.25">
      <c r="A1709" t="s">
        <v>1756</v>
      </c>
      <c r="B1709">
        <v>65</v>
      </c>
      <c r="C1709" t="s">
        <v>29</v>
      </c>
      <c r="D1709" t="s">
        <v>35</v>
      </c>
      <c r="E1709" t="s">
        <v>31</v>
      </c>
      <c r="F1709" t="s">
        <v>52</v>
      </c>
      <c r="G1709">
        <v>3741.56</v>
      </c>
      <c r="H1709">
        <v>3062.36</v>
      </c>
      <c r="I1709">
        <v>30314.76</v>
      </c>
      <c r="J1709" t="s">
        <v>37</v>
      </c>
      <c r="K1709" t="s">
        <v>38</v>
      </c>
      <c r="L1709">
        <v>0</v>
      </c>
      <c r="M1709">
        <v>0</v>
      </c>
      <c r="N1709">
        <v>0</v>
      </c>
      <c r="O1709">
        <v>0</v>
      </c>
      <c r="P1709">
        <v>0</v>
      </c>
      <c r="Q1709">
        <v>439</v>
      </c>
      <c r="R1709">
        <v>0.68</v>
      </c>
      <c r="S1709" t="s">
        <v>39</v>
      </c>
      <c r="T1709" s="1">
        <v>45464</v>
      </c>
      <c r="U1709">
        <v>0</v>
      </c>
    </row>
    <row r="1710" spans="1:21" x14ac:dyDescent="0.25">
      <c r="A1710" t="s">
        <v>1757</v>
      </c>
      <c r="B1710">
        <v>61</v>
      </c>
      <c r="C1710" t="s">
        <v>29</v>
      </c>
      <c r="D1710" t="s">
        <v>41</v>
      </c>
      <c r="E1710" t="s">
        <v>51</v>
      </c>
      <c r="F1710" t="s">
        <v>52</v>
      </c>
      <c r="G1710">
        <v>3800.11</v>
      </c>
      <c r="H1710">
        <v>2562.81</v>
      </c>
      <c r="I1710">
        <v>8717.51</v>
      </c>
      <c r="J1710" t="s">
        <v>37</v>
      </c>
      <c r="K1710" t="s">
        <v>38</v>
      </c>
      <c r="L1710">
        <v>0</v>
      </c>
      <c r="M1710">
        <v>0</v>
      </c>
      <c r="N1710">
        <v>0</v>
      </c>
      <c r="O1710">
        <v>0</v>
      </c>
      <c r="P1710">
        <v>0</v>
      </c>
      <c r="Q1710">
        <v>601</v>
      </c>
      <c r="R1710">
        <v>0.19</v>
      </c>
      <c r="S1710" t="s">
        <v>27</v>
      </c>
      <c r="T1710" s="1">
        <v>44607</v>
      </c>
      <c r="U1710">
        <v>0</v>
      </c>
    </row>
    <row r="1711" spans="1:21" x14ac:dyDescent="0.25">
      <c r="A1711" t="s">
        <v>1758</v>
      </c>
      <c r="B1711">
        <v>39</v>
      </c>
      <c r="C1711" t="s">
        <v>21</v>
      </c>
      <c r="D1711" t="s">
        <v>30</v>
      </c>
      <c r="E1711" t="s">
        <v>31</v>
      </c>
      <c r="F1711" t="s">
        <v>36</v>
      </c>
      <c r="G1711">
        <v>3658.65</v>
      </c>
      <c r="H1711">
        <v>1810.11</v>
      </c>
      <c r="I1711">
        <v>23150.81</v>
      </c>
      <c r="J1711" t="s">
        <v>37</v>
      </c>
      <c r="K1711" t="s">
        <v>38</v>
      </c>
      <c r="L1711">
        <v>0</v>
      </c>
      <c r="M1711">
        <v>0</v>
      </c>
      <c r="N1711">
        <v>0</v>
      </c>
      <c r="O1711">
        <v>0</v>
      </c>
      <c r="P1711">
        <v>0</v>
      </c>
      <c r="Q1711">
        <v>557</v>
      </c>
      <c r="R1711">
        <v>0.53</v>
      </c>
      <c r="S1711" t="s">
        <v>30</v>
      </c>
      <c r="T1711" s="1">
        <v>45265</v>
      </c>
      <c r="U1711">
        <v>0</v>
      </c>
    </row>
    <row r="1712" spans="1:21" x14ac:dyDescent="0.25">
      <c r="A1712" t="s">
        <v>1759</v>
      </c>
      <c r="B1712">
        <v>40</v>
      </c>
      <c r="C1712" t="s">
        <v>29</v>
      </c>
      <c r="D1712" t="s">
        <v>35</v>
      </c>
      <c r="E1712" t="s">
        <v>23</v>
      </c>
      <c r="F1712" t="s">
        <v>32</v>
      </c>
      <c r="G1712">
        <v>6763.22</v>
      </c>
      <c r="H1712">
        <v>2647</v>
      </c>
      <c r="I1712">
        <v>78950.179999999993</v>
      </c>
      <c r="J1712" t="s">
        <v>37</v>
      </c>
      <c r="K1712" t="s">
        <v>38</v>
      </c>
      <c r="L1712">
        <v>0</v>
      </c>
      <c r="M1712">
        <v>0</v>
      </c>
      <c r="N1712">
        <v>0</v>
      </c>
      <c r="O1712">
        <v>0</v>
      </c>
      <c r="P1712">
        <v>0</v>
      </c>
      <c r="Q1712">
        <v>586</v>
      </c>
      <c r="R1712">
        <v>0.97</v>
      </c>
      <c r="S1712" t="s">
        <v>39</v>
      </c>
      <c r="T1712" s="1">
        <v>45064</v>
      </c>
      <c r="U1712">
        <v>0</v>
      </c>
    </row>
    <row r="1713" spans="1:21" x14ac:dyDescent="0.25">
      <c r="A1713" t="s">
        <v>1760</v>
      </c>
      <c r="B1713">
        <v>20</v>
      </c>
      <c r="C1713" t="s">
        <v>29</v>
      </c>
      <c r="D1713" t="s">
        <v>41</v>
      </c>
      <c r="E1713" t="s">
        <v>23</v>
      </c>
      <c r="F1713" t="s">
        <v>63</v>
      </c>
      <c r="G1713">
        <v>9637.27</v>
      </c>
      <c r="H1713">
        <v>4460.32</v>
      </c>
      <c r="I1713">
        <v>54952.639999999999</v>
      </c>
      <c r="J1713" t="s">
        <v>25</v>
      </c>
      <c r="K1713" t="s">
        <v>54</v>
      </c>
      <c r="L1713">
        <v>84652.79</v>
      </c>
      <c r="M1713">
        <v>60</v>
      </c>
      <c r="N1713">
        <v>1889.48</v>
      </c>
      <c r="O1713">
        <v>12.15</v>
      </c>
      <c r="P1713">
        <v>0.2</v>
      </c>
      <c r="Q1713">
        <v>754</v>
      </c>
      <c r="R1713">
        <v>0.48</v>
      </c>
      <c r="S1713" t="s">
        <v>39</v>
      </c>
      <c r="T1713" s="1">
        <v>44853</v>
      </c>
      <c r="U1713">
        <v>0</v>
      </c>
    </row>
    <row r="1714" spans="1:21" x14ac:dyDescent="0.25">
      <c r="A1714" t="s">
        <v>1761</v>
      </c>
      <c r="B1714">
        <v>20</v>
      </c>
      <c r="C1714" t="s">
        <v>29</v>
      </c>
      <c r="D1714" t="s">
        <v>41</v>
      </c>
      <c r="E1714" t="s">
        <v>51</v>
      </c>
      <c r="F1714" t="s">
        <v>44</v>
      </c>
      <c r="G1714">
        <v>5102.8999999999996</v>
      </c>
      <c r="H1714">
        <v>1888.33</v>
      </c>
      <c r="I1714">
        <v>26253.08</v>
      </c>
      <c r="J1714" t="s">
        <v>37</v>
      </c>
      <c r="K1714" t="s">
        <v>38</v>
      </c>
      <c r="L1714">
        <v>0</v>
      </c>
      <c r="M1714">
        <v>0</v>
      </c>
      <c r="N1714">
        <v>0</v>
      </c>
      <c r="O1714">
        <v>0</v>
      </c>
      <c r="P1714">
        <v>0</v>
      </c>
      <c r="Q1714">
        <v>677</v>
      </c>
      <c r="R1714">
        <v>0.43</v>
      </c>
      <c r="S1714" t="s">
        <v>30</v>
      </c>
      <c r="T1714" s="1">
        <v>45831</v>
      </c>
      <c r="U1714">
        <v>0</v>
      </c>
    </row>
    <row r="1715" spans="1:21" x14ac:dyDescent="0.25">
      <c r="A1715" t="s">
        <v>1762</v>
      </c>
      <c r="B1715">
        <v>55</v>
      </c>
      <c r="C1715" t="s">
        <v>29</v>
      </c>
      <c r="D1715" t="s">
        <v>41</v>
      </c>
      <c r="E1715" t="s">
        <v>51</v>
      </c>
      <c r="F1715" t="s">
        <v>32</v>
      </c>
      <c r="G1715">
        <v>4544.78</v>
      </c>
      <c r="H1715">
        <v>1637.15</v>
      </c>
      <c r="I1715">
        <v>33728.910000000003</v>
      </c>
      <c r="J1715" t="s">
        <v>37</v>
      </c>
      <c r="K1715" t="s">
        <v>38</v>
      </c>
      <c r="L1715">
        <v>0</v>
      </c>
      <c r="M1715">
        <v>0</v>
      </c>
      <c r="N1715">
        <v>0</v>
      </c>
      <c r="O1715">
        <v>0</v>
      </c>
      <c r="P1715">
        <v>0</v>
      </c>
      <c r="Q1715">
        <v>543</v>
      </c>
      <c r="R1715">
        <v>0.62</v>
      </c>
      <c r="S1715" t="s">
        <v>39</v>
      </c>
      <c r="T1715" s="1">
        <v>44529</v>
      </c>
      <c r="U1715">
        <v>0</v>
      </c>
    </row>
    <row r="1716" spans="1:21" x14ac:dyDescent="0.25">
      <c r="A1716" t="s">
        <v>1763</v>
      </c>
      <c r="B1716">
        <v>50</v>
      </c>
      <c r="C1716" t="s">
        <v>21</v>
      </c>
      <c r="D1716" t="s">
        <v>35</v>
      </c>
      <c r="E1716" t="s">
        <v>49</v>
      </c>
      <c r="F1716" t="s">
        <v>36</v>
      </c>
      <c r="G1716">
        <v>3671.63</v>
      </c>
      <c r="H1716">
        <v>3127.84</v>
      </c>
      <c r="I1716">
        <v>7790.12</v>
      </c>
      <c r="J1716" t="s">
        <v>37</v>
      </c>
      <c r="K1716" t="s">
        <v>38</v>
      </c>
      <c r="L1716">
        <v>0</v>
      </c>
      <c r="M1716">
        <v>0</v>
      </c>
      <c r="N1716">
        <v>0</v>
      </c>
      <c r="O1716">
        <v>0</v>
      </c>
      <c r="P1716">
        <v>0</v>
      </c>
      <c r="Q1716">
        <v>672</v>
      </c>
      <c r="R1716">
        <v>0.18</v>
      </c>
      <c r="S1716" t="s">
        <v>27</v>
      </c>
      <c r="T1716" s="1">
        <v>44712</v>
      </c>
      <c r="U1716">
        <v>0</v>
      </c>
    </row>
    <row r="1717" spans="1:21" x14ac:dyDescent="0.25">
      <c r="A1717" t="s">
        <v>1764</v>
      </c>
      <c r="B1717">
        <v>27</v>
      </c>
      <c r="C1717" t="s">
        <v>21</v>
      </c>
      <c r="D1717" t="s">
        <v>22</v>
      </c>
      <c r="E1717" t="s">
        <v>23</v>
      </c>
      <c r="F1717" t="s">
        <v>63</v>
      </c>
      <c r="G1717">
        <v>4072.91</v>
      </c>
      <c r="H1717">
        <v>2092.2199999999998</v>
      </c>
      <c r="I1717">
        <v>5023.46</v>
      </c>
      <c r="J1717" t="s">
        <v>37</v>
      </c>
      <c r="K1717" t="s">
        <v>38</v>
      </c>
      <c r="L1717">
        <v>0</v>
      </c>
      <c r="M1717">
        <v>0</v>
      </c>
      <c r="N1717">
        <v>0</v>
      </c>
      <c r="O1717">
        <v>0</v>
      </c>
      <c r="P1717">
        <v>0</v>
      </c>
      <c r="Q1717">
        <v>313</v>
      </c>
      <c r="R1717">
        <v>0.1</v>
      </c>
      <c r="S1717" t="s">
        <v>47</v>
      </c>
      <c r="T1717" s="1">
        <v>45683</v>
      </c>
      <c r="U1717">
        <v>0</v>
      </c>
    </row>
    <row r="1718" spans="1:21" x14ac:dyDescent="0.25">
      <c r="A1718" t="s">
        <v>1765</v>
      </c>
      <c r="B1718">
        <v>24</v>
      </c>
      <c r="C1718" t="s">
        <v>21</v>
      </c>
      <c r="D1718" t="s">
        <v>41</v>
      </c>
      <c r="E1718" t="s">
        <v>51</v>
      </c>
      <c r="F1718" t="s">
        <v>24</v>
      </c>
      <c r="G1718">
        <v>3764.49</v>
      </c>
      <c r="H1718">
        <v>1903.49</v>
      </c>
      <c r="I1718">
        <v>19989.330000000002</v>
      </c>
      <c r="J1718" t="s">
        <v>37</v>
      </c>
      <c r="K1718" t="s">
        <v>38</v>
      </c>
      <c r="L1718">
        <v>0</v>
      </c>
      <c r="M1718">
        <v>0</v>
      </c>
      <c r="N1718">
        <v>0</v>
      </c>
      <c r="O1718">
        <v>0</v>
      </c>
      <c r="P1718">
        <v>0</v>
      </c>
      <c r="Q1718">
        <v>778</v>
      </c>
      <c r="R1718">
        <v>0.44</v>
      </c>
      <c r="S1718" t="s">
        <v>27</v>
      </c>
      <c r="T1718" s="1">
        <v>45266</v>
      </c>
      <c r="U1718">
        <v>0</v>
      </c>
    </row>
    <row r="1719" spans="1:21" x14ac:dyDescent="0.25">
      <c r="A1719" t="s">
        <v>1766</v>
      </c>
      <c r="B1719">
        <v>65</v>
      </c>
      <c r="C1719" t="s">
        <v>29</v>
      </c>
      <c r="D1719" t="s">
        <v>30</v>
      </c>
      <c r="E1719" t="s">
        <v>23</v>
      </c>
      <c r="F1719" t="s">
        <v>42</v>
      </c>
      <c r="G1719">
        <v>3143.45</v>
      </c>
      <c r="H1719">
        <v>2543.66</v>
      </c>
      <c r="I1719">
        <v>9586.4699999999993</v>
      </c>
      <c r="J1719" t="s">
        <v>37</v>
      </c>
      <c r="K1719" t="s">
        <v>38</v>
      </c>
      <c r="L1719">
        <v>0</v>
      </c>
      <c r="M1719">
        <v>0</v>
      </c>
      <c r="N1719">
        <v>0</v>
      </c>
      <c r="O1719">
        <v>0</v>
      </c>
      <c r="P1719">
        <v>0</v>
      </c>
      <c r="Q1719">
        <v>645</v>
      </c>
      <c r="R1719">
        <v>0.25</v>
      </c>
      <c r="S1719" t="s">
        <v>72</v>
      </c>
      <c r="T1719" s="1">
        <v>44643</v>
      </c>
      <c r="U1719">
        <v>0</v>
      </c>
    </row>
    <row r="1720" spans="1:21" x14ac:dyDescent="0.25">
      <c r="A1720" t="s">
        <v>1767</v>
      </c>
      <c r="B1720">
        <v>29</v>
      </c>
      <c r="C1720" t="s">
        <v>29</v>
      </c>
      <c r="D1720" t="s">
        <v>35</v>
      </c>
      <c r="E1720" t="s">
        <v>31</v>
      </c>
      <c r="F1720" t="s">
        <v>42</v>
      </c>
      <c r="G1720">
        <v>5762.46</v>
      </c>
      <c r="H1720">
        <v>3904.49</v>
      </c>
      <c r="I1720">
        <v>42418.82</v>
      </c>
      <c r="J1720" t="s">
        <v>25</v>
      </c>
      <c r="K1720" t="s">
        <v>26</v>
      </c>
      <c r="L1720">
        <v>21802.560000000001</v>
      </c>
      <c r="M1720">
        <v>60</v>
      </c>
      <c r="N1720">
        <v>460.56</v>
      </c>
      <c r="O1720">
        <v>9.75</v>
      </c>
      <c r="P1720">
        <v>0.08</v>
      </c>
      <c r="Q1720">
        <v>751</v>
      </c>
      <c r="R1720">
        <v>0.61</v>
      </c>
      <c r="S1720" t="s">
        <v>27</v>
      </c>
      <c r="T1720" s="1">
        <v>45595</v>
      </c>
      <c r="U1720">
        <v>0</v>
      </c>
    </row>
    <row r="1721" spans="1:21" x14ac:dyDescent="0.25">
      <c r="A1721" t="s">
        <v>1768</v>
      </c>
      <c r="B1721">
        <v>45</v>
      </c>
      <c r="C1721" t="s">
        <v>21</v>
      </c>
      <c r="D1721" t="s">
        <v>30</v>
      </c>
      <c r="E1721" t="s">
        <v>31</v>
      </c>
      <c r="F1721" t="s">
        <v>44</v>
      </c>
      <c r="G1721">
        <v>5861.12</v>
      </c>
      <c r="H1721">
        <v>3513.47</v>
      </c>
      <c r="I1721">
        <v>14065.28</v>
      </c>
      <c r="J1721" t="s">
        <v>37</v>
      </c>
      <c r="K1721" t="s">
        <v>38</v>
      </c>
      <c r="L1721">
        <v>0</v>
      </c>
      <c r="M1721">
        <v>0</v>
      </c>
      <c r="N1721">
        <v>0</v>
      </c>
      <c r="O1721">
        <v>0</v>
      </c>
      <c r="P1721">
        <v>0</v>
      </c>
      <c r="Q1721">
        <v>403</v>
      </c>
      <c r="R1721">
        <v>0.2</v>
      </c>
      <c r="S1721" t="s">
        <v>39</v>
      </c>
      <c r="T1721" s="1">
        <v>45110</v>
      </c>
      <c r="U1721">
        <v>0</v>
      </c>
    </row>
    <row r="1722" spans="1:21" x14ac:dyDescent="0.25">
      <c r="A1722" t="s">
        <v>1769</v>
      </c>
      <c r="B1722">
        <v>53</v>
      </c>
      <c r="C1722" t="s">
        <v>21</v>
      </c>
      <c r="D1722" t="s">
        <v>41</v>
      </c>
      <c r="E1722" t="s">
        <v>31</v>
      </c>
      <c r="F1722" t="s">
        <v>44</v>
      </c>
      <c r="G1722">
        <v>4720.6400000000003</v>
      </c>
      <c r="H1722">
        <v>1659.06</v>
      </c>
      <c r="I1722">
        <v>6934.71</v>
      </c>
      <c r="J1722" t="s">
        <v>25</v>
      </c>
      <c r="K1722" t="s">
        <v>26</v>
      </c>
      <c r="L1722">
        <v>453656.34</v>
      </c>
      <c r="M1722">
        <v>300</v>
      </c>
      <c r="N1722">
        <v>3769.86</v>
      </c>
      <c r="O1722">
        <v>8.8800000000000008</v>
      </c>
      <c r="P1722">
        <v>0.8</v>
      </c>
      <c r="Q1722">
        <v>672</v>
      </c>
      <c r="R1722">
        <v>0.12</v>
      </c>
      <c r="S1722" t="s">
        <v>39</v>
      </c>
      <c r="T1722" s="1">
        <v>45471</v>
      </c>
      <c r="U1722">
        <v>1</v>
      </c>
    </row>
    <row r="1723" spans="1:21" x14ac:dyDescent="0.25">
      <c r="A1723" t="s">
        <v>1770</v>
      </c>
      <c r="B1723">
        <v>44</v>
      </c>
      <c r="C1723" t="s">
        <v>29</v>
      </c>
      <c r="D1723" t="s">
        <v>35</v>
      </c>
      <c r="E1723" t="s">
        <v>31</v>
      </c>
      <c r="F1723" t="s">
        <v>36</v>
      </c>
      <c r="G1723">
        <v>9000.5300000000007</v>
      </c>
      <c r="H1723">
        <v>4399.47</v>
      </c>
      <c r="I1723">
        <v>28427.52</v>
      </c>
      <c r="J1723" t="s">
        <v>37</v>
      </c>
      <c r="K1723" t="s">
        <v>38</v>
      </c>
      <c r="L1723">
        <v>0</v>
      </c>
      <c r="M1723">
        <v>0</v>
      </c>
      <c r="N1723">
        <v>0</v>
      </c>
      <c r="O1723">
        <v>0</v>
      </c>
      <c r="P1723">
        <v>0</v>
      </c>
      <c r="Q1723">
        <v>825</v>
      </c>
      <c r="R1723">
        <v>0.26</v>
      </c>
      <c r="S1723" t="s">
        <v>39</v>
      </c>
      <c r="T1723" s="1">
        <v>44611</v>
      </c>
      <c r="U1723">
        <v>0</v>
      </c>
    </row>
    <row r="1724" spans="1:21" x14ac:dyDescent="0.25">
      <c r="A1724" t="s">
        <v>1771</v>
      </c>
      <c r="B1724">
        <v>45</v>
      </c>
      <c r="C1724" t="s">
        <v>21</v>
      </c>
      <c r="D1724" t="s">
        <v>41</v>
      </c>
      <c r="E1724" t="s">
        <v>49</v>
      </c>
      <c r="F1724" t="s">
        <v>23</v>
      </c>
      <c r="G1724">
        <v>7641.22</v>
      </c>
      <c r="H1724">
        <v>3687.09</v>
      </c>
      <c r="I1724">
        <v>76827.289999999994</v>
      </c>
      <c r="J1724" t="s">
        <v>25</v>
      </c>
      <c r="K1724" t="s">
        <v>45</v>
      </c>
      <c r="L1724">
        <v>482671.88</v>
      </c>
      <c r="M1724">
        <v>360</v>
      </c>
      <c r="N1724">
        <v>11473.94</v>
      </c>
      <c r="O1724">
        <v>28.52</v>
      </c>
      <c r="P1724">
        <v>1.5</v>
      </c>
      <c r="Q1724">
        <v>339</v>
      </c>
      <c r="R1724">
        <v>0.84</v>
      </c>
      <c r="S1724" t="s">
        <v>39</v>
      </c>
      <c r="T1724" s="1">
        <v>45775</v>
      </c>
      <c r="U1724">
        <v>1</v>
      </c>
    </row>
    <row r="1725" spans="1:21" x14ac:dyDescent="0.25">
      <c r="A1725" t="s">
        <v>1772</v>
      </c>
      <c r="B1725">
        <v>30</v>
      </c>
      <c r="C1725" t="s">
        <v>29</v>
      </c>
      <c r="D1725" t="s">
        <v>41</v>
      </c>
      <c r="E1725" t="s">
        <v>51</v>
      </c>
      <c r="F1725" t="s">
        <v>36</v>
      </c>
      <c r="G1725">
        <v>2534.59</v>
      </c>
      <c r="H1725">
        <v>886.9</v>
      </c>
      <c r="I1725">
        <v>17664.63</v>
      </c>
      <c r="J1725" t="s">
        <v>25</v>
      </c>
      <c r="K1725" t="s">
        <v>45</v>
      </c>
      <c r="L1725">
        <v>144214.06</v>
      </c>
      <c r="M1725">
        <v>300</v>
      </c>
      <c r="N1725">
        <v>1812.52</v>
      </c>
      <c r="O1725">
        <v>14.69</v>
      </c>
      <c r="P1725">
        <v>0.72</v>
      </c>
      <c r="Q1725">
        <v>407</v>
      </c>
      <c r="R1725">
        <v>0.57999999999999996</v>
      </c>
      <c r="S1725" t="s">
        <v>27</v>
      </c>
      <c r="T1725" s="1">
        <v>45120</v>
      </c>
      <c r="U1725">
        <v>1</v>
      </c>
    </row>
    <row r="1726" spans="1:21" x14ac:dyDescent="0.25">
      <c r="A1726" t="s">
        <v>1773</v>
      </c>
      <c r="B1726">
        <v>67</v>
      </c>
      <c r="C1726" t="s">
        <v>29</v>
      </c>
      <c r="D1726" t="s">
        <v>41</v>
      </c>
      <c r="E1726" t="s">
        <v>49</v>
      </c>
      <c r="F1726" t="s">
        <v>36</v>
      </c>
      <c r="G1726">
        <v>8060.54</v>
      </c>
      <c r="H1726">
        <v>3020.77</v>
      </c>
      <c r="I1726">
        <v>44013.1</v>
      </c>
      <c r="J1726" t="s">
        <v>37</v>
      </c>
      <c r="K1726" t="s">
        <v>38</v>
      </c>
      <c r="L1726">
        <v>0</v>
      </c>
      <c r="M1726">
        <v>0</v>
      </c>
      <c r="N1726">
        <v>0</v>
      </c>
      <c r="O1726">
        <v>0</v>
      </c>
      <c r="P1726">
        <v>0</v>
      </c>
      <c r="Q1726">
        <v>525</v>
      </c>
      <c r="R1726">
        <v>0.46</v>
      </c>
      <c r="S1726" t="s">
        <v>27</v>
      </c>
      <c r="T1726" s="1">
        <v>45157</v>
      </c>
      <c r="U1726">
        <v>0</v>
      </c>
    </row>
    <row r="1727" spans="1:21" x14ac:dyDescent="0.25">
      <c r="A1727" t="s">
        <v>1774</v>
      </c>
      <c r="B1727">
        <v>67</v>
      </c>
      <c r="C1727" t="s">
        <v>29</v>
      </c>
      <c r="D1727" t="s">
        <v>30</v>
      </c>
      <c r="E1727" t="s">
        <v>23</v>
      </c>
      <c r="F1727" t="s">
        <v>52</v>
      </c>
      <c r="G1727">
        <v>3882.84</v>
      </c>
      <c r="H1727">
        <v>2462.14</v>
      </c>
      <c r="I1727">
        <v>5880.99</v>
      </c>
      <c r="J1727" t="s">
        <v>37</v>
      </c>
      <c r="K1727" t="s">
        <v>38</v>
      </c>
      <c r="L1727">
        <v>0</v>
      </c>
      <c r="M1727">
        <v>0</v>
      </c>
      <c r="N1727">
        <v>0</v>
      </c>
      <c r="O1727">
        <v>0</v>
      </c>
      <c r="P1727">
        <v>0</v>
      </c>
      <c r="Q1727">
        <v>685</v>
      </c>
      <c r="R1727">
        <v>0.13</v>
      </c>
      <c r="S1727" t="s">
        <v>47</v>
      </c>
      <c r="T1727" s="1">
        <v>45744</v>
      </c>
      <c r="U1727">
        <v>0</v>
      </c>
    </row>
    <row r="1728" spans="1:21" x14ac:dyDescent="0.25">
      <c r="A1728" t="s">
        <v>1775</v>
      </c>
      <c r="B1728">
        <v>65</v>
      </c>
      <c r="C1728" t="s">
        <v>29</v>
      </c>
      <c r="D1728" t="s">
        <v>41</v>
      </c>
      <c r="E1728" t="s">
        <v>31</v>
      </c>
      <c r="F1728" t="s">
        <v>23</v>
      </c>
      <c r="G1728">
        <v>4539.24</v>
      </c>
      <c r="H1728">
        <v>2867.93</v>
      </c>
      <c r="I1728">
        <v>7412.17</v>
      </c>
      <c r="J1728" t="s">
        <v>37</v>
      </c>
      <c r="K1728" t="s">
        <v>38</v>
      </c>
      <c r="L1728">
        <v>0</v>
      </c>
      <c r="M1728">
        <v>0</v>
      </c>
      <c r="N1728">
        <v>0</v>
      </c>
      <c r="O1728">
        <v>0</v>
      </c>
      <c r="P1728">
        <v>0</v>
      </c>
      <c r="Q1728">
        <v>594</v>
      </c>
      <c r="R1728">
        <v>0.14000000000000001</v>
      </c>
      <c r="S1728" t="s">
        <v>27</v>
      </c>
      <c r="T1728" s="1">
        <v>45729</v>
      </c>
      <c r="U1728">
        <v>0</v>
      </c>
    </row>
    <row r="1729" spans="1:21" x14ac:dyDescent="0.25">
      <c r="A1729" t="s">
        <v>1776</v>
      </c>
      <c r="B1729">
        <v>44</v>
      </c>
      <c r="C1729" t="s">
        <v>21</v>
      </c>
      <c r="D1729" t="s">
        <v>56</v>
      </c>
      <c r="E1729" t="s">
        <v>31</v>
      </c>
      <c r="F1729" t="s">
        <v>52</v>
      </c>
      <c r="G1729">
        <v>4320.1499999999996</v>
      </c>
      <c r="H1729">
        <v>1424.64</v>
      </c>
      <c r="I1729">
        <v>16237.11</v>
      </c>
      <c r="J1729" t="s">
        <v>37</v>
      </c>
      <c r="K1729" t="s">
        <v>38</v>
      </c>
      <c r="L1729">
        <v>0</v>
      </c>
      <c r="M1729">
        <v>0</v>
      </c>
      <c r="N1729">
        <v>0</v>
      </c>
      <c r="O1729">
        <v>0</v>
      </c>
      <c r="P1729">
        <v>0</v>
      </c>
      <c r="Q1729">
        <v>354</v>
      </c>
      <c r="R1729">
        <v>0.31</v>
      </c>
      <c r="S1729" t="s">
        <v>47</v>
      </c>
      <c r="T1729" s="1">
        <v>45669</v>
      </c>
      <c r="U1729">
        <v>0</v>
      </c>
    </row>
    <row r="1730" spans="1:21" x14ac:dyDescent="0.25">
      <c r="A1730" t="s">
        <v>1777</v>
      </c>
      <c r="B1730">
        <v>67</v>
      </c>
      <c r="C1730" t="s">
        <v>29</v>
      </c>
      <c r="D1730" t="s">
        <v>35</v>
      </c>
      <c r="E1730" t="s">
        <v>31</v>
      </c>
      <c r="F1730" t="s">
        <v>36</v>
      </c>
      <c r="G1730">
        <v>7221.55</v>
      </c>
      <c r="H1730">
        <v>2439.0100000000002</v>
      </c>
      <c r="I1730">
        <v>21411.25</v>
      </c>
      <c r="J1730" t="s">
        <v>37</v>
      </c>
      <c r="K1730" t="s">
        <v>38</v>
      </c>
      <c r="L1730">
        <v>0</v>
      </c>
      <c r="M1730">
        <v>0</v>
      </c>
      <c r="N1730">
        <v>0</v>
      </c>
      <c r="O1730">
        <v>0</v>
      </c>
      <c r="P1730">
        <v>0</v>
      </c>
      <c r="Q1730">
        <v>365</v>
      </c>
      <c r="R1730">
        <v>0.25</v>
      </c>
      <c r="S1730" t="s">
        <v>72</v>
      </c>
      <c r="T1730" s="1">
        <v>45667</v>
      </c>
      <c r="U1730">
        <v>0</v>
      </c>
    </row>
    <row r="1731" spans="1:21" x14ac:dyDescent="0.25">
      <c r="A1731" t="s">
        <v>1778</v>
      </c>
      <c r="B1731">
        <v>54</v>
      </c>
      <c r="C1731" t="s">
        <v>21</v>
      </c>
      <c r="D1731" t="s">
        <v>41</v>
      </c>
      <c r="E1731" t="s">
        <v>31</v>
      </c>
      <c r="F1731" t="s">
        <v>24</v>
      </c>
      <c r="G1731">
        <v>5003.1400000000003</v>
      </c>
      <c r="H1731">
        <v>4218.4399999999996</v>
      </c>
      <c r="I1731">
        <v>53194.99</v>
      </c>
      <c r="J1731" t="s">
        <v>25</v>
      </c>
      <c r="K1731" t="s">
        <v>26</v>
      </c>
      <c r="L1731">
        <v>105245.34</v>
      </c>
      <c r="M1731">
        <v>60</v>
      </c>
      <c r="N1731">
        <v>1954.92</v>
      </c>
      <c r="O1731">
        <v>4.3499999999999996</v>
      </c>
      <c r="P1731">
        <v>0.39</v>
      </c>
      <c r="Q1731">
        <v>825</v>
      </c>
      <c r="R1731">
        <v>0.89</v>
      </c>
      <c r="S1731" t="s">
        <v>72</v>
      </c>
      <c r="T1731" s="1">
        <v>45094</v>
      </c>
      <c r="U1731">
        <v>0</v>
      </c>
    </row>
    <row r="1732" spans="1:21" x14ac:dyDescent="0.25">
      <c r="A1732" t="s">
        <v>1779</v>
      </c>
      <c r="B1732">
        <v>32</v>
      </c>
      <c r="C1732" t="s">
        <v>21</v>
      </c>
      <c r="D1732" t="s">
        <v>30</v>
      </c>
      <c r="E1732" t="s">
        <v>51</v>
      </c>
      <c r="F1732" t="s">
        <v>42</v>
      </c>
      <c r="G1732">
        <v>3990.26</v>
      </c>
      <c r="H1732">
        <v>3322.85</v>
      </c>
      <c r="I1732">
        <v>7439.64</v>
      </c>
      <c r="J1732" t="s">
        <v>25</v>
      </c>
      <c r="K1732" t="s">
        <v>33</v>
      </c>
      <c r="L1732">
        <v>217915.59</v>
      </c>
      <c r="M1732">
        <v>180</v>
      </c>
      <c r="N1732">
        <v>2545.67</v>
      </c>
      <c r="O1732">
        <v>11.5</v>
      </c>
      <c r="P1732">
        <v>0.64</v>
      </c>
      <c r="Q1732">
        <v>344</v>
      </c>
      <c r="R1732">
        <v>0.16</v>
      </c>
      <c r="S1732" t="s">
        <v>27</v>
      </c>
      <c r="T1732" s="1">
        <v>44824</v>
      </c>
      <c r="U1732">
        <v>1</v>
      </c>
    </row>
    <row r="1733" spans="1:21" x14ac:dyDescent="0.25">
      <c r="A1733" t="s">
        <v>1780</v>
      </c>
      <c r="B1733">
        <v>36</v>
      </c>
      <c r="C1733" t="s">
        <v>29</v>
      </c>
      <c r="D1733" t="s">
        <v>41</v>
      </c>
      <c r="E1733" t="s">
        <v>31</v>
      </c>
      <c r="F1733" t="s">
        <v>23</v>
      </c>
      <c r="G1733">
        <v>2007.33</v>
      </c>
      <c r="H1733">
        <v>1214.04</v>
      </c>
      <c r="I1733">
        <v>10317.59</v>
      </c>
      <c r="J1733" t="s">
        <v>37</v>
      </c>
      <c r="K1733" t="s">
        <v>38</v>
      </c>
      <c r="L1733">
        <v>0</v>
      </c>
      <c r="M1733">
        <v>0</v>
      </c>
      <c r="N1733">
        <v>0</v>
      </c>
      <c r="O1733">
        <v>0</v>
      </c>
      <c r="P1733">
        <v>0</v>
      </c>
      <c r="Q1733">
        <v>662</v>
      </c>
      <c r="R1733">
        <v>0.43</v>
      </c>
      <c r="S1733" t="s">
        <v>72</v>
      </c>
      <c r="T1733" s="1">
        <v>45445</v>
      </c>
      <c r="U1733">
        <v>0</v>
      </c>
    </row>
    <row r="1734" spans="1:21" x14ac:dyDescent="0.25">
      <c r="A1734" t="s">
        <v>1781</v>
      </c>
      <c r="B1734">
        <v>60</v>
      </c>
      <c r="C1734" t="s">
        <v>21</v>
      </c>
      <c r="D1734" t="s">
        <v>41</v>
      </c>
      <c r="E1734" t="s">
        <v>49</v>
      </c>
      <c r="F1734" t="s">
        <v>49</v>
      </c>
      <c r="G1734">
        <v>4169.09</v>
      </c>
      <c r="H1734">
        <v>3184.56</v>
      </c>
      <c r="I1734">
        <v>14372.32</v>
      </c>
      <c r="J1734" t="s">
        <v>25</v>
      </c>
      <c r="K1734" t="s">
        <v>54</v>
      </c>
      <c r="L1734">
        <v>142737.14000000001</v>
      </c>
      <c r="M1734">
        <v>300</v>
      </c>
      <c r="N1734">
        <v>2438.6</v>
      </c>
      <c r="O1734">
        <v>20.37</v>
      </c>
      <c r="P1734">
        <v>0.57999999999999996</v>
      </c>
      <c r="Q1734">
        <v>808</v>
      </c>
      <c r="R1734">
        <v>0.28999999999999998</v>
      </c>
      <c r="S1734" t="s">
        <v>30</v>
      </c>
      <c r="T1734" s="1">
        <v>45192</v>
      </c>
      <c r="U1734">
        <v>1</v>
      </c>
    </row>
    <row r="1735" spans="1:21" x14ac:dyDescent="0.25">
      <c r="A1735" t="s">
        <v>1782</v>
      </c>
      <c r="B1735">
        <v>41</v>
      </c>
      <c r="C1735" t="s">
        <v>21</v>
      </c>
      <c r="D1735" t="s">
        <v>35</v>
      </c>
      <c r="E1735" t="s">
        <v>31</v>
      </c>
      <c r="F1735" t="s">
        <v>36</v>
      </c>
      <c r="G1735">
        <v>3640.67</v>
      </c>
      <c r="H1735">
        <v>1896.47</v>
      </c>
      <c r="I1735">
        <v>41248.99</v>
      </c>
      <c r="J1735" t="s">
        <v>37</v>
      </c>
      <c r="K1735" t="s">
        <v>38</v>
      </c>
      <c r="L1735">
        <v>0</v>
      </c>
      <c r="M1735">
        <v>0</v>
      </c>
      <c r="N1735">
        <v>0</v>
      </c>
      <c r="O1735">
        <v>0</v>
      </c>
      <c r="P1735">
        <v>0</v>
      </c>
      <c r="Q1735">
        <v>706</v>
      </c>
      <c r="R1735">
        <v>0.94</v>
      </c>
      <c r="S1735" t="s">
        <v>47</v>
      </c>
      <c r="T1735" s="1">
        <v>44784</v>
      </c>
      <c r="U1735">
        <v>0</v>
      </c>
    </row>
    <row r="1736" spans="1:21" x14ac:dyDescent="0.25">
      <c r="A1736" t="s">
        <v>1783</v>
      </c>
      <c r="B1736">
        <v>67</v>
      </c>
      <c r="C1736" t="s">
        <v>21</v>
      </c>
      <c r="D1736" t="s">
        <v>22</v>
      </c>
      <c r="E1736" t="s">
        <v>49</v>
      </c>
      <c r="F1736" t="s">
        <v>32</v>
      </c>
      <c r="G1736">
        <v>3881.98</v>
      </c>
      <c r="H1736">
        <v>1363.6</v>
      </c>
      <c r="I1736">
        <v>9991.23</v>
      </c>
      <c r="J1736" t="s">
        <v>37</v>
      </c>
      <c r="K1736" t="s">
        <v>38</v>
      </c>
      <c r="L1736">
        <v>0</v>
      </c>
      <c r="M1736">
        <v>0</v>
      </c>
      <c r="N1736">
        <v>0</v>
      </c>
      <c r="O1736">
        <v>0</v>
      </c>
      <c r="P1736">
        <v>0</v>
      </c>
      <c r="Q1736">
        <v>600</v>
      </c>
      <c r="R1736">
        <v>0.21</v>
      </c>
      <c r="S1736" t="s">
        <v>47</v>
      </c>
      <c r="T1736" s="1">
        <v>44774</v>
      </c>
      <c r="U1736">
        <v>0</v>
      </c>
    </row>
    <row r="1737" spans="1:21" x14ac:dyDescent="0.25">
      <c r="A1737" t="s">
        <v>1784</v>
      </c>
      <c r="B1737">
        <v>28</v>
      </c>
      <c r="C1737" t="s">
        <v>29</v>
      </c>
      <c r="D1737" t="s">
        <v>22</v>
      </c>
      <c r="E1737" t="s">
        <v>31</v>
      </c>
      <c r="F1737" t="s">
        <v>52</v>
      </c>
      <c r="G1737">
        <v>3457.12</v>
      </c>
      <c r="H1737">
        <v>2172.86</v>
      </c>
      <c r="I1737">
        <v>22281.41</v>
      </c>
      <c r="J1737" t="s">
        <v>37</v>
      </c>
      <c r="K1737" t="s">
        <v>38</v>
      </c>
      <c r="L1737">
        <v>0</v>
      </c>
      <c r="M1737">
        <v>0</v>
      </c>
      <c r="N1737">
        <v>0</v>
      </c>
      <c r="O1737">
        <v>0</v>
      </c>
      <c r="P1737">
        <v>0</v>
      </c>
      <c r="Q1737">
        <v>367</v>
      </c>
      <c r="R1737">
        <v>0.54</v>
      </c>
      <c r="S1737" t="s">
        <v>27</v>
      </c>
      <c r="T1737" s="1">
        <v>44587</v>
      </c>
      <c r="U1737">
        <v>0</v>
      </c>
    </row>
    <row r="1738" spans="1:21" x14ac:dyDescent="0.25">
      <c r="A1738" t="s">
        <v>1785</v>
      </c>
      <c r="B1738">
        <v>30</v>
      </c>
      <c r="C1738" t="s">
        <v>29</v>
      </c>
      <c r="D1738" t="s">
        <v>22</v>
      </c>
      <c r="E1738" t="s">
        <v>31</v>
      </c>
      <c r="F1738" t="s">
        <v>52</v>
      </c>
      <c r="G1738">
        <v>5692.44</v>
      </c>
      <c r="H1738">
        <v>5060.3599999999997</v>
      </c>
      <c r="I1738">
        <v>32802.76</v>
      </c>
      <c r="J1738" t="s">
        <v>25</v>
      </c>
      <c r="K1738" t="s">
        <v>26</v>
      </c>
      <c r="L1738">
        <v>292890.02</v>
      </c>
      <c r="M1738">
        <v>360</v>
      </c>
      <c r="N1738">
        <v>2283.2800000000002</v>
      </c>
      <c r="O1738">
        <v>8.65</v>
      </c>
      <c r="P1738">
        <v>0.4</v>
      </c>
      <c r="Q1738">
        <v>651</v>
      </c>
      <c r="R1738">
        <v>0.48</v>
      </c>
      <c r="S1738" t="s">
        <v>47</v>
      </c>
      <c r="T1738" s="1">
        <v>45060</v>
      </c>
      <c r="U1738">
        <v>0</v>
      </c>
    </row>
    <row r="1739" spans="1:21" x14ac:dyDescent="0.25">
      <c r="A1739" t="s">
        <v>1786</v>
      </c>
      <c r="B1739">
        <v>41</v>
      </c>
      <c r="C1739" t="s">
        <v>29</v>
      </c>
      <c r="D1739" t="s">
        <v>41</v>
      </c>
      <c r="E1739" t="s">
        <v>51</v>
      </c>
      <c r="F1739" t="s">
        <v>24</v>
      </c>
      <c r="G1739">
        <v>3187.85</v>
      </c>
      <c r="H1739">
        <v>2803.75</v>
      </c>
      <c r="I1739">
        <v>10967.56</v>
      </c>
      <c r="J1739" t="s">
        <v>37</v>
      </c>
      <c r="K1739" t="s">
        <v>38</v>
      </c>
      <c r="L1739">
        <v>0</v>
      </c>
      <c r="M1739">
        <v>0</v>
      </c>
      <c r="N1739">
        <v>0</v>
      </c>
      <c r="O1739">
        <v>0</v>
      </c>
      <c r="P1739">
        <v>0</v>
      </c>
      <c r="Q1739">
        <v>434</v>
      </c>
      <c r="R1739">
        <v>0.28999999999999998</v>
      </c>
      <c r="S1739" t="s">
        <v>47</v>
      </c>
      <c r="T1739" s="1">
        <v>44495</v>
      </c>
      <c r="U1739">
        <v>0</v>
      </c>
    </row>
    <row r="1740" spans="1:21" x14ac:dyDescent="0.25">
      <c r="A1740" t="s">
        <v>1787</v>
      </c>
      <c r="B1740">
        <v>44</v>
      </c>
      <c r="C1740" t="s">
        <v>21</v>
      </c>
      <c r="D1740" t="s">
        <v>41</v>
      </c>
      <c r="E1740" t="s">
        <v>31</v>
      </c>
      <c r="F1740" t="s">
        <v>32</v>
      </c>
      <c r="G1740">
        <v>4768.17</v>
      </c>
      <c r="H1740">
        <v>3378.44</v>
      </c>
      <c r="I1740">
        <v>15487.12</v>
      </c>
      <c r="J1740" t="s">
        <v>37</v>
      </c>
      <c r="K1740" t="s">
        <v>38</v>
      </c>
      <c r="L1740">
        <v>0</v>
      </c>
      <c r="M1740">
        <v>0</v>
      </c>
      <c r="N1740">
        <v>0</v>
      </c>
      <c r="O1740">
        <v>0</v>
      </c>
      <c r="P1740">
        <v>0</v>
      </c>
      <c r="Q1740">
        <v>764</v>
      </c>
      <c r="R1740">
        <v>0.27</v>
      </c>
      <c r="S1740" t="s">
        <v>72</v>
      </c>
      <c r="T1740" s="1">
        <v>44450</v>
      </c>
      <c r="U1740">
        <v>0</v>
      </c>
    </row>
    <row r="1741" spans="1:21" x14ac:dyDescent="0.25">
      <c r="A1741" t="s">
        <v>1788</v>
      </c>
      <c r="B1741">
        <v>21</v>
      </c>
      <c r="C1741" t="s">
        <v>21</v>
      </c>
      <c r="D1741" t="s">
        <v>22</v>
      </c>
      <c r="E1741" t="s">
        <v>31</v>
      </c>
      <c r="F1741" t="s">
        <v>42</v>
      </c>
      <c r="G1741">
        <v>3494.37</v>
      </c>
      <c r="H1741">
        <v>2116.02</v>
      </c>
      <c r="I1741">
        <v>35938.57</v>
      </c>
      <c r="J1741" t="s">
        <v>25</v>
      </c>
      <c r="K1741" t="s">
        <v>54</v>
      </c>
      <c r="L1741">
        <v>119214.28</v>
      </c>
      <c r="M1741">
        <v>360</v>
      </c>
      <c r="N1741">
        <v>2242.9899999999998</v>
      </c>
      <c r="O1741">
        <v>22.55</v>
      </c>
      <c r="P1741">
        <v>0.64</v>
      </c>
      <c r="Q1741">
        <v>469</v>
      </c>
      <c r="R1741">
        <v>0.86</v>
      </c>
      <c r="S1741" t="s">
        <v>27</v>
      </c>
      <c r="T1741" s="1">
        <v>45347</v>
      </c>
      <c r="U1741">
        <v>1</v>
      </c>
    </row>
    <row r="1742" spans="1:21" x14ac:dyDescent="0.25">
      <c r="A1742" t="s">
        <v>1789</v>
      </c>
      <c r="B1742">
        <v>46</v>
      </c>
      <c r="C1742" t="s">
        <v>29</v>
      </c>
      <c r="D1742" t="s">
        <v>41</v>
      </c>
      <c r="E1742" t="s">
        <v>31</v>
      </c>
      <c r="F1742" t="s">
        <v>44</v>
      </c>
      <c r="G1742">
        <v>5116.6400000000003</v>
      </c>
      <c r="H1742">
        <v>2571.94</v>
      </c>
      <c r="I1742">
        <v>55379.69</v>
      </c>
      <c r="J1742" t="s">
        <v>37</v>
      </c>
      <c r="K1742" t="s">
        <v>38</v>
      </c>
      <c r="L1742">
        <v>0</v>
      </c>
      <c r="M1742">
        <v>0</v>
      </c>
      <c r="N1742">
        <v>0</v>
      </c>
      <c r="O1742">
        <v>0</v>
      </c>
      <c r="P1742">
        <v>0</v>
      </c>
      <c r="Q1742">
        <v>544</v>
      </c>
      <c r="R1742">
        <v>0.9</v>
      </c>
      <c r="S1742" t="s">
        <v>27</v>
      </c>
      <c r="T1742" s="1">
        <v>45096</v>
      </c>
      <c r="U1742">
        <v>0</v>
      </c>
    </row>
    <row r="1743" spans="1:21" x14ac:dyDescent="0.25">
      <c r="A1743" t="s">
        <v>1790</v>
      </c>
      <c r="B1743">
        <v>64</v>
      </c>
      <c r="C1743" t="s">
        <v>29</v>
      </c>
      <c r="D1743" t="s">
        <v>22</v>
      </c>
      <c r="E1743" t="s">
        <v>31</v>
      </c>
      <c r="F1743" t="s">
        <v>23</v>
      </c>
      <c r="G1743">
        <v>1083.71</v>
      </c>
      <c r="H1743">
        <v>777.3</v>
      </c>
      <c r="I1743">
        <v>2277.44</v>
      </c>
      <c r="J1743" t="s">
        <v>37</v>
      </c>
      <c r="K1743" t="s">
        <v>38</v>
      </c>
      <c r="L1743">
        <v>0</v>
      </c>
      <c r="M1743">
        <v>0</v>
      </c>
      <c r="N1743">
        <v>0</v>
      </c>
      <c r="O1743">
        <v>0</v>
      </c>
      <c r="P1743">
        <v>0</v>
      </c>
      <c r="Q1743">
        <v>343</v>
      </c>
      <c r="R1743">
        <v>0.18</v>
      </c>
      <c r="S1743" t="s">
        <v>27</v>
      </c>
      <c r="T1743" s="1">
        <v>44884</v>
      </c>
      <c r="U1743">
        <v>0</v>
      </c>
    </row>
    <row r="1744" spans="1:21" x14ac:dyDescent="0.25">
      <c r="A1744" t="s">
        <v>1791</v>
      </c>
      <c r="B1744">
        <v>31</v>
      </c>
      <c r="C1744" t="s">
        <v>21</v>
      </c>
      <c r="D1744" t="s">
        <v>41</v>
      </c>
      <c r="E1744" t="s">
        <v>49</v>
      </c>
      <c r="F1744" t="s">
        <v>23</v>
      </c>
      <c r="G1744">
        <v>3209.81</v>
      </c>
      <c r="H1744">
        <v>2740.72</v>
      </c>
      <c r="I1744">
        <v>25171.26</v>
      </c>
      <c r="J1744" t="s">
        <v>37</v>
      </c>
      <c r="K1744" t="s">
        <v>38</v>
      </c>
      <c r="L1744">
        <v>0</v>
      </c>
      <c r="M1744">
        <v>0</v>
      </c>
      <c r="N1744">
        <v>0</v>
      </c>
      <c r="O1744">
        <v>0</v>
      </c>
      <c r="P1744">
        <v>0</v>
      </c>
      <c r="Q1744">
        <v>695</v>
      </c>
      <c r="R1744">
        <v>0.65</v>
      </c>
      <c r="S1744" t="s">
        <v>72</v>
      </c>
      <c r="T1744" s="1">
        <v>44802</v>
      </c>
      <c r="U1744">
        <v>0</v>
      </c>
    </row>
    <row r="1745" spans="1:21" x14ac:dyDescent="0.25">
      <c r="A1745" t="s">
        <v>1792</v>
      </c>
      <c r="B1745">
        <v>19</v>
      </c>
      <c r="C1745" t="s">
        <v>29</v>
      </c>
      <c r="D1745" t="s">
        <v>56</v>
      </c>
      <c r="E1745" t="s">
        <v>31</v>
      </c>
      <c r="F1745" t="s">
        <v>42</v>
      </c>
      <c r="G1745">
        <v>5466.13</v>
      </c>
      <c r="H1745">
        <v>4536.1000000000004</v>
      </c>
      <c r="I1745">
        <v>18322.47</v>
      </c>
      <c r="J1745" t="s">
        <v>37</v>
      </c>
      <c r="K1745" t="s">
        <v>38</v>
      </c>
      <c r="L1745">
        <v>0</v>
      </c>
      <c r="M1745">
        <v>0</v>
      </c>
      <c r="N1745">
        <v>0</v>
      </c>
      <c r="O1745">
        <v>0</v>
      </c>
      <c r="P1745">
        <v>0</v>
      </c>
      <c r="Q1745">
        <v>370</v>
      </c>
      <c r="R1745">
        <v>0.28000000000000003</v>
      </c>
      <c r="S1745" t="s">
        <v>39</v>
      </c>
      <c r="T1745" s="1">
        <v>45517</v>
      </c>
      <c r="U1745">
        <v>0</v>
      </c>
    </row>
    <row r="1746" spans="1:21" x14ac:dyDescent="0.25">
      <c r="A1746" t="s">
        <v>1793</v>
      </c>
      <c r="B1746">
        <v>62</v>
      </c>
      <c r="C1746" t="s">
        <v>29</v>
      </c>
      <c r="D1746" t="s">
        <v>35</v>
      </c>
      <c r="E1746" t="s">
        <v>51</v>
      </c>
      <c r="F1746" t="s">
        <v>63</v>
      </c>
      <c r="G1746">
        <v>3160.69</v>
      </c>
      <c r="H1746">
        <v>2351.2600000000002</v>
      </c>
      <c r="I1746">
        <v>31231.200000000001</v>
      </c>
      <c r="J1746" t="s">
        <v>37</v>
      </c>
      <c r="K1746" t="s">
        <v>38</v>
      </c>
      <c r="L1746">
        <v>0</v>
      </c>
      <c r="M1746">
        <v>0</v>
      </c>
      <c r="N1746">
        <v>0</v>
      </c>
      <c r="O1746">
        <v>0</v>
      </c>
      <c r="P1746">
        <v>0</v>
      </c>
      <c r="Q1746">
        <v>717</v>
      </c>
      <c r="R1746">
        <v>0.82</v>
      </c>
      <c r="S1746" t="s">
        <v>30</v>
      </c>
      <c r="T1746" s="1">
        <v>44478</v>
      </c>
      <c r="U1746">
        <v>0</v>
      </c>
    </row>
    <row r="1747" spans="1:21" x14ac:dyDescent="0.25">
      <c r="A1747" t="s">
        <v>1794</v>
      </c>
      <c r="B1747">
        <v>54</v>
      </c>
      <c r="C1747" t="s">
        <v>21</v>
      </c>
      <c r="D1747" t="s">
        <v>41</v>
      </c>
      <c r="E1747" t="s">
        <v>31</v>
      </c>
      <c r="F1747" t="s">
        <v>52</v>
      </c>
      <c r="G1747">
        <v>7416.15</v>
      </c>
      <c r="H1747">
        <v>3675.88</v>
      </c>
      <c r="I1747">
        <v>72716.2</v>
      </c>
      <c r="J1747" t="s">
        <v>37</v>
      </c>
      <c r="K1747" t="s">
        <v>38</v>
      </c>
      <c r="L1747">
        <v>0</v>
      </c>
      <c r="M1747">
        <v>0</v>
      </c>
      <c r="N1747">
        <v>0</v>
      </c>
      <c r="O1747">
        <v>0</v>
      </c>
      <c r="P1747">
        <v>0</v>
      </c>
      <c r="Q1747">
        <v>583</v>
      </c>
      <c r="R1747">
        <v>0.82</v>
      </c>
      <c r="S1747" t="s">
        <v>39</v>
      </c>
      <c r="T1747" s="1">
        <v>44653</v>
      </c>
      <c r="U1747">
        <v>0</v>
      </c>
    </row>
    <row r="1748" spans="1:21" x14ac:dyDescent="0.25">
      <c r="A1748" t="s">
        <v>1795</v>
      </c>
      <c r="B1748">
        <v>18</v>
      </c>
      <c r="C1748" t="s">
        <v>21</v>
      </c>
      <c r="D1748" t="s">
        <v>41</v>
      </c>
      <c r="E1748" t="s">
        <v>23</v>
      </c>
      <c r="F1748" t="s">
        <v>52</v>
      </c>
      <c r="G1748">
        <v>3850.22</v>
      </c>
      <c r="H1748">
        <v>2035.53</v>
      </c>
      <c r="I1748">
        <v>45363.51</v>
      </c>
      <c r="J1748" t="s">
        <v>37</v>
      </c>
      <c r="K1748" t="s">
        <v>38</v>
      </c>
      <c r="L1748">
        <v>0</v>
      </c>
      <c r="M1748">
        <v>0</v>
      </c>
      <c r="N1748">
        <v>0</v>
      </c>
      <c r="O1748">
        <v>0</v>
      </c>
      <c r="P1748">
        <v>0</v>
      </c>
      <c r="Q1748">
        <v>409</v>
      </c>
      <c r="R1748">
        <v>0.98</v>
      </c>
      <c r="S1748" t="s">
        <v>39</v>
      </c>
      <c r="T1748" s="1">
        <v>45062</v>
      </c>
      <c r="U1748">
        <v>0</v>
      </c>
    </row>
    <row r="1749" spans="1:21" x14ac:dyDescent="0.25">
      <c r="A1749" t="s">
        <v>1796</v>
      </c>
      <c r="B1749">
        <v>19</v>
      </c>
      <c r="C1749" t="s">
        <v>21</v>
      </c>
      <c r="D1749" t="s">
        <v>35</v>
      </c>
      <c r="E1749" t="s">
        <v>31</v>
      </c>
      <c r="F1749" t="s">
        <v>63</v>
      </c>
      <c r="G1749">
        <v>4040.4</v>
      </c>
      <c r="H1749">
        <v>2441.7800000000002</v>
      </c>
      <c r="I1749">
        <v>43797.42</v>
      </c>
      <c r="J1749" t="s">
        <v>37</v>
      </c>
      <c r="K1749" t="s">
        <v>38</v>
      </c>
      <c r="L1749">
        <v>0</v>
      </c>
      <c r="M1749">
        <v>0</v>
      </c>
      <c r="N1749">
        <v>0</v>
      </c>
      <c r="O1749">
        <v>0</v>
      </c>
      <c r="P1749">
        <v>0</v>
      </c>
      <c r="Q1749">
        <v>795</v>
      </c>
      <c r="R1749">
        <v>0.9</v>
      </c>
      <c r="S1749" t="s">
        <v>27</v>
      </c>
      <c r="T1749" s="1">
        <v>44631</v>
      </c>
      <c r="U1749">
        <v>0</v>
      </c>
    </row>
    <row r="1750" spans="1:21" x14ac:dyDescent="0.25">
      <c r="A1750" t="s">
        <v>1797</v>
      </c>
      <c r="B1750">
        <v>29</v>
      </c>
      <c r="C1750" t="s">
        <v>21</v>
      </c>
      <c r="D1750" t="s">
        <v>41</v>
      </c>
      <c r="E1750" t="s">
        <v>51</v>
      </c>
      <c r="F1750" t="s">
        <v>36</v>
      </c>
      <c r="G1750">
        <v>6716.94</v>
      </c>
      <c r="H1750">
        <v>5659.44</v>
      </c>
      <c r="I1750">
        <v>73369.87</v>
      </c>
      <c r="J1750" t="s">
        <v>37</v>
      </c>
      <c r="K1750" t="s">
        <v>38</v>
      </c>
      <c r="L1750">
        <v>0</v>
      </c>
      <c r="M1750">
        <v>0</v>
      </c>
      <c r="N1750">
        <v>0</v>
      </c>
      <c r="O1750">
        <v>0</v>
      </c>
      <c r="P1750">
        <v>0</v>
      </c>
      <c r="Q1750">
        <v>826</v>
      </c>
      <c r="R1750">
        <v>0.91</v>
      </c>
      <c r="S1750" t="s">
        <v>39</v>
      </c>
      <c r="T1750" s="1">
        <v>45190</v>
      </c>
      <c r="U1750">
        <v>0</v>
      </c>
    </row>
    <row r="1751" spans="1:21" x14ac:dyDescent="0.25">
      <c r="A1751" t="s">
        <v>1798</v>
      </c>
      <c r="B1751">
        <v>43</v>
      </c>
      <c r="C1751" t="s">
        <v>21</v>
      </c>
      <c r="D1751" t="s">
        <v>41</v>
      </c>
      <c r="E1751" t="s">
        <v>31</v>
      </c>
      <c r="F1751" t="s">
        <v>44</v>
      </c>
      <c r="G1751">
        <v>4125.16</v>
      </c>
      <c r="H1751">
        <v>1646.7</v>
      </c>
      <c r="I1751">
        <v>8208.17</v>
      </c>
      <c r="J1751" t="s">
        <v>25</v>
      </c>
      <c r="K1751" t="s">
        <v>33</v>
      </c>
      <c r="L1751">
        <v>419747.92</v>
      </c>
      <c r="M1751">
        <v>360</v>
      </c>
      <c r="N1751">
        <v>4496.08</v>
      </c>
      <c r="O1751">
        <v>12.55</v>
      </c>
      <c r="P1751">
        <v>1.0900000000000001</v>
      </c>
      <c r="Q1751">
        <v>378</v>
      </c>
      <c r="R1751">
        <v>0.17</v>
      </c>
      <c r="S1751" t="s">
        <v>47</v>
      </c>
      <c r="T1751" s="1">
        <v>45163</v>
      </c>
      <c r="U1751">
        <v>1</v>
      </c>
    </row>
    <row r="1752" spans="1:21" x14ac:dyDescent="0.25">
      <c r="A1752" t="s">
        <v>1799</v>
      </c>
      <c r="B1752">
        <v>45</v>
      </c>
      <c r="C1752" t="s">
        <v>21</v>
      </c>
      <c r="D1752" t="s">
        <v>35</v>
      </c>
      <c r="E1752" t="s">
        <v>31</v>
      </c>
      <c r="F1752" t="s">
        <v>44</v>
      </c>
      <c r="G1752">
        <v>7706.87</v>
      </c>
      <c r="H1752">
        <v>3249.22</v>
      </c>
      <c r="I1752">
        <v>45129.64</v>
      </c>
      <c r="J1752" t="s">
        <v>37</v>
      </c>
      <c r="K1752" t="s">
        <v>38</v>
      </c>
      <c r="L1752">
        <v>0</v>
      </c>
      <c r="M1752">
        <v>0</v>
      </c>
      <c r="N1752">
        <v>0</v>
      </c>
      <c r="O1752">
        <v>0</v>
      </c>
      <c r="P1752">
        <v>0</v>
      </c>
      <c r="Q1752">
        <v>748</v>
      </c>
      <c r="R1752">
        <v>0.49</v>
      </c>
      <c r="S1752" t="s">
        <v>27</v>
      </c>
      <c r="T1752" s="1">
        <v>45277</v>
      </c>
      <c r="U1752">
        <v>0</v>
      </c>
    </row>
    <row r="1753" spans="1:21" x14ac:dyDescent="0.25">
      <c r="A1753" t="s">
        <v>1800</v>
      </c>
      <c r="B1753">
        <v>19</v>
      </c>
      <c r="C1753" t="s">
        <v>21</v>
      </c>
      <c r="D1753" t="s">
        <v>30</v>
      </c>
      <c r="E1753" t="s">
        <v>51</v>
      </c>
      <c r="F1753" t="s">
        <v>49</v>
      </c>
      <c r="G1753">
        <v>793.88</v>
      </c>
      <c r="H1753">
        <v>316.58999999999997</v>
      </c>
      <c r="I1753">
        <v>8762</v>
      </c>
      <c r="J1753" t="s">
        <v>37</v>
      </c>
      <c r="K1753" t="s">
        <v>38</v>
      </c>
      <c r="L1753">
        <v>0</v>
      </c>
      <c r="M1753">
        <v>0</v>
      </c>
      <c r="N1753">
        <v>0</v>
      </c>
      <c r="O1753">
        <v>0</v>
      </c>
      <c r="P1753">
        <v>0</v>
      </c>
      <c r="Q1753">
        <v>364</v>
      </c>
      <c r="R1753">
        <v>0.92</v>
      </c>
      <c r="S1753" t="s">
        <v>39</v>
      </c>
      <c r="T1753" s="1">
        <v>44921</v>
      </c>
      <c r="U1753">
        <v>0</v>
      </c>
    </row>
    <row r="1754" spans="1:21" x14ac:dyDescent="0.25">
      <c r="A1754" t="s">
        <v>1801</v>
      </c>
      <c r="B1754">
        <v>27</v>
      </c>
      <c r="C1754" t="s">
        <v>29</v>
      </c>
      <c r="D1754" t="s">
        <v>22</v>
      </c>
      <c r="E1754" t="s">
        <v>31</v>
      </c>
      <c r="F1754" t="s">
        <v>36</v>
      </c>
      <c r="G1754">
        <v>2115</v>
      </c>
      <c r="H1754">
        <v>1374.77</v>
      </c>
      <c r="I1754">
        <v>15138.94</v>
      </c>
      <c r="J1754" t="s">
        <v>25</v>
      </c>
      <c r="K1754" t="s">
        <v>26</v>
      </c>
      <c r="L1754">
        <v>58397.86</v>
      </c>
      <c r="M1754">
        <v>300</v>
      </c>
      <c r="N1754">
        <v>299.92</v>
      </c>
      <c r="O1754">
        <v>3.74</v>
      </c>
      <c r="P1754">
        <v>0.14000000000000001</v>
      </c>
      <c r="Q1754">
        <v>757</v>
      </c>
      <c r="R1754">
        <v>0.6</v>
      </c>
      <c r="S1754" t="s">
        <v>47</v>
      </c>
      <c r="T1754" s="1">
        <v>44661</v>
      </c>
      <c r="U1754">
        <v>0</v>
      </c>
    </row>
    <row r="1755" spans="1:21" x14ac:dyDescent="0.25">
      <c r="A1755" t="s">
        <v>1802</v>
      </c>
      <c r="B1755">
        <v>20</v>
      </c>
      <c r="C1755" t="s">
        <v>29</v>
      </c>
      <c r="D1755" t="s">
        <v>41</v>
      </c>
      <c r="E1755" t="s">
        <v>31</v>
      </c>
      <c r="F1755" t="s">
        <v>49</v>
      </c>
      <c r="G1755">
        <v>4229.74</v>
      </c>
      <c r="H1755">
        <v>2896.74</v>
      </c>
      <c r="I1755">
        <v>17759.310000000001</v>
      </c>
      <c r="J1755" t="s">
        <v>37</v>
      </c>
      <c r="K1755" t="s">
        <v>38</v>
      </c>
      <c r="L1755">
        <v>0</v>
      </c>
      <c r="M1755">
        <v>0</v>
      </c>
      <c r="N1755">
        <v>0</v>
      </c>
      <c r="O1755">
        <v>0</v>
      </c>
      <c r="P1755">
        <v>0</v>
      </c>
      <c r="Q1755">
        <v>306</v>
      </c>
      <c r="R1755">
        <v>0.35</v>
      </c>
      <c r="S1755" t="s">
        <v>47</v>
      </c>
      <c r="T1755" s="1">
        <v>45673</v>
      </c>
      <c r="U1755">
        <v>0</v>
      </c>
    </row>
    <row r="1756" spans="1:21" x14ac:dyDescent="0.25">
      <c r="A1756" t="s">
        <v>1803</v>
      </c>
      <c r="B1756">
        <v>18</v>
      </c>
      <c r="C1756" t="s">
        <v>29</v>
      </c>
      <c r="D1756" t="s">
        <v>35</v>
      </c>
      <c r="E1756" t="s">
        <v>31</v>
      </c>
      <c r="F1756" t="s">
        <v>36</v>
      </c>
      <c r="G1756">
        <v>3532.8</v>
      </c>
      <c r="H1756">
        <v>2078.02</v>
      </c>
      <c r="I1756">
        <v>39237.74</v>
      </c>
      <c r="J1756" t="s">
        <v>37</v>
      </c>
      <c r="K1756" t="s">
        <v>38</v>
      </c>
      <c r="L1756">
        <v>0</v>
      </c>
      <c r="M1756">
        <v>0</v>
      </c>
      <c r="N1756">
        <v>0</v>
      </c>
      <c r="O1756">
        <v>0</v>
      </c>
      <c r="P1756">
        <v>0</v>
      </c>
      <c r="Q1756">
        <v>465</v>
      </c>
      <c r="R1756">
        <v>0.93</v>
      </c>
      <c r="S1756" t="s">
        <v>39</v>
      </c>
      <c r="T1756" s="1">
        <v>44641</v>
      </c>
      <c r="U1756">
        <v>0</v>
      </c>
    </row>
    <row r="1757" spans="1:21" x14ac:dyDescent="0.25">
      <c r="A1757" t="s">
        <v>1804</v>
      </c>
      <c r="B1757">
        <v>51</v>
      </c>
      <c r="C1757" t="s">
        <v>29</v>
      </c>
      <c r="D1757" t="s">
        <v>35</v>
      </c>
      <c r="E1757" t="s">
        <v>31</v>
      </c>
      <c r="F1757" t="s">
        <v>23</v>
      </c>
      <c r="G1757">
        <v>5888.86</v>
      </c>
      <c r="H1757">
        <v>5270.09</v>
      </c>
      <c r="I1757">
        <v>17485.669999999998</v>
      </c>
      <c r="J1757" t="s">
        <v>37</v>
      </c>
      <c r="K1757" t="s">
        <v>38</v>
      </c>
      <c r="L1757">
        <v>0</v>
      </c>
      <c r="M1757">
        <v>0</v>
      </c>
      <c r="N1757">
        <v>0</v>
      </c>
      <c r="O1757">
        <v>0</v>
      </c>
      <c r="P1757">
        <v>0</v>
      </c>
      <c r="Q1757">
        <v>670</v>
      </c>
      <c r="R1757">
        <v>0.25</v>
      </c>
      <c r="S1757" t="s">
        <v>27</v>
      </c>
      <c r="T1757" s="1">
        <v>44652</v>
      </c>
      <c r="U1757">
        <v>0</v>
      </c>
    </row>
    <row r="1758" spans="1:21" x14ac:dyDescent="0.25">
      <c r="A1758" t="s">
        <v>1805</v>
      </c>
      <c r="B1758">
        <v>65</v>
      </c>
      <c r="C1758" t="s">
        <v>29</v>
      </c>
      <c r="D1758" t="s">
        <v>35</v>
      </c>
      <c r="E1758" t="s">
        <v>51</v>
      </c>
      <c r="F1758" t="s">
        <v>36</v>
      </c>
      <c r="G1758">
        <v>6558.56</v>
      </c>
      <c r="H1758">
        <v>2219.62</v>
      </c>
      <c r="I1758">
        <v>58915.03</v>
      </c>
      <c r="J1758" t="s">
        <v>37</v>
      </c>
      <c r="K1758" t="s">
        <v>38</v>
      </c>
      <c r="L1758">
        <v>0</v>
      </c>
      <c r="M1758">
        <v>0</v>
      </c>
      <c r="N1758">
        <v>0</v>
      </c>
      <c r="O1758">
        <v>0</v>
      </c>
      <c r="P1758">
        <v>0</v>
      </c>
      <c r="Q1758">
        <v>441</v>
      </c>
      <c r="R1758">
        <v>0.75</v>
      </c>
      <c r="S1758" t="s">
        <v>47</v>
      </c>
      <c r="T1758" s="1">
        <v>45120</v>
      </c>
      <c r="U1758">
        <v>0</v>
      </c>
    </row>
    <row r="1759" spans="1:21" x14ac:dyDescent="0.25">
      <c r="A1759" t="s">
        <v>1806</v>
      </c>
      <c r="B1759">
        <v>31</v>
      </c>
      <c r="C1759" t="s">
        <v>29</v>
      </c>
      <c r="D1759" t="s">
        <v>35</v>
      </c>
      <c r="E1759" t="s">
        <v>31</v>
      </c>
      <c r="F1759" t="s">
        <v>63</v>
      </c>
      <c r="G1759">
        <v>5514.14</v>
      </c>
      <c r="H1759">
        <v>3457.65</v>
      </c>
      <c r="I1759">
        <v>28498.32</v>
      </c>
      <c r="J1759" t="s">
        <v>37</v>
      </c>
      <c r="K1759" t="s">
        <v>38</v>
      </c>
      <c r="L1759">
        <v>0</v>
      </c>
      <c r="M1759">
        <v>0</v>
      </c>
      <c r="N1759">
        <v>0</v>
      </c>
      <c r="O1759">
        <v>0</v>
      </c>
      <c r="P1759">
        <v>0</v>
      </c>
      <c r="Q1759">
        <v>465</v>
      </c>
      <c r="R1759">
        <v>0.43</v>
      </c>
      <c r="S1759" t="s">
        <v>39</v>
      </c>
      <c r="T1759" s="1">
        <v>45578</v>
      </c>
      <c r="U1759">
        <v>0</v>
      </c>
    </row>
    <row r="1760" spans="1:21" x14ac:dyDescent="0.25">
      <c r="A1760" t="s">
        <v>1807</v>
      </c>
      <c r="B1760">
        <v>32</v>
      </c>
      <c r="C1760" t="s">
        <v>21</v>
      </c>
      <c r="D1760" t="s">
        <v>41</v>
      </c>
      <c r="E1760" t="s">
        <v>51</v>
      </c>
      <c r="F1760" t="s">
        <v>63</v>
      </c>
      <c r="G1760">
        <v>4462.21</v>
      </c>
      <c r="H1760">
        <v>2035.32</v>
      </c>
      <c r="I1760">
        <v>29148.36</v>
      </c>
      <c r="J1760" t="s">
        <v>37</v>
      </c>
      <c r="K1760" t="s">
        <v>38</v>
      </c>
      <c r="L1760">
        <v>0</v>
      </c>
      <c r="M1760">
        <v>0</v>
      </c>
      <c r="N1760">
        <v>0</v>
      </c>
      <c r="O1760">
        <v>0</v>
      </c>
      <c r="P1760">
        <v>0</v>
      </c>
      <c r="Q1760">
        <v>609</v>
      </c>
      <c r="R1760">
        <v>0.54</v>
      </c>
      <c r="S1760" t="s">
        <v>47</v>
      </c>
      <c r="T1760" s="1">
        <v>45154</v>
      </c>
      <c r="U1760">
        <v>0</v>
      </c>
    </row>
    <row r="1761" spans="1:21" x14ac:dyDescent="0.25">
      <c r="A1761" t="s">
        <v>1808</v>
      </c>
      <c r="B1761">
        <v>60</v>
      </c>
      <c r="C1761" t="s">
        <v>21</v>
      </c>
      <c r="D1761" t="s">
        <v>35</v>
      </c>
      <c r="E1761" t="s">
        <v>31</v>
      </c>
      <c r="F1761" t="s">
        <v>52</v>
      </c>
      <c r="G1761">
        <v>6454.05</v>
      </c>
      <c r="H1761">
        <v>4483.37</v>
      </c>
      <c r="I1761">
        <v>16238.22</v>
      </c>
      <c r="J1761" t="s">
        <v>25</v>
      </c>
      <c r="K1761" t="s">
        <v>45</v>
      </c>
      <c r="L1761">
        <v>7957.78</v>
      </c>
      <c r="M1761">
        <v>240</v>
      </c>
      <c r="N1761">
        <v>172.33</v>
      </c>
      <c r="O1761">
        <v>25.83</v>
      </c>
      <c r="P1761">
        <v>0.03</v>
      </c>
      <c r="Q1761">
        <v>405</v>
      </c>
      <c r="R1761">
        <v>0.21</v>
      </c>
      <c r="S1761" t="s">
        <v>39</v>
      </c>
      <c r="T1761" s="1">
        <v>45096</v>
      </c>
      <c r="U1761">
        <v>0</v>
      </c>
    </row>
    <row r="1762" spans="1:21" x14ac:dyDescent="0.25">
      <c r="A1762" t="s">
        <v>1809</v>
      </c>
      <c r="B1762">
        <v>34</v>
      </c>
      <c r="C1762" t="s">
        <v>29</v>
      </c>
      <c r="D1762" t="s">
        <v>22</v>
      </c>
      <c r="E1762" t="s">
        <v>31</v>
      </c>
      <c r="F1762" t="s">
        <v>63</v>
      </c>
      <c r="G1762">
        <v>2602.67</v>
      </c>
      <c r="H1762">
        <v>1856.82</v>
      </c>
      <c r="I1762">
        <v>28568.52</v>
      </c>
      <c r="J1762" t="s">
        <v>37</v>
      </c>
      <c r="K1762" t="s">
        <v>38</v>
      </c>
      <c r="L1762">
        <v>0</v>
      </c>
      <c r="M1762">
        <v>0</v>
      </c>
      <c r="N1762">
        <v>0</v>
      </c>
      <c r="O1762">
        <v>0</v>
      </c>
      <c r="P1762">
        <v>0</v>
      </c>
      <c r="Q1762">
        <v>730</v>
      </c>
      <c r="R1762">
        <v>0.91</v>
      </c>
      <c r="S1762" t="s">
        <v>39</v>
      </c>
      <c r="T1762" s="1">
        <v>45680</v>
      </c>
      <c r="U1762">
        <v>0</v>
      </c>
    </row>
    <row r="1763" spans="1:21" x14ac:dyDescent="0.25">
      <c r="A1763" t="s">
        <v>1810</v>
      </c>
      <c r="B1763">
        <v>24</v>
      </c>
      <c r="C1763" t="s">
        <v>21</v>
      </c>
      <c r="D1763" t="s">
        <v>41</v>
      </c>
      <c r="E1763" t="s">
        <v>51</v>
      </c>
      <c r="F1763" t="s">
        <v>52</v>
      </c>
      <c r="G1763">
        <v>3090.24</v>
      </c>
      <c r="H1763">
        <v>1407.18</v>
      </c>
      <c r="I1763">
        <v>16594.53</v>
      </c>
      <c r="J1763" t="s">
        <v>25</v>
      </c>
      <c r="K1763" t="s">
        <v>33</v>
      </c>
      <c r="L1763">
        <v>476075.71</v>
      </c>
      <c r="M1763">
        <v>240</v>
      </c>
      <c r="N1763">
        <v>4972.45</v>
      </c>
      <c r="O1763">
        <v>11.18</v>
      </c>
      <c r="P1763">
        <v>1.61</v>
      </c>
      <c r="Q1763">
        <v>745</v>
      </c>
      <c r="R1763">
        <v>0.45</v>
      </c>
      <c r="S1763" t="s">
        <v>27</v>
      </c>
      <c r="T1763" s="1">
        <v>45065</v>
      </c>
      <c r="U1763">
        <v>1</v>
      </c>
    </row>
    <row r="1764" spans="1:21" x14ac:dyDescent="0.25">
      <c r="A1764" t="s">
        <v>1811</v>
      </c>
      <c r="B1764">
        <v>58</v>
      </c>
      <c r="C1764" t="s">
        <v>29</v>
      </c>
      <c r="D1764" t="s">
        <v>41</v>
      </c>
      <c r="E1764" t="s">
        <v>51</v>
      </c>
      <c r="F1764" t="s">
        <v>52</v>
      </c>
      <c r="G1764">
        <v>5556.9</v>
      </c>
      <c r="H1764">
        <v>2445.7600000000002</v>
      </c>
      <c r="I1764">
        <v>7165.06</v>
      </c>
      <c r="J1764" t="s">
        <v>37</v>
      </c>
      <c r="K1764" t="s">
        <v>38</v>
      </c>
      <c r="L1764">
        <v>0</v>
      </c>
      <c r="M1764">
        <v>0</v>
      </c>
      <c r="N1764">
        <v>0</v>
      </c>
      <c r="O1764">
        <v>0</v>
      </c>
      <c r="P1764">
        <v>0</v>
      </c>
      <c r="Q1764">
        <v>302</v>
      </c>
      <c r="R1764">
        <v>0.11</v>
      </c>
      <c r="S1764" t="s">
        <v>47</v>
      </c>
      <c r="T1764" s="1">
        <v>45151</v>
      </c>
      <c r="U1764">
        <v>0</v>
      </c>
    </row>
    <row r="1765" spans="1:21" x14ac:dyDescent="0.25">
      <c r="A1765" t="s">
        <v>1812</v>
      </c>
      <c r="B1765">
        <v>36</v>
      </c>
      <c r="C1765" t="s">
        <v>21</v>
      </c>
      <c r="D1765" t="s">
        <v>30</v>
      </c>
      <c r="E1765" t="s">
        <v>51</v>
      </c>
      <c r="F1765" t="s">
        <v>49</v>
      </c>
      <c r="G1765">
        <v>2714.18</v>
      </c>
      <c r="H1765">
        <v>1948.5</v>
      </c>
      <c r="I1765">
        <v>11273.43</v>
      </c>
      <c r="J1765" t="s">
        <v>37</v>
      </c>
      <c r="K1765" t="s">
        <v>38</v>
      </c>
      <c r="L1765">
        <v>0</v>
      </c>
      <c r="M1765">
        <v>0</v>
      </c>
      <c r="N1765">
        <v>0</v>
      </c>
      <c r="O1765">
        <v>0</v>
      </c>
      <c r="P1765">
        <v>0</v>
      </c>
      <c r="Q1765">
        <v>427</v>
      </c>
      <c r="R1765">
        <v>0.35</v>
      </c>
      <c r="S1765" t="s">
        <v>27</v>
      </c>
      <c r="T1765" s="1">
        <v>45107</v>
      </c>
      <c r="U1765">
        <v>0</v>
      </c>
    </row>
    <row r="1766" spans="1:21" x14ac:dyDescent="0.25">
      <c r="A1766" t="s">
        <v>1813</v>
      </c>
      <c r="B1766">
        <v>21</v>
      </c>
      <c r="C1766" t="s">
        <v>29</v>
      </c>
      <c r="D1766" t="s">
        <v>56</v>
      </c>
      <c r="E1766" t="s">
        <v>31</v>
      </c>
      <c r="F1766" t="s">
        <v>42</v>
      </c>
      <c r="G1766">
        <v>4471.09</v>
      </c>
      <c r="H1766">
        <v>1502.53</v>
      </c>
      <c r="I1766">
        <v>33225.82</v>
      </c>
      <c r="J1766" t="s">
        <v>37</v>
      </c>
      <c r="K1766" t="s">
        <v>38</v>
      </c>
      <c r="L1766">
        <v>0</v>
      </c>
      <c r="M1766">
        <v>0</v>
      </c>
      <c r="N1766">
        <v>0</v>
      </c>
      <c r="O1766">
        <v>0</v>
      </c>
      <c r="P1766">
        <v>0</v>
      </c>
      <c r="Q1766">
        <v>467</v>
      </c>
      <c r="R1766">
        <v>0.62</v>
      </c>
      <c r="S1766" t="s">
        <v>47</v>
      </c>
      <c r="T1766" s="1">
        <v>45277</v>
      </c>
      <c r="U1766">
        <v>0</v>
      </c>
    </row>
    <row r="1767" spans="1:21" x14ac:dyDescent="0.25">
      <c r="A1767" t="s">
        <v>1814</v>
      </c>
      <c r="B1767">
        <v>58</v>
      </c>
      <c r="C1767" t="s">
        <v>29</v>
      </c>
      <c r="D1767" t="s">
        <v>41</v>
      </c>
      <c r="E1767" t="s">
        <v>31</v>
      </c>
      <c r="F1767" t="s">
        <v>52</v>
      </c>
      <c r="G1767">
        <v>4183.33</v>
      </c>
      <c r="H1767">
        <v>2160.84</v>
      </c>
      <c r="I1767">
        <v>14685.64</v>
      </c>
      <c r="J1767" t="s">
        <v>25</v>
      </c>
      <c r="K1767" t="s">
        <v>33</v>
      </c>
      <c r="L1767">
        <v>122407.33</v>
      </c>
      <c r="M1767">
        <v>180</v>
      </c>
      <c r="N1767">
        <v>1325.15</v>
      </c>
      <c r="O1767">
        <v>10.130000000000001</v>
      </c>
      <c r="P1767">
        <v>0.32</v>
      </c>
      <c r="Q1767">
        <v>494</v>
      </c>
      <c r="R1767">
        <v>0.28999999999999998</v>
      </c>
      <c r="S1767" t="s">
        <v>30</v>
      </c>
      <c r="T1767" s="1">
        <v>45115</v>
      </c>
      <c r="U1767">
        <v>0</v>
      </c>
    </row>
    <row r="1768" spans="1:21" x14ac:dyDescent="0.25">
      <c r="A1768" t="s">
        <v>1815</v>
      </c>
      <c r="B1768">
        <v>61</v>
      </c>
      <c r="C1768" t="s">
        <v>29</v>
      </c>
      <c r="D1768" t="s">
        <v>35</v>
      </c>
      <c r="E1768" t="s">
        <v>49</v>
      </c>
      <c r="F1768" t="s">
        <v>42</v>
      </c>
      <c r="G1768">
        <v>5096.4799999999996</v>
      </c>
      <c r="H1768">
        <v>2520.34</v>
      </c>
      <c r="I1768">
        <v>35916.879999999997</v>
      </c>
      <c r="J1768" t="s">
        <v>37</v>
      </c>
      <c r="K1768" t="s">
        <v>38</v>
      </c>
      <c r="L1768">
        <v>0</v>
      </c>
      <c r="M1768">
        <v>0</v>
      </c>
      <c r="N1768">
        <v>0</v>
      </c>
      <c r="O1768">
        <v>0</v>
      </c>
      <c r="P1768">
        <v>0</v>
      </c>
      <c r="Q1768">
        <v>403</v>
      </c>
      <c r="R1768">
        <v>0.59</v>
      </c>
      <c r="S1768" t="s">
        <v>30</v>
      </c>
      <c r="T1768" s="1">
        <v>44921</v>
      </c>
      <c r="U1768">
        <v>0</v>
      </c>
    </row>
    <row r="1769" spans="1:21" x14ac:dyDescent="0.25">
      <c r="A1769" t="s">
        <v>1816</v>
      </c>
      <c r="B1769">
        <v>45</v>
      </c>
      <c r="C1769" t="s">
        <v>21</v>
      </c>
      <c r="D1769" t="s">
        <v>30</v>
      </c>
      <c r="E1769" t="s">
        <v>31</v>
      </c>
      <c r="F1769" t="s">
        <v>32</v>
      </c>
      <c r="G1769">
        <v>3463.58</v>
      </c>
      <c r="H1769">
        <v>2949.79</v>
      </c>
      <c r="I1769">
        <v>32566.05</v>
      </c>
      <c r="J1769" t="s">
        <v>25</v>
      </c>
      <c r="K1769" t="s">
        <v>54</v>
      </c>
      <c r="L1769">
        <v>237284.26</v>
      </c>
      <c r="M1769">
        <v>180</v>
      </c>
      <c r="N1769">
        <v>4463.01</v>
      </c>
      <c r="O1769">
        <v>21.67</v>
      </c>
      <c r="P1769">
        <v>1.29</v>
      </c>
      <c r="Q1769">
        <v>521</v>
      </c>
      <c r="R1769">
        <v>0.78</v>
      </c>
      <c r="S1769" t="s">
        <v>27</v>
      </c>
      <c r="T1769" s="1">
        <v>45093</v>
      </c>
      <c r="U1769">
        <v>1</v>
      </c>
    </row>
    <row r="1770" spans="1:21" x14ac:dyDescent="0.25">
      <c r="A1770" t="s">
        <v>1817</v>
      </c>
      <c r="B1770">
        <v>59</v>
      </c>
      <c r="C1770" t="s">
        <v>21</v>
      </c>
      <c r="D1770" t="s">
        <v>41</v>
      </c>
      <c r="E1770" t="s">
        <v>31</v>
      </c>
      <c r="F1770" t="s">
        <v>24</v>
      </c>
      <c r="G1770">
        <v>8229.98</v>
      </c>
      <c r="H1770">
        <v>5560.88</v>
      </c>
      <c r="I1770">
        <v>71171.929999999993</v>
      </c>
      <c r="J1770" t="s">
        <v>37</v>
      </c>
      <c r="K1770" t="s">
        <v>38</v>
      </c>
      <c r="L1770">
        <v>0</v>
      </c>
      <c r="M1770">
        <v>0</v>
      </c>
      <c r="N1770">
        <v>0</v>
      </c>
      <c r="O1770">
        <v>0</v>
      </c>
      <c r="P1770">
        <v>0</v>
      </c>
      <c r="Q1770">
        <v>602</v>
      </c>
      <c r="R1770">
        <v>0.72</v>
      </c>
      <c r="S1770" t="s">
        <v>39</v>
      </c>
      <c r="T1770" s="1">
        <v>44400</v>
      </c>
      <c r="U1770">
        <v>0</v>
      </c>
    </row>
    <row r="1771" spans="1:21" x14ac:dyDescent="0.25">
      <c r="A1771" t="s">
        <v>1818</v>
      </c>
      <c r="B1771">
        <v>37</v>
      </c>
      <c r="C1771" t="s">
        <v>29</v>
      </c>
      <c r="D1771" t="s">
        <v>41</v>
      </c>
      <c r="E1771" t="s">
        <v>31</v>
      </c>
      <c r="F1771" t="s">
        <v>23</v>
      </c>
      <c r="G1771">
        <v>3165.89</v>
      </c>
      <c r="H1771">
        <v>2217.2600000000002</v>
      </c>
      <c r="I1771">
        <v>10814.61</v>
      </c>
      <c r="J1771" t="s">
        <v>37</v>
      </c>
      <c r="K1771" t="s">
        <v>38</v>
      </c>
      <c r="L1771">
        <v>0</v>
      </c>
      <c r="M1771">
        <v>0</v>
      </c>
      <c r="N1771">
        <v>0</v>
      </c>
      <c r="O1771">
        <v>0</v>
      </c>
      <c r="P1771">
        <v>0</v>
      </c>
      <c r="Q1771">
        <v>559</v>
      </c>
      <c r="R1771">
        <v>0.28000000000000003</v>
      </c>
      <c r="S1771" t="s">
        <v>30</v>
      </c>
      <c r="T1771" s="1">
        <v>45336</v>
      </c>
      <c r="U1771">
        <v>0</v>
      </c>
    </row>
    <row r="1772" spans="1:21" x14ac:dyDescent="0.25">
      <c r="A1772" t="s">
        <v>1819</v>
      </c>
      <c r="B1772">
        <v>24</v>
      </c>
      <c r="C1772" t="s">
        <v>29</v>
      </c>
      <c r="D1772" t="s">
        <v>41</v>
      </c>
      <c r="E1772" t="s">
        <v>51</v>
      </c>
      <c r="F1772" t="s">
        <v>36</v>
      </c>
      <c r="G1772">
        <v>3949.95</v>
      </c>
      <c r="H1772">
        <v>1944.6</v>
      </c>
      <c r="I1772">
        <v>29974.48</v>
      </c>
      <c r="J1772" t="s">
        <v>37</v>
      </c>
      <c r="K1772" t="s">
        <v>38</v>
      </c>
      <c r="L1772">
        <v>0</v>
      </c>
      <c r="M1772">
        <v>0</v>
      </c>
      <c r="N1772">
        <v>0</v>
      </c>
      <c r="O1772">
        <v>0</v>
      </c>
      <c r="P1772">
        <v>0</v>
      </c>
      <c r="Q1772">
        <v>342</v>
      </c>
      <c r="R1772">
        <v>0.63</v>
      </c>
      <c r="S1772" t="s">
        <v>72</v>
      </c>
      <c r="T1772" s="1">
        <v>45113</v>
      </c>
      <c r="U1772">
        <v>0</v>
      </c>
    </row>
    <row r="1773" spans="1:21" x14ac:dyDescent="0.25">
      <c r="A1773" t="s">
        <v>1820</v>
      </c>
      <c r="B1773">
        <v>21</v>
      </c>
      <c r="C1773" t="s">
        <v>21</v>
      </c>
      <c r="D1773" t="s">
        <v>22</v>
      </c>
      <c r="E1773" t="s">
        <v>51</v>
      </c>
      <c r="F1773" t="s">
        <v>49</v>
      </c>
      <c r="G1773">
        <v>5808.45</v>
      </c>
      <c r="H1773">
        <v>3603.19</v>
      </c>
      <c r="I1773">
        <v>27712.2</v>
      </c>
      <c r="J1773" t="s">
        <v>37</v>
      </c>
      <c r="K1773" t="s">
        <v>38</v>
      </c>
      <c r="L1773">
        <v>0</v>
      </c>
      <c r="M1773">
        <v>0</v>
      </c>
      <c r="N1773">
        <v>0</v>
      </c>
      <c r="O1773">
        <v>0</v>
      </c>
      <c r="P1773">
        <v>0</v>
      </c>
      <c r="Q1773">
        <v>376</v>
      </c>
      <c r="R1773">
        <v>0.4</v>
      </c>
      <c r="S1773" t="s">
        <v>39</v>
      </c>
      <c r="T1773" s="1">
        <v>44571</v>
      </c>
      <c r="U1773">
        <v>0</v>
      </c>
    </row>
    <row r="1774" spans="1:21" x14ac:dyDescent="0.25">
      <c r="A1774" t="s">
        <v>1821</v>
      </c>
      <c r="B1774">
        <v>43</v>
      </c>
      <c r="C1774" t="s">
        <v>21</v>
      </c>
      <c r="D1774" t="s">
        <v>35</v>
      </c>
      <c r="E1774" t="s">
        <v>31</v>
      </c>
      <c r="F1774" t="s">
        <v>32</v>
      </c>
      <c r="G1774">
        <v>5373.46</v>
      </c>
      <c r="H1774">
        <v>4138.59</v>
      </c>
      <c r="I1774">
        <v>17761.900000000001</v>
      </c>
      <c r="J1774" t="s">
        <v>37</v>
      </c>
      <c r="K1774" t="s">
        <v>38</v>
      </c>
      <c r="L1774">
        <v>0</v>
      </c>
      <c r="M1774">
        <v>0</v>
      </c>
      <c r="N1774">
        <v>0</v>
      </c>
      <c r="O1774">
        <v>0</v>
      </c>
      <c r="P1774">
        <v>0</v>
      </c>
      <c r="Q1774">
        <v>595</v>
      </c>
      <c r="R1774">
        <v>0.28000000000000003</v>
      </c>
      <c r="S1774" t="s">
        <v>47</v>
      </c>
      <c r="T1774" s="1">
        <v>45260</v>
      </c>
      <c r="U1774">
        <v>0</v>
      </c>
    </row>
    <row r="1775" spans="1:21" x14ac:dyDescent="0.25">
      <c r="A1775" t="s">
        <v>1822</v>
      </c>
      <c r="B1775">
        <v>51</v>
      </c>
      <c r="C1775" t="s">
        <v>21</v>
      </c>
      <c r="D1775" t="s">
        <v>22</v>
      </c>
      <c r="E1775" t="s">
        <v>31</v>
      </c>
      <c r="F1775" t="s">
        <v>63</v>
      </c>
      <c r="G1775">
        <v>500</v>
      </c>
      <c r="H1775">
        <v>416.69</v>
      </c>
      <c r="I1775">
        <v>3446.18</v>
      </c>
      <c r="J1775" t="s">
        <v>37</v>
      </c>
      <c r="K1775" t="s">
        <v>38</v>
      </c>
      <c r="L1775">
        <v>0</v>
      </c>
      <c r="M1775">
        <v>0</v>
      </c>
      <c r="N1775">
        <v>0</v>
      </c>
      <c r="O1775">
        <v>0</v>
      </c>
      <c r="P1775">
        <v>0</v>
      </c>
      <c r="Q1775">
        <v>809</v>
      </c>
      <c r="R1775">
        <v>0.56999999999999995</v>
      </c>
      <c r="S1775" t="s">
        <v>47</v>
      </c>
      <c r="T1775" s="1">
        <v>45551</v>
      </c>
      <c r="U1775">
        <v>0</v>
      </c>
    </row>
    <row r="1776" spans="1:21" x14ac:dyDescent="0.25">
      <c r="A1776" t="s">
        <v>1823</v>
      </c>
      <c r="B1776">
        <v>37</v>
      </c>
      <c r="C1776" t="s">
        <v>29</v>
      </c>
      <c r="D1776" t="s">
        <v>35</v>
      </c>
      <c r="E1776" t="s">
        <v>31</v>
      </c>
      <c r="F1776" t="s">
        <v>42</v>
      </c>
      <c r="G1776">
        <v>2582.71</v>
      </c>
      <c r="H1776">
        <v>1959.8</v>
      </c>
      <c r="I1776">
        <v>7544.3</v>
      </c>
      <c r="J1776" t="s">
        <v>37</v>
      </c>
      <c r="K1776" t="s">
        <v>38</v>
      </c>
      <c r="L1776">
        <v>0</v>
      </c>
      <c r="M1776">
        <v>0</v>
      </c>
      <c r="N1776">
        <v>0</v>
      </c>
      <c r="O1776">
        <v>0</v>
      </c>
      <c r="P1776">
        <v>0</v>
      </c>
      <c r="Q1776">
        <v>528</v>
      </c>
      <c r="R1776">
        <v>0.24</v>
      </c>
      <c r="S1776" t="s">
        <v>72</v>
      </c>
      <c r="T1776" s="1">
        <v>45235</v>
      </c>
      <c r="U1776">
        <v>0</v>
      </c>
    </row>
    <row r="1777" spans="1:21" x14ac:dyDescent="0.25">
      <c r="A1777" t="s">
        <v>1824</v>
      </c>
      <c r="B1777">
        <v>48</v>
      </c>
      <c r="C1777" t="s">
        <v>29</v>
      </c>
      <c r="D1777" t="s">
        <v>41</v>
      </c>
      <c r="E1777" t="s">
        <v>49</v>
      </c>
      <c r="F1777" t="s">
        <v>44</v>
      </c>
      <c r="G1777">
        <v>7054.7</v>
      </c>
      <c r="H1777">
        <v>2365.71</v>
      </c>
      <c r="I1777">
        <v>76004.710000000006</v>
      </c>
      <c r="J1777" t="s">
        <v>37</v>
      </c>
      <c r="K1777" t="s">
        <v>38</v>
      </c>
      <c r="L1777">
        <v>0</v>
      </c>
      <c r="M1777">
        <v>0</v>
      </c>
      <c r="N1777">
        <v>0</v>
      </c>
      <c r="O1777">
        <v>0</v>
      </c>
      <c r="P1777">
        <v>0</v>
      </c>
      <c r="Q1777">
        <v>484</v>
      </c>
      <c r="R1777">
        <v>0.9</v>
      </c>
      <c r="S1777" t="s">
        <v>47</v>
      </c>
      <c r="T1777" s="1">
        <v>45127</v>
      </c>
      <c r="U1777">
        <v>0</v>
      </c>
    </row>
    <row r="1778" spans="1:21" x14ac:dyDescent="0.25">
      <c r="A1778" t="s">
        <v>1825</v>
      </c>
      <c r="B1778">
        <v>25</v>
      </c>
      <c r="C1778" t="s">
        <v>30</v>
      </c>
      <c r="D1778" t="s">
        <v>22</v>
      </c>
      <c r="E1778" t="s">
        <v>31</v>
      </c>
      <c r="F1778" t="s">
        <v>49</v>
      </c>
      <c r="G1778">
        <v>3623.72</v>
      </c>
      <c r="H1778">
        <v>2380.0700000000002</v>
      </c>
      <c r="I1778">
        <v>30342.400000000001</v>
      </c>
      <c r="J1778" t="s">
        <v>37</v>
      </c>
      <c r="K1778" t="s">
        <v>38</v>
      </c>
      <c r="L1778">
        <v>0</v>
      </c>
      <c r="M1778">
        <v>0</v>
      </c>
      <c r="N1778">
        <v>0</v>
      </c>
      <c r="O1778">
        <v>0</v>
      </c>
      <c r="P1778">
        <v>0</v>
      </c>
      <c r="Q1778">
        <v>584</v>
      </c>
      <c r="R1778">
        <v>0.7</v>
      </c>
      <c r="S1778" t="s">
        <v>30</v>
      </c>
      <c r="T1778" s="1">
        <v>44753</v>
      </c>
      <c r="U1778">
        <v>0</v>
      </c>
    </row>
    <row r="1779" spans="1:21" x14ac:dyDescent="0.25">
      <c r="A1779" t="s">
        <v>1826</v>
      </c>
      <c r="B1779">
        <v>39</v>
      </c>
      <c r="C1779" t="s">
        <v>29</v>
      </c>
      <c r="D1779" t="s">
        <v>22</v>
      </c>
      <c r="E1779" t="s">
        <v>31</v>
      </c>
      <c r="F1779" t="s">
        <v>23</v>
      </c>
      <c r="G1779">
        <v>3590.12</v>
      </c>
      <c r="H1779">
        <v>3066.68</v>
      </c>
      <c r="I1779">
        <v>38552.449999999997</v>
      </c>
      <c r="J1779" t="s">
        <v>37</v>
      </c>
      <c r="K1779" t="s">
        <v>38</v>
      </c>
      <c r="L1779">
        <v>0</v>
      </c>
      <c r="M1779">
        <v>0</v>
      </c>
      <c r="N1779">
        <v>0</v>
      </c>
      <c r="O1779">
        <v>0</v>
      </c>
      <c r="P1779">
        <v>0</v>
      </c>
      <c r="Q1779">
        <v>829</v>
      </c>
      <c r="R1779">
        <v>0.89</v>
      </c>
      <c r="S1779" t="s">
        <v>30</v>
      </c>
      <c r="T1779" s="1">
        <v>45357</v>
      </c>
      <c r="U1779">
        <v>0</v>
      </c>
    </row>
    <row r="1780" spans="1:21" x14ac:dyDescent="0.25">
      <c r="A1780" t="s">
        <v>1827</v>
      </c>
      <c r="B1780">
        <v>40</v>
      </c>
      <c r="C1780" t="s">
        <v>29</v>
      </c>
      <c r="D1780" t="s">
        <v>22</v>
      </c>
      <c r="E1780" t="s">
        <v>49</v>
      </c>
      <c r="F1780" t="s">
        <v>44</v>
      </c>
      <c r="G1780">
        <v>6617.62</v>
      </c>
      <c r="H1780">
        <v>5722.55</v>
      </c>
      <c r="I1780">
        <v>18722.900000000001</v>
      </c>
      <c r="J1780" t="s">
        <v>25</v>
      </c>
      <c r="K1780" t="s">
        <v>26</v>
      </c>
      <c r="L1780">
        <v>152932.47</v>
      </c>
      <c r="M1780">
        <v>240</v>
      </c>
      <c r="N1780">
        <v>1222.68</v>
      </c>
      <c r="O1780">
        <v>7.4</v>
      </c>
      <c r="P1780">
        <v>0.18</v>
      </c>
      <c r="Q1780">
        <v>559</v>
      </c>
      <c r="R1780">
        <v>0.24</v>
      </c>
      <c r="S1780" t="s">
        <v>27</v>
      </c>
      <c r="T1780" s="1">
        <v>45564</v>
      </c>
      <c r="U1780">
        <v>0</v>
      </c>
    </row>
    <row r="1781" spans="1:21" x14ac:dyDescent="0.25">
      <c r="A1781" t="s">
        <v>1828</v>
      </c>
      <c r="B1781">
        <v>66</v>
      </c>
      <c r="C1781" t="s">
        <v>21</v>
      </c>
      <c r="D1781" t="s">
        <v>22</v>
      </c>
      <c r="E1781" t="s">
        <v>31</v>
      </c>
      <c r="F1781" t="s">
        <v>42</v>
      </c>
      <c r="G1781">
        <v>1673.68</v>
      </c>
      <c r="H1781">
        <v>1179.69</v>
      </c>
      <c r="I1781">
        <v>17809.060000000001</v>
      </c>
      <c r="J1781" t="s">
        <v>37</v>
      </c>
      <c r="K1781" t="s">
        <v>38</v>
      </c>
      <c r="L1781">
        <v>0</v>
      </c>
      <c r="M1781">
        <v>0</v>
      </c>
      <c r="N1781">
        <v>0</v>
      </c>
      <c r="O1781">
        <v>0</v>
      </c>
      <c r="P1781">
        <v>0</v>
      </c>
      <c r="Q1781">
        <v>491</v>
      </c>
      <c r="R1781">
        <v>0.89</v>
      </c>
      <c r="S1781" t="s">
        <v>72</v>
      </c>
      <c r="T1781" s="1">
        <v>44714</v>
      </c>
      <c r="U1781">
        <v>0</v>
      </c>
    </row>
    <row r="1782" spans="1:21" x14ac:dyDescent="0.25">
      <c r="A1782" t="s">
        <v>1829</v>
      </c>
      <c r="B1782">
        <v>42</v>
      </c>
      <c r="C1782" t="s">
        <v>29</v>
      </c>
      <c r="D1782" t="s">
        <v>35</v>
      </c>
      <c r="E1782" t="s">
        <v>31</v>
      </c>
      <c r="F1782" t="s">
        <v>24</v>
      </c>
      <c r="G1782">
        <v>5306.54</v>
      </c>
      <c r="H1782">
        <v>3915.74</v>
      </c>
      <c r="I1782">
        <v>53754.34</v>
      </c>
      <c r="J1782" t="s">
        <v>25</v>
      </c>
      <c r="K1782" t="s">
        <v>54</v>
      </c>
      <c r="L1782">
        <v>465850.21</v>
      </c>
      <c r="M1782">
        <v>300</v>
      </c>
      <c r="N1782">
        <v>7281.72</v>
      </c>
      <c r="O1782">
        <v>18.57</v>
      </c>
      <c r="P1782">
        <v>1.37</v>
      </c>
      <c r="Q1782">
        <v>376</v>
      </c>
      <c r="R1782">
        <v>0.84</v>
      </c>
      <c r="S1782" t="s">
        <v>27</v>
      </c>
      <c r="T1782" s="1">
        <v>44928</v>
      </c>
      <c r="U1782">
        <v>1</v>
      </c>
    </row>
    <row r="1783" spans="1:21" x14ac:dyDescent="0.25">
      <c r="A1783" t="s">
        <v>1830</v>
      </c>
      <c r="B1783">
        <v>61</v>
      </c>
      <c r="C1783" t="s">
        <v>29</v>
      </c>
      <c r="D1783" t="s">
        <v>41</v>
      </c>
      <c r="E1783" t="s">
        <v>31</v>
      </c>
      <c r="F1783" t="s">
        <v>44</v>
      </c>
      <c r="G1783">
        <v>3483.22</v>
      </c>
      <c r="H1783">
        <v>1408.62</v>
      </c>
      <c r="I1783">
        <v>11664.99</v>
      </c>
      <c r="J1783" t="s">
        <v>37</v>
      </c>
      <c r="K1783" t="s">
        <v>38</v>
      </c>
      <c r="L1783">
        <v>0</v>
      </c>
      <c r="M1783">
        <v>0</v>
      </c>
      <c r="N1783">
        <v>0</v>
      </c>
      <c r="O1783">
        <v>0</v>
      </c>
      <c r="P1783">
        <v>0</v>
      </c>
      <c r="Q1783">
        <v>569</v>
      </c>
      <c r="R1783">
        <v>0.28000000000000003</v>
      </c>
      <c r="S1783" t="s">
        <v>39</v>
      </c>
      <c r="T1783" s="1">
        <v>45671</v>
      </c>
      <c r="U1783">
        <v>0</v>
      </c>
    </row>
    <row r="1784" spans="1:21" x14ac:dyDescent="0.25">
      <c r="A1784" t="s">
        <v>1831</v>
      </c>
      <c r="B1784">
        <v>58</v>
      </c>
      <c r="C1784" t="s">
        <v>29</v>
      </c>
      <c r="D1784" t="s">
        <v>30</v>
      </c>
      <c r="E1784" t="s">
        <v>31</v>
      </c>
      <c r="F1784" t="s">
        <v>23</v>
      </c>
      <c r="G1784">
        <v>4143.2700000000004</v>
      </c>
      <c r="H1784">
        <v>1989.48</v>
      </c>
      <c r="I1784">
        <v>33900.04</v>
      </c>
      <c r="J1784" t="s">
        <v>37</v>
      </c>
      <c r="K1784" t="s">
        <v>38</v>
      </c>
      <c r="L1784">
        <v>0</v>
      </c>
      <c r="M1784">
        <v>0</v>
      </c>
      <c r="N1784">
        <v>0</v>
      </c>
      <c r="O1784">
        <v>0</v>
      </c>
      <c r="P1784">
        <v>0</v>
      </c>
      <c r="Q1784">
        <v>445</v>
      </c>
      <c r="R1784">
        <v>0.68</v>
      </c>
      <c r="S1784" t="s">
        <v>47</v>
      </c>
      <c r="T1784" s="1">
        <v>44500</v>
      </c>
      <c r="U1784">
        <v>0</v>
      </c>
    </row>
    <row r="1785" spans="1:21" x14ac:dyDescent="0.25">
      <c r="A1785" t="s">
        <v>1832</v>
      </c>
      <c r="B1785">
        <v>63</v>
      </c>
      <c r="C1785" t="s">
        <v>29</v>
      </c>
      <c r="D1785" t="s">
        <v>41</v>
      </c>
      <c r="E1785" t="s">
        <v>31</v>
      </c>
      <c r="F1785" t="s">
        <v>63</v>
      </c>
      <c r="G1785">
        <v>7730.32</v>
      </c>
      <c r="H1785">
        <v>5393.41</v>
      </c>
      <c r="I1785">
        <v>73057.19</v>
      </c>
      <c r="J1785" t="s">
        <v>25</v>
      </c>
      <c r="K1785" t="s">
        <v>33</v>
      </c>
      <c r="L1785">
        <v>28427.83</v>
      </c>
      <c r="M1785">
        <v>24</v>
      </c>
      <c r="N1785">
        <v>1358.2</v>
      </c>
      <c r="O1785">
        <v>13.5</v>
      </c>
      <c r="P1785">
        <v>0.18</v>
      </c>
      <c r="Q1785">
        <v>653</v>
      </c>
      <c r="R1785">
        <v>0.79</v>
      </c>
      <c r="S1785" t="s">
        <v>30</v>
      </c>
      <c r="T1785" s="1">
        <v>45555</v>
      </c>
      <c r="U1785">
        <v>0</v>
      </c>
    </row>
    <row r="1786" spans="1:21" x14ac:dyDescent="0.25">
      <c r="A1786" t="s">
        <v>1833</v>
      </c>
      <c r="B1786">
        <v>23</v>
      </c>
      <c r="C1786" t="s">
        <v>29</v>
      </c>
      <c r="D1786" t="s">
        <v>35</v>
      </c>
      <c r="E1786" t="s">
        <v>31</v>
      </c>
      <c r="F1786" t="s">
        <v>49</v>
      </c>
      <c r="G1786">
        <v>7364.39</v>
      </c>
      <c r="H1786">
        <v>6045.6</v>
      </c>
      <c r="I1786">
        <v>10021.9</v>
      </c>
      <c r="J1786" t="s">
        <v>37</v>
      </c>
      <c r="K1786" t="s">
        <v>38</v>
      </c>
      <c r="L1786">
        <v>0</v>
      </c>
      <c r="M1786">
        <v>0</v>
      </c>
      <c r="N1786">
        <v>0</v>
      </c>
      <c r="O1786">
        <v>0</v>
      </c>
      <c r="P1786">
        <v>0</v>
      </c>
      <c r="Q1786">
        <v>823</v>
      </c>
      <c r="R1786">
        <v>0.11</v>
      </c>
      <c r="S1786" t="s">
        <v>47</v>
      </c>
      <c r="T1786" s="1">
        <v>44928</v>
      </c>
      <c r="U1786">
        <v>0</v>
      </c>
    </row>
    <row r="1787" spans="1:21" x14ac:dyDescent="0.25">
      <c r="A1787" t="s">
        <v>1834</v>
      </c>
      <c r="B1787">
        <v>61</v>
      </c>
      <c r="C1787" t="s">
        <v>21</v>
      </c>
      <c r="D1787" t="s">
        <v>35</v>
      </c>
      <c r="E1787" t="s">
        <v>31</v>
      </c>
      <c r="F1787" t="s">
        <v>49</v>
      </c>
      <c r="G1787">
        <v>3565.99</v>
      </c>
      <c r="H1787">
        <v>1801.94</v>
      </c>
      <c r="I1787">
        <v>35572.15</v>
      </c>
      <c r="J1787" t="s">
        <v>37</v>
      </c>
      <c r="K1787" t="s">
        <v>38</v>
      </c>
      <c r="L1787">
        <v>0</v>
      </c>
      <c r="M1787">
        <v>0</v>
      </c>
      <c r="N1787">
        <v>0</v>
      </c>
      <c r="O1787">
        <v>0</v>
      </c>
      <c r="P1787">
        <v>0</v>
      </c>
      <c r="Q1787">
        <v>718</v>
      </c>
      <c r="R1787">
        <v>0.83</v>
      </c>
      <c r="S1787" t="s">
        <v>72</v>
      </c>
      <c r="T1787" s="1">
        <v>45139</v>
      </c>
      <c r="U1787">
        <v>0</v>
      </c>
    </row>
    <row r="1788" spans="1:21" x14ac:dyDescent="0.25">
      <c r="A1788" t="s">
        <v>1835</v>
      </c>
      <c r="B1788">
        <v>22</v>
      </c>
      <c r="C1788" t="s">
        <v>21</v>
      </c>
      <c r="D1788" t="s">
        <v>30</v>
      </c>
      <c r="E1788" t="s">
        <v>31</v>
      </c>
      <c r="F1788" t="s">
        <v>32</v>
      </c>
      <c r="G1788">
        <v>5532</v>
      </c>
      <c r="H1788">
        <v>2163.58</v>
      </c>
      <c r="I1788">
        <v>21228.23</v>
      </c>
      <c r="J1788" t="s">
        <v>37</v>
      </c>
      <c r="K1788" t="s">
        <v>38</v>
      </c>
      <c r="L1788">
        <v>0</v>
      </c>
      <c r="M1788">
        <v>0</v>
      </c>
      <c r="N1788">
        <v>0</v>
      </c>
      <c r="O1788">
        <v>0</v>
      </c>
      <c r="P1788">
        <v>0</v>
      </c>
      <c r="Q1788">
        <v>771</v>
      </c>
      <c r="R1788">
        <v>0.32</v>
      </c>
      <c r="S1788" t="s">
        <v>27</v>
      </c>
      <c r="T1788" s="1">
        <v>44974</v>
      </c>
      <c r="U1788">
        <v>0</v>
      </c>
    </row>
    <row r="1789" spans="1:21" x14ac:dyDescent="0.25">
      <c r="A1789" t="s">
        <v>1836</v>
      </c>
      <c r="B1789">
        <v>63</v>
      </c>
      <c r="C1789" t="s">
        <v>29</v>
      </c>
      <c r="D1789" t="s">
        <v>41</v>
      </c>
      <c r="E1789" t="s">
        <v>31</v>
      </c>
      <c r="F1789" t="s">
        <v>32</v>
      </c>
      <c r="G1789">
        <v>6643.86</v>
      </c>
      <c r="H1789">
        <v>5808.15</v>
      </c>
      <c r="I1789">
        <v>49186.77</v>
      </c>
      <c r="J1789" t="s">
        <v>37</v>
      </c>
      <c r="K1789" t="s">
        <v>38</v>
      </c>
      <c r="L1789">
        <v>0</v>
      </c>
      <c r="M1789">
        <v>0</v>
      </c>
      <c r="N1789">
        <v>0</v>
      </c>
      <c r="O1789">
        <v>0</v>
      </c>
      <c r="P1789">
        <v>0</v>
      </c>
      <c r="Q1789">
        <v>300</v>
      </c>
      <c r="R1789">
        <v>0.62</v>
      </c>
      <c r="S1789" t="s">
        <v>30</v>
      </c>
      <c r="T1789" s="1">
        <v>45587</v>
      </c>
      <c r="U1789">
        <v>0</v>
      </c>
    </row>
    <row r="1790" spans="1:21" x14ac:dyDescent="0.25">
      <c r="A1790" t="s">
        <v>1837</v>
      </c>
      <c r="B1790">
        <v>54</v>
      </c>
      <c r="C1790" t="s">
        <v>21</v>
      </c>
      <c r="D1790" t="s">
        <v>22</v>
      </c>
      <c r="E1790" t="s">
        <v>31</v>
      </c>
      <c r="F1790" t="s">
        <v>42</v>
      </c>
      <c r="G1790">
        <v>3339.52</v>
      </c>
      <c r="H1790">
        <v>1490.31</v>
      </c>
      <c r="I1790">
        <v>14713.79</v>
      </c>
      <c r="J1790" t="s">
        <v>25</v>
      </c>
      <c r="K1790" t="s">
        <v>26</v>
      </c>
      <c r="L1790">
        <v>78236.86</v>
      </c>
      <c r="M1790">
        <v>60</v>
      </c>
      <c r="N1790">
        <v>2309.2199999999998</v>
      </c>
      <c r="O1790">
        <v>25.28</v>
      </c>
      <c r="P1790">
        <v>0.69</v>
      </c>
      <c r="Q1790">
        <v>824</v>
      </c>
      <c r="R1790">
        <v>0.37</v>
      </c>
      <c r="S1790" t="s">
        <v>27</v>
      </c>
      <c r="T1790" s="1">
        <v>45346</v>
      </c>
      <c r="U1790">
        <v>1</v>
      </c>
    </row>
    <row r="1791" spans="1:21" x14ac:dyDescent="0.25">
      <c r="A1791" t="s">
        <v>1838</v>
      </c>
      <c r="B1791">
        <v>47</v>
      </c>
      <c r="C1791" t="s">
        <v>21</v>
      </c>
      <c r="D1791" t="s">
        <v>41</v>
      </c>
      <c r="E1791" t="s">
        <v>31</v>
      </c>
      <c r="F1791" t="s">
        <v>42</v>
      </c>
      <c r="G1791">
        <v>3894.62</v>
      </c>
      <c r="H1791">
        <v>2887.75</v>
      </c>
      <c r="I1791">
        <v>9088.9699999999993</v>
      </c>
      <c r="J1791" t="s">
        <v>37</v>
      </c>
      <c r="K1791" t="s">
        <v>38</v>
      </c>
      <c r="L1791">
        <v>0</v>
      </c>
      <c r="M1791">
        <v>0</v>
      </c>
      <c r="N1791">
        <v>0</v>
      </c>
      <c r="O1791">
        <v>0</v>
      </c>
      <c r="P1791">
        <v>0</v>
      </c>
      <c r="Q1791">
        <v>762</v>
      </c>
      <c r="R1791">
        <v>0.19</v>
      </c>
      <c r="S1791" t="s">
        <v>27</v>
      </c>
      <c r="T1791" s="1">
        <v>45065</v>
      </c>
      <c r="U1791">
        <v>0</v>
      </c>
    </row>
    <row r="1792" spans="1:21" x14ac:dyDescent="0.25">
      <c r="A1792" t="s">
        <v>1839</v>
      </c>
      <c r="B1792">
        <v>23</v>
      </c>
      <c r="C1792" t="s">
        <v>29</v>
      </c>
      <c r="D1792" t="s">
        <v>35</v>
      </c>
      <c r="E1792" t="s">
        <v>49</v>
      </c>
      <c r="F1792" t="s">
        <v>52</v>
      </c>
      <c r="G1792">
        <v>3548.16</v>
      </c>
      <c r="H1792">
        <v>2260.8000000000002</v>
      </c>
      <c r="I1792">
        <v>32977.910000000003</v>
      </c>
      <c r="J1792" t="s">
        <v>37</v>
      </c>
      <c r="K1792" t="s">
        <v>38</v>
      </c>
      <c r="L1792">
        <v>0</v>
      </c>
      <c r="M1792">
        <v>0</v>
      </c>
      <c r="N1792">
        <v>0</v>
      </c>
      <c r="O1792">
        <v>0</v>
      </c>
      <c r="P1792">
        <v>0</v>
      </c>
      <c r="Q1792">
        <v>568</v>
      </c>
      <c r="R1792">
        <v>0.77</v>
      </c>
      <c r="S1792" t="s">
        <v>39</v>
      </c>
      <c r="T1792" s="1">
        <v>44561</v>
      </c>
      <c r="U1792">
        <v>0</v>
      </c>
    </row>
    <row r="1793" spans="1:21" x14ac:dyDescent="0.25">
      <c r="A1793" t="s">
        <v>1840</v>
      </c>
      <c r="B1793">
        <v>50</v>
      </c>
      <c r="C1793" t="s">
        <v>29</v>
      </c>
      <c r="D1793" t="s">
        <v>22</v>
      </c>
      <c r="E1793" t="s">
        <v>31</v>
      </c>
      <c r="F1793" t="s">
        <v>52</v>
      </c>
      <c r="G1793">
        <v>4624.16</v>
      </c>
      <c r="H1793">
        <v>3492.54</v>
      </c>
      <c r="I1793">
        <v>52540.54</v>
      </c>
      <c r="J1793" t="s">
        <v>37</v>
      </c>
      <c r="K1793" t="s">
        <v>38</v>
      </c>
      <c r="L1793">
        <v>0</v>
      </c>
      <c r="M1793">
        <v>0</v>
      </c>
      <c r="N1793">
        <v>0</v>
      </c>
      <c r="O1793">
        <v>0</v>
      </c>
      <c r="P1793">
        <v>0</v>
      </c>
      <c r="Q1793">
        <v>494</v>
      </c>
      <c r="R1793">
        <v>0.95</v>
      </c>
      <c r="S1793" t="s">
        <v>30</v>
      </c>
      <c r="T1793" s="1">
        <v>45254</v>
      </c>
      <c r="U1793">
        <v>0</v>
      </c>
    </row>
    <row r="1794" spans="1:21" x14ac:dyDescent="0.25">
      <c r="A1794" t="s">
        <v>1841</v>
      </c>
      <c r="B1794">
        <v>21</v>
      </c>
      <c r="C1794" t="s">
        <v>29</v>
      </c>
      <c r="D1794" t="s">
        <v>22</v>
      </c>
      <c r="E1794" t="s">
        <v>31</v>
      </c>
      <c r="F1794" t="s">
        <v>42</v>
      </c>
      <c r="G1794">
        <v>3004.64</v>
      </c>
      <c r="H1794">
        <v>2366.4499999999998</v>
      </c>
      <c r="I1794">
        <v>33094.18</v>
      </c>
      <c r="J1794" t="s">
        <v>37</v>
      </c>
      <c r="K1794" t="s">
        <v>38</v>
      </c>
      <c r="L1794">
        <v>0</v>
      </c>
      <c r="M1794">
        <v>0</v>
      </c>
      <c r="N1794">
        <v>0</v>
      </c>
      <c r="O1794">
        <v>0</v>
      </c>
      <c r="P1794">
        <v>0</v>
      </c>
      <c r="Q1794">
        <v>485</v>
      </c>
      <c r="R1794">
        <v>0.92</v>
      </c>
      <c r="S1794" t="s">
        <v>27</v>
      </c>
      <c r="T1794" s="1">
        <v>45086</v>
      </c>
      <c r="U1794">
        <v>0</v>
      </c>
    </row>
    <row r="1795" spans="1:21" x14ac:dyDescent="0.25">
      <c r="A1795" t="s">
        <v>1842</v>
      </c>
      <c r="B1795">
        <v>43</v>
      </c>
      <c r="C1795" t="s">
        <v>21</v>
      </c>
      <c r="D1795" t="s">
        <v>56</v>
      </c>
      <c r="E1795" t="s">
        <v>51</v>
      </c>
      <c r="F1795" t="s">
        <v>23</v>
      </c>
      <c r="G1795">
        <v>3518.41</v>
      </c>
      <c r="H1795">
        <v>2308.41</v>
      </c>
      <c r="I1795">
        <v>28668.09</v>
      </c>
      <c r="J1795" t="s">
        <v>37</v>
      </c>
      <c r="K1795" t="s">
        <v>38</v>
      </c>
      <c r="L1795">
        <v>0</v>
      </c>
      <c r="M1795">
        <v>0</v>
      </c>
      <c r="N1795">
        <v>0</v>
      </c>
      <c r="O1795">
        <v>0</v>
      </c>
      <c r="P1795">
        <v>0</v>
      </c>
      <c r="Q1795">
        <v>601</v>
      </c>
      <c r="R1795">
        <v>0.68</v>
      </c>
      <c r="S1795" t="s">
        <v>47</v>
      </c>
      <c r="T1795" s="1">
        <v>44980</v>
      </c>
      <c r="U1795">
        <v>0</v>
      </c>
    </row>
    <row r="1796" spans="1:21" x14ac:dyDescent="0.25">
      <c r="A1796" t="s">
        <v>1843</v>
      </c>
      <c r="B1796">
        <v>41</v>
      </c>
      <c r="C1796" t="s">
        <v>21</v>
      </c>
      <c r="D1796" t="s">
        <v>35</v>
      </c>
      <c r="E1796" t="s">
        <v>31</v>
      </c>
      <c r="F1796" t="s">
        <v>36</v>
      </c>
      <c r="G1796">
        <v>5913.92</v>
      </c>
      <c r="H1796">
        <v>4895.54</v>
      </c>
      <c r="I1796">
        <v>58099.360000000001</v>
      </c>
      <c r="J1796" t="s">
        <v>37</v>
      </c>
      <c r="K1796" t="s">
        <v>38</v>
      </c>
      <c r="L1796">
        <v>0</v>
      </c>
      <c r="M1796">
        <v>0</v>
      </c>
      <c r="N1796">
        <v>0</v>
      </c>
      <c r="O1796">
        <v>0</v>
      </c>
      <c r="P1796">
        <v>0</v>
      </c>
      <c r="Q1796">
        <v>384</v>
      </c>
      <c r="R1796">
        <v>0.82</v>
      </c>
      <c r="S1796" t="s">
        <v>47</v>
      </c>
      <c r="T1796" s="1">
        <v>45801</v>
      </c>
      <c r="U1796">
        <v>0</v>
      </c>
    </row>
    <row r="1797" spans="1:21" x14ac:dyDescent="0.25">
      <c r="A1797" t="s">
        <v>1844</v>
      </c>
      <c r="B1797">
        <v>22</v>
      </c>
      <c r="C1797" t="s">
        <v>29</v>
      </c>
      <c r="D1797" t="s">
        <v>41</v>
      </c>
      <c r="E1797" t="s">
        <v>31</v>
      </c>
      <c r="F1797" t="s">
        <v>44</v>
      </c>
      <c r="G1797">
        <v>6277.58</v>
      </c>
      <c r="H1797">
        <v>3346.25</v>
      </c>
      <c r="I1797">
        <v>51292.69</v>
      </c>
      <c r="J1797" t="s">
        <v>37</v>
      </c>
      <c r="K1797" t="s">
        <v>38</v>
      </c>
      <c r="L1797">
        <v>0</v>
      </c>
      <c r="M1797">
        <v>0</v>
      </c>
      <c r="N1797">
        <v>0</v>
      </c>
      <c r="O1797">
        <v>0</v>
      </c>
      <c r="P1797">
        <v>0</v>
      </c>
      <c r="Q1797">
        <v>454</v>
      </c>
      <c r="R1797">
        <v>0.68</v>
      </c>
      <c r="S1797" t="s">
        <v>39</v>
      </c>
      <c r="T1797" s="1">
        <v>45824</v>
      </c>
      <c r="U1797">
        <v>0</v>
      </c>
    </row>
    <row r="1798" spans="1:21" x14ac:dyDescent="0.25">
      <c r="A1798" t="s">
        <v>1845</v>
      </c>
      <c r="B1798">
        <v>67</v>
      </c>
      <c r="C1798" t="s">
        <v>29</v>
      </c>
      <c r="D1798" t="s">
        <v>41</v>
      </c>
      <c r="E1798" t="s">
        <v>49</v>
      </c>
      <c r="F1798" t="s">
        <v>44</v>
      </c>
      <c r="G1798">
        <v>4157.5</v>
      </c>
      <c r="H1798">
        <v>3732.72</v>
      </c>
      <c r="I1798">
        <v>43710.35</v>
      </c>
      <c r="J1798" t="s">
        <v>37</v>
      </c>
      <c r="K1798" t="s">
        <v>38</v>
      </c>
      <c r="L1798">
        <v>0</v>
      </c>
      <c r="M1798">
        <v>0</v>
      </c>
      <c r="N1798">
        <v>0</v>
      </c>
      <c r="O1798">
        <v>0</v>
      </c>
      <c r="P1798">
        <v>0</v>
      </c>
      <c r="Q1798">
        <v>392</v>
      </c>
      <c r="R1798">
        <v>0.88</v>
      </c>
      <c r="S1798" t="s">
        <v>39</v>
      </c>
      <c r="T1798" s="1">
        <v>45708</v>
      </c>
      <c r="U1798">
        <v>0</v>
      </c>
    </row>
    <row r="1799" spans="1:21" x14ac:dyDescent="0.25">
      <c r="A1799" t="s">
        <v>1846</v>
      </c>
      <c r="B1799">
        <v>26</v>
      </c>
      <c r="C1799" t="s">
        <v>21</v>
      </c>
      <c r="D1799" t="s">
        <v>35</v>
      </c>
      <c r="E1799" t="s">
        <v>31</v>
      </c>
      <c r="F1799" t="s">
        <v>24</v>
      </c>
      <c r="G1799">
        <v>1399.21</v>
      </c>
      <c r="H1799">
        <v>1169.95</v>
      </c>
      <c r="I1799">
        <v>4434.3500000000004</v>
      </c>
      <c r="J1799" t="s">
        <v>37</v>
      </c>
      <c r="K1799" t="s">
        <v>38</v>
      </c>
      <c r="L1799">
        <v>0</v>
      </c>
      <c r="M1799">
        <v>0</v>
      </c>
      <c r="N1799">
        <v>0</v>
      </c>
      <c r="O1799">
        <v>0</v>
      </c>
      <c r="P1799">
        <v>0</v>
      </c>
      <c r="Q1799">
        <v>704</v>
      </c>
      <c r="R1799">
        <v>0.26</v>
      </c>
      <c r="S1799" t="s">
        <v>27</v>
      </c>
      <c r="T1799" s="1">
        <v>44814</v>
      </c>
      <c r="U1799">
        <v>0</v>
      </c>
    </row>
    <row r="1800" spans="1:21" x14ac:dyDescent="0.25">
      <c r="A1800" t="s">
        <v>1847</v>
      </c>
      <c r="B1800">
        <v>57</v>
      </c>
      <c r="C1800" t="s">
        <v>29</v>
      </c>
      <c r="D1800" t="s">
        <v>56</v>
      </c>
      <c r="E1800" t="s">
        <v>23</v>
      </c>
      <c r="F1800" t="s">
        <v>24</v>
      </c>
      <c r="G1800">
        <v>3273.51</v>
      </c>
      <c r="H1800">
        <v>2308.2199999999998</v>
      </c>
      <c r="I1800">
        <v>30334.71</v>
      </c>
      <c r="J1800" t="s">
        <v>37</v>
      </c>
      <c r="K1800" t="s">
        <v>38</v>
      </c>
      <c r="L1800">
        <v>0</v>
      </c>
      <c r="M1800">
        <v>0</v>
      </c>
      <c r="N1800">
        <v>0</v>
      </c>
      <c r="O1800">
        <v>0</v>
      </c>
      <c r="P1800">
        <v>0</v>
      </c>
      <c r="Q1800">
        <v>510</v>
      </c>
      <c r="R1800">
        <v>0.77</v>
      </c>
      <c r="S1800" t="s">
        <v>27</v>
      </c>
      <c r="T1800" s="1">
        <v>44642</v>
      </c>
      <c r="U1800">
        <v>0</v>
      </c>
    </row>
    <row r="1801" spans="1:21" x14ac:dyDescent="0.25">
      <c r="A1801" t="s">
        <v>1848</v>
      </c>
      <c r="B1801">
        <v>42</v>
      </c>
      <c r="C1801" t="s">
        <v>21</v>
      </c>
      <c r="D1801" t="s">
        <v>41</v>
      </c>
      <c r="E1801" t="s">
        <v>31</v>
      </c>
      <c r="F1801" t="s">
        <v>63</v>
      </c>
      <c r="G1801">
        <v>3638.7</v>
      </c>
      <c r="H1801">
        <v>1347.29</v>
      </c>
      <c r="I1801">
        <v>32629.5</v>
      </c>
      <c r="J1801" t="s">
        <v>37</v>
      </c>
      <c r="K1801" t="s">
        <v>38</v>
      </c>
      <c r="L1801">
        <v>0</v>
      </c>
      <c r="M1801">
        <v>0</v>
      </c>
      <c r="N1801">
        <v>0</v>
      </c>
      <c r="O1801">
        <v>0</v>
      </c>
      <c r="P1801">
        <v>0</v>
      </c>
      <c r="Q1801">
        <v>822</v>
      </c>
      <c r="R1801">
        <v>0.75</v>
      </c>
      <c r="S1801" t="s">
        <v>30</v>
      </c>
      <c r="T1801" s="1">
        <v>45613</v>
      </c>
      <c r="U1801">
        <v>0</v>
      </c>
    </row>
    <row r="1802" spans="1:21" x14ac:dyDescent="0.25">
      <c r="A1802" t="s">
        <v>1849</v>
      </c>
      <c r="B1802">
        <v>21</v>
      </c>
      <c r="C1802" t="s">
        <v>21</v>
      </c>
      <c r="D1802" t="s">
        <v>41</v>
      </c>
      <c r="E1802" t="s">
        <v>31</v>
      </c>
      <c r="F1802" t="s">
        <v>42</v>
      </c>
      <c r="G1802">
        <v>3423.97</v>
      </c>
      <c r="H1802">
        <v>1912.08</v>
      </c>
      <c r="I1802">
        <v>20732.72</v>
      </c>
      <c r="J1802" t="s">
        <v>37</v>
      </c>
      <c r="K1802" t="s">
        <v>38</v>
      </c>
      <c r="L1802">
        <v>0</v>
      </c>
      <c r="M1802">
        <v>0</v>
      </c>
      <c r="N1802">
        <v>0</v>
      </c>
      <c r="O1802">
        <v>0</v>
      </c>
      <c r="P1802">
        <v>0</v>
      </c>
      <c r="Q1802">
        <v>722</v>
      </c>
      <c r="R1802">
        <v>0.5</v>
      </c>
      <c r="S1802" t="s">
        <v>39</v>
      </c>
      <c r="T1802" s="1">
        <v>44573</v>
      </c>
      <c r="U1802">
        <v>0</v>
      </c>
    </row>
    <row r="1803" spans="1:21" x14ac:dyDescent="0.25">
      <c r="A1803" t="s">
        <v>1850</v>
      </c>
      <c r="B1803">
        <v>25</v>
      </c>
      <c r="C1803" t="s">
        <v>29</v>
      </c>
      <c r="D1803" t="s">
        <v>22</v>
      </c>
      <c r="E1803" t="s">
        <v>31</v>
      </c>
      <c r="F1803" t="s">
        <v>23</v>
      </c>
      <c r="G1803">
        <v>6677.65</v>
      </c>
      <c r="H1803">
        <v>2172.9899999999998</v>
      </c>
      <c r="I1803">
        <v>68935.58</v>
      </c>
      <c r="J1803" t="s">
        <v>37</v>
      </c>
      <c r="K1803" t="s">
        <v>38</v>
      </c>
      <c r="L1803">
        <v>0</v>
      </c>
      <c r="M1803">
        <v>0</v>
      </c>
      <c r="N1803">
        <v>0</v>
      </c>
      <c r="O1803">
        <v>0</v>
      </c>
      <c r="P1803">
        <v>0</v>
      </c>
      <c r="Q1803">
        <v>837</v>
      </c>
      <c r="R1803">
        <v>0.86</v>
      </c>
      <c r="S1803" t="s">
        <v>72</v>
      </c>
      <c r="T1803" s="1">
        <v>45527</v>
      </c>
      <c r="U1803">
        <v>0</v>
      </c>
    </row>
    <row r="1804" spans="1:21" x14ac:dyDescent="0.25">
      <c r="A1804" t="s">
        <v>1851</v>
      </c>
      <c r="B1804">
        <v>25</v>
      </c>
      <c r="C1804" t="s">
        <v>29</v>
      </c>
      <c r="D1804" t="s">
        <v>41</v>
      </c>
      <c r="E1804" t="s">
        <v>31</v>
      </c>
      <c r="F1804" t="s">
        <v>44</v>
      </c>
      <c r="G1804">
        <v>3009.69</v>
      </c>
      <c r="H1804">
        <v>1727</v>
      </c>
      <c r="I1804">
        <v>18963.12</v>
      </c>
      <c r="J1804" t="s">
        <v>37</v>
      </c>
      <c r="K1804" t="s">
        <v>38</v>
      </c>
      <c r="L1804">
        <v>0</v>
      </c>
      <c r="M1804">
        <v>0</v>
      </c>
      <c r="N1804">
        <v>0</v>
      </c>
      <c r="O1804">
        <v>0</v>
      </c>
      <c r="P1804">
        <v>0</v>
      </c>
      <c r="Q1804">
        <v>476</v>
      </c>
      <c r="R1804">
        <v>0.53</v>
      </c>
      <c r="S1804" t="s">
        <v>30</v>
      </c>
      <c r="T1804" s="1">
        <v>45012</v>
      </c>
      <c r="U1804">
        <v>0</v>
      </c>
    </row>
    <row r="1805" spans="1:21" x14ac:dyDescent="0.25">
      <c r="A1805" t="s">
        <v>1852</v>
      </c>
      <c r="B1805">
        <v>39</v>
      </c>
      <c r="C1805" t="s">
        <v>30</v>
      </c>
      <c r="D1805" t="s">
        <v>35</v>
      </c>
      <c r="E1805" t="s">
        <v>31</v>
      </c>
      <c r="F1805" t="s">
        <v>63</v>
      </c>
      <c r="G1805">
        <v>3515.69</v>
      </c>
      <c r="H1805">
        <v>2561.1</v>
      </c>
      <c r="I1805">
        <v>21178.12</v>
      </c>
      <c r="J1805" t="s">
        <v>37</v>
      </c>
      <c r="K1805" t="s">
        <v>38</v>
      </c>
      <c r="L1805">
        <v>0</v>
      </c>
      <c r="M1805">
        <v>0</v>
      </c>
      <c r="N1805">
        <v>0</v>
      </c>
      <c r="O1805">
        <v>0</v>
      </c>
      <c r="P1805">
        <v>0</v>
      </c>
      <c r="Q1805">
        <v>413</v>
      </c>
      <c r="R1805">
        <v>0.5</v>
      </c>
      <c r="S1805" t="s">
        <v>72</v>
      </c>
      <c r="T1805" s="1">
        <v>44627</v>
      </c>
      <c r="U1805">
        <v>0</v>
      </c>
    </row>
    <row r="1806" spans="1:21" x14ac:dyDescent="0.25">
      <c r="A1806" t="s">
        <v>1853</v>
      </c>
      <c r="B1806">
        <v>44</v>
      </c>
      <c r="C1806" t="s">
        <v>29</v>
      </c>
      <c r="D1806" t="s">
        <v>56</v>
      </c>
      <c r="E1806" t="s">
        <v>31</v>
      </c>
      <c r="F1806" t="s">
        <v>36</v>
      </c>
      <c r="G1806">
        <v>4100.8100000000004</v>
      </c>
      <c r="H1806">
        <v>1637.11</v>
      </c>
      <c r="I1806">
        <v>34509.4</v>
      </c>
      <c r="J1806" t="s">
        <v>25</v>
      </c>
      <c r="K1806" t="s">
        <v>33</v>
      </c>
      <c r="L1806">
        <v>454913.18</v>
      </c>
      <c r="M1806">
        <v>120</v>
      </c>
      <c r="N1806">
        <v>5200.2299999999996</v>
      </c>
      <c r="O1806">
        <v>6.65</v>
      </c>
      <c r="P1806">
        <v>1.27</v>
      </c>
      <c r="Q1806">
        <v>652</v>
      </c>
      <c r="R1806">
        <v>0.7</v>
      </c>
      <c r="S1806" t="s">
        <v>27</v>
      </c>
      <c r="T1806" s="1">
        <v>45591</v>
      </c>
      <c r="U1806">
        <v>1</v>
      </c>
    </row>
    <row r="1807" spans="1:21" x14ac:dyDescent="0.25">
      <c r="A1807" t="s">
        <v>1854</v>
      </c>
      <c r="B1807">
        <v>55</v>
      </c>
      <c r="C1807" t="s">
        <v>29</v>
      </c>
      <c r="D1807" t="s">
        <v>41</v>
      </c>
      <c r="E1807" t="s">
        <v>51</v>
      </c>
      <c r="F1807" t="s">
        <v>32</v>
      </c>
      <c r="G1807">
        <v>500</v>
      </c>
      <c r="H1807">
        <v>232.14</v>
      </c>
      <c r="I1807">
        <v>5439.34</v>
      </c>
      <c r="J1807" t="s">
        <v>37</v>
      </c>
      <c r="K1807" t="s">
        <v>38</v>
      </c>
      <c r="L1807">
        <v>0</v>
      </c>
      <c r="M1807">
        <v>0</v>
      </c>
      <c r="N1807">
        <v>0</v>
      </c>
      <c r="O1807">
        <v>0</v>
      </c>
      <c r="P1807">
        <v>0</v>
      </c>
      <c r="Q1807">
        <v>333</v>
      </c>
      <c r="R1807">
        <v>0.91</v>
      </c>
      <c r="S1807" t="s">
        <v>47</v>
      </c>
      <c r="T1807" s="1">
        <v>44518</v>
      </c>
      <c r="U1807">
        <v>0</v>
      </c>
    </row>
    <row r="1808" spans="1:21" x14ac:dyDescent="0.25">
      <c r="A1808" t="s">
        <v>1855</v>
      </c>
      <c r="B1808">
        <v>30</v>
      </c>
      <c r="C1808" t="s">
        <v>29</v>
      </c>
      <c r="D1808" t="s">
        <v>41</v>
      </c>
      <c r="E1808" t="s">
        <v>31</v>
      </c>
      <c r="F1808" t="s">
        <v>42</v>
      </c>
      <c r="G1808">
        <v>4672.25</v>
      </c>
      <c r="H1808">
        <v>2436.73</v>
      </c>
      <c r="I1808">
        <v>45490.71</v>
      </c>
      <c r="J1808" t="s">
        <v>25</v>
      </c>
      <c r="K1808" t="s">
        <v>26</v>
      </c>
      <c r="L1808">
        <v>320462.98</v>
      </c>
      <c r="M1808">
        <v>120</v>
      </c>
      <c r="N1808">
        <v>5012.3900000000003</v>
      </c>
      <c r="O1808">
        <v>14.19</v>
      </c>
      <c r="P1808">
        <v>1.07</v>
      </c>
      <c r="Q1808">
        <v>690</v>
      </c>
      <c r="R1808">
        <v>0.81</v>
      </c>
      <c r="S1808" t="s">
        <v>27</v>
      </c>
      <c r="T1808" s="1">
        <v>44471</v>
      </c>
      <c r="U1808">
        <v>1</v>
      </c>
    </row>
    <row r="1809" spans="1:21" x14ac:dyDescent="0.25">
      <c r="A1809" t="s">
        <v>1856</v>
      </c>
      <c r="B1809">
        <v>29</v>
      </c>
      <c r="C1809" t="s">
        <v>21</v>
      </c>
      <c r="D1809" t="s">
        <v>35</v>
      </c>
      <c r="E1809" t="s">
        <v>31</v>
      </c>
      <c r="F1809" t="s">
        <v>44</v>
      </c>
      <c r="G1809">
        <v>4361.93</v>
      </c>
      <c r="H1809">
        <v>3135.13</v>
      </c>
      <c r="I1809">
        <v>33628.04</v>
      </c>
      <c r="J1809" t="s">
        <v>25</v>
      </c>
      <c r="K1809" t="s">
        <v>45</v>
      </c>
      <c r="L1809">
        <v>355071.05</v>
      </c>
      <c r="M1809">
        <v>180</v>
      </c>
      <c r="N1809">
        <v>2474.3200000000002</v>
      </c>
      <c r="O1809">
        <v>3.13</v>
      </c>
      <c r="P1809">
        <v>0.56999999999999995</v>
      </c>
      <c r="Q1809">
        <v>408</v>
      </c>
      <c r="R1809">
        <v>0.64</v>
      </c>
      <c r="S1809" t="s">
        <v>39</v>
      </c>
      <c r="T1809" s="1">
        <v>45701</v>
      </c>
      <c r="U1809">
        <v>1</v>
      </c>
    </row>
    <row r="1810" spans="1:21" x14ac:dyDescent="0.25">
      <c r="A1810" t="s">
        <v>1857</v>
      </c>
      <c r="B1810">
        <v>49</v>
      </c>
      <c r="C1810" t="s">
        <v>29</v>
      </c>
      <c r="D1810" t="s">
        <v>22</v>
      </c>
      <c r="E1810" t="s">
        <v>31</v>
      </c>
      <c r="F1810" t="s">
        <v>49</v>
      </c>
      <c r="G1810">
        <v>2524.4499999999998</v>
      </c>
      <c r="H1810">
        <v>1665.71</v>
      </c>
      <c r="I1810">
        <v>7497.36</v>
      </c>
      <c r="J1810" t="s">
        <v>37</v>
      </c>
      <c r="K1810" t="s">
        <v>38</v>
      </c>
      <c r="L1810">
        <v>0</v>
      </c>
      <c r="M1810">
        <v>0</v>
      </c>
      <c r="N1810">
        <v>0</v>
      </c>
      <c r="O1810">
        <v>0</v>
      </c>
      <c r="P1810">
        <v>0</v>
      </c>
      <c r="Q1810">
        <v>708</v>
      </c>
      <c r="R1810">
        <v>0.25</v>
      </c>
      <c r="S1810" t="s">
        <v>72</v>
      </c>
      <c r="T1810" s="1">
        <v>44705</v>
      </c>
      <c r="U1810">
        <v>0</v>
      </c>
    </row>
    <row r="1811" spans="1:21" x14ac:dyDescent="0.25">
      <c r="A1811" t="s">
        <v>1858</v>
      </c>
      <c r="B1811">
        <v>35</v>
      </c>
      <c r="C1811" t="s">
        <v>21</v>
      </c>
      <c r="D1811" t="s">
        <v>35</v>
      </c>
      <c r="E1811" t="s">
        <v>51</v>
      </c>
      <c r="F1811" t="s">
        <v>63</v>
      </c>
      <c r="G1811">
        <v>3299</v>
      </c>
      <c r="H1811">
        <v>1965.82</v>
      </c>
      <c r="I1811">
        <v>19312.63</v>
      </c>
      <c r="J1811" t="s">
        <v>25</v>
      </c>
      <c r="K1811" t="s">
        <v>54</v>
      </c>
      <c r="L1811">
        <v>254714.03</v>
      </c>
      <c r="M1811">
        <v>120</v>
      </c>
      <c r="N1811">
        <v>5975.09</v>
      </c>
      <c r="O1811">
        <v>26</v>
      </c>
      <c r="P1811">
        <v>1.81</v>
      </c>
      <c r="Q1811">
        <v>759</v>
      </c>
      <c r="R1811">
        <v>0.49</v>
      </c>
      <c r="S1811" t="s">
        <v>72</v>
      </c>
      <c r="T1811" s="1">
        <v>44513</v>
      </c>
      <c r="U1811">
        <v>1</v>
      </c>
    </row>
    <row r="1812" spans="1:21" x14ac:dyDescent="0.25">
      <c r="A1812" t="s">
        <v>1859</v>
      </c>
      <c r="B1812">
        <v>42</v>
      </c>
      <c r="C1812" t="s">
        <v>29</v>
      </c>
      <c r="D1812" t="s">
        <v>41</v>
      </c>
      <c r="E1812" t="s">
        <v>23</v>
      </c>
      <c r="F1812" t="s">
        <v>44</v>
      </c>
      <c r="G1812">
        <v>3558.44</v>
      </c>
      <c r="H1812">
        <v>3023.78</v>
      </c>
      <c r="I1812">
        <v>35197.39</v>
      </c>
      <c r="J1812" t="s">
        <v>37</v>
      </c>
      <c r="K1812" t="s">
        <v>38</v>
      </c>
      <c r="L1812">
        <v>0</v>
      </c>
      <c r="M1812">
        <v>0</v>
      </c>
      <c r="N1812">
        <v>0</v>
      </c>
      <c r="O1812">
        <v>0</v>
      </c>
      <c r="P1812">
        <v>0</v>
      </c>
      <c r="Q1812">
        <v>646</v>
      </c>
      <c r="R1812">
        <v>0.82</v>
      </c>
      <c r="S1812" t="s">
        <v>47</v>
      </c>
      <c r="T1812" s="1">
        <v>44546</v>
      </c>
      <c r="U1812">
        <v>0</v>
      </c>
    </row>
    <row r="1813" spans="1:21" x14ac:dyDescent="0.25">
      <c r="A1813" t="s">
        <v>1860</v>
      </c>
      <c r="B1813">
        <v>33</v>
      </c>
      <c r="C1813" t="s">
        <v>29</v>
      </c>
      <c r="D1813" t="s">
        <v>56</v>
      </c>
      <c r="E1813" t="s">
        <v>51</v>
      </c>
      <c r="F1813" t="s">
        <v>63</v>
      </c>
      <c r="G1813">
        <v>3925.22</v>
      </c>
      <c r="H1813">
        <v>1549.55</v>
      </c>
      <c r="I1813">
        <v>20920.740000000002</v>
      </c>
      <c r="J1813" t="s">
        <v>25</v>
      </c>
      <c r="K1813" t="s">
        <v>26</v>
      </c>
      <c r="L1813">
        <v>494154.02</v>
      </c>
      <c r="M1813">
        <v>360</v>
      </c>
      <c r="N1813">
        <v>4923.75</v>
      </c>
      <c r="O1813">
        <v>11.58</v>
      </c>
      <c r="P1813">
        <v>1.25</v>
      </c>
      <c r="Q1813">
        <v>785</v>
      </c>
      <c r="R1813">
        <v>0.44</v>
      </c>
      <c r="S1813" t="s">
        <v>47</v>
      </c>
      <c r="T1813" s="1">
        <v>45718</v>
      </c>
      <c r="U1813">
        <v>1</v>
      </c>
    </row>
    <row r="1814" spans="1:21" x14ac:dyDescent="0.25">
      <c r="A1814" t="s">
        <v>1861</v>
      </c>
      <c r="B1814">
        <v>55</v>
      </c>
      <c r="C1814" t="s">
        <v>29</v>
      </c>
      <c r="D1814" t="s">
        <v>41</v>
      </c>
      <c r="E1814" t="s">
        <v>31</v>
      </c>
      <c r="F1814" t="s">
        <v>44</v>
      </c>
      <c r="G1814">
        <v>1269.9100000000001</v>
      </c>
      <c r="H1814">
        <v>888.54</v>
      </c>
      <c r="I1814">
        <v>5852.55</v>
      </c>
      <c r="J1814" t="s">
        <v>37</v>
      </c>
      <c r="K1814" t="s">
        <v>38</v>
      </c>
      <c r="L1814">
        <v>0</v>
      </c>
      <c r="M1814">
        <v>0</v>
      </c>
      <c r="N1814">
        <v>0</v>
      </c>
      <c r="O1814">
        <v>0</v>
      </c>
      <c r="P1814">
        <v>0</v>
      </c>
      <c r="Q1814">
        <v>826</v>
      </c>
      <c r="R1814">
        <v>0.38</v>
      </c>
      <c r="S1814" t="s">
        <v>47</v>
      </c>
      <c r="T1814" s="1">
        <v>44544</v>
      </c>
      <c r="U1814">
        <v>0</v>
      </c>
    </row>
    <row r="1815" spans="1:21" x14ac:dyDescent="0.25">
      <c r="A1815" t="s">
        <v>1862</v>
      </c>
      <c r="B1815">
        <v>29</v>
      </c>
      <c r="C1815" t="s">
        <v>21</v>
      </c>
      <c r="D1815" t="s">
        <v>22</v>
      </c>
      <c r="E1815" t="s">
        <v>31</v>
      </c>
      <c r="F1815" t="s">
        <v>24</v>
      </c>
      <c r="G1815">
        <v>4485.22</v>
      </c>
      <c r="H1815">
        <v>1503.11</v>
      </c>
      <c r="I1815">
        <v>29892.98</v>
      </c>
      <c r="J1815" t="s">
        <v>37</v>
      </c>
      <c r="K1815" t="s">
        <v>38</v>
      </c>
      <c r="L1815">
        <v>0</v>
      </c>
      <c r="M1815">
        <v>0</v>
      </c>
      <c r="N1815">
        <v>0</v>
      </c>
      <c r="O1815">
        <v>0</v>
      </c>
      <c r="P1815">
        <v>0</v>
      </c>
      <c r="Q1815">
        <v>399</v>
      </c>
      <c r="R1815">
        <v>0.56000000000000005</v>
      </c>
      <c r="S1815" t="s">
        <v>39</v>
      </c>
      <c r="T1815" s="1">
        <v>44406</v>
      </c>
      <c r="U1815">
        <v>0</v>
      </c>
    </row>
    <row r="1816" spans="1:21" x14ac:dyDescent="0.25">
      <c r="A1816" t="s">
        <v>1863</v>
      </c>
      <c r="B1816">
        <v>51</v>
      </c>
      <c r="C1816" t="s">
        <v>30</v>
      </c>
      <c r="D1816" t="s">
        <v>35</v>
      </c>
      <c r="E1816" t="s">
        <v>31</v>
      </c>
      <c r="F1816" t="s">
        <v>23</v>
      </c>
      <c r="G1816">
        <v>6402.9</v>
      </c>
      <c r="H1816">
        <v>3910.5</v>
      </c>
      <c r="I1816">
        <v>66455.61</v>
      </c>
      <c r="J1816" t="s">
        <v>25</v>
      </c>
      <c r="K1816" t="s">
        <v>33</v>
      </c>
      <c r="L1816">
        <v>393379.94</v>
      </c>
      <c r="M1816">
        <v>36</v>
      </c>
      <c r="N1816">
        <v>11575.68</v>
      </c>
      <c r="O1816">
        <v>3.78</v>
      </c>
      <c r="P1816">
        <v>1.81</v>
      </c>
      <c r="Q1816">
        <v>428</v>
      </c>
      <c r="R1816">
        <v>0.86</v>
      </c>
      <c r="S1816" t="s">
        <v>72</v>
      </c>
      <c r="T1816" s="1">
        <v>45451</v>
      </c>
      <c r="U1816">
        <v>1</v>
      </c>
    </row>
    <row r="1817" spans="1:21" x14ac:dyDescent="0.25">
      <c r="A1817" t="s">
        <v>1864</v>
      </c>
      <c r="B1817">
        <v>61</v>
      </c>
      <c r="C1817" t="s">
        <v>29</v>
      </c>
      <c r="D1817" t="s">
        <v>22</v>
      </c>
      <c r="E1817" t="s">
        <v>23</v>
      </c>
      <c r="F1817" t="s">
        <v>63</v>
      </c>
      <c r="G1817">
        <v>6364.51</v>
      </c>
      <c r="H1817">
        <v>2230.15</v>
      </c>
      <c r="I1817">
        <v>42517.46</v>
      </c>
      <c r="J1817" t="s">
        <v>37</v>
      </c>
      <c r="K1817" t="s">
        <v>38</v>
      </c>
      <c r="L1817">
        <v>0</v>
      </c>
      <c r="M1817">
        <v>0</v>
      </c>
      <c r="N1817">
        <v>0</v>
      </c>
      <c r="O1817">
        <v>0</v>
      </c>
      <c r="P1817">
        <v>0</v>
      </c>
      <c r="Q1817">
        <v>550</v>
      </c>
      <c r="R1817">
        <v>0.56000000000000005</v>
      </c>
      <c r="S1817" t="s">
        <v>27</v>
      </c>
      <c r="T1817" s="1">
        <v>44541</v>
      </c>
      <c r="U1817">
        <v>0</v>
      </c>
    </row>
    <row r="1818" spans="1:21" x14ac:dyDescent="0.25">
      <c r="A1818" t="s">
        <v>1865</v>
      </c>
      <c r="B1818">
        <v>47</v>
      </c>
      <c r="C1818" t="s">
        <v>21</v>
      </c>
      <c r="D1818" t="s">
        <v>41</v>
      </c>
      <c r="E1818" t="s">
        <v>51</v>
      </c>
      <c r="F1818" t="s">
        <v>49</v>
      </c>
      <c r="G1818">
        <v>3801.68</v>
      </c>
      <c r="H1818">
        <v>2969.08</v>
      </c>
      <c r="I1818">
        <v>26942.91</v>
      </c>
      <c r="J1818" t="s">
        <v>25</v>
      </c>
      <c r="K1818" t="s">
        <v>33</v>
      </c>
      <c r="L1818">
        <v>420870.73</v>
      </c>
      <c r="M1818">
        <v>180</v>
      </c>
      <c r="N1818">
        <v>5461.44</v>
      </c>
      <c r="O1818">
        <v>13.49</v>
      </c>
      <c r="P1818">
        <v>1.44</v>
      </c>
      <c r="Q1818">
        <v>815</v>
      </c>
      <c r="R1818">
        <v>0.59</v>
      </c>
      <c r="S1818" t="s">
        <v>30</v>
      </c>
      <c r="T1818" s="1">
        <v>44784</v>
      </c>
      <c r="U1818">
        <v>1</v>
      </c>
    </row>
    <row r="1819" spans="1:21" x14ac:dyDescent="0.25">
      <c r="A1819" t="s">
        <v>1866</v>
      </c>
      <c r="B1819">
        <v>25</v>
      </c>
      <c r="C1819" t="s">
        <v>21</v>
      </c>
      <c r="D1819" t="s">
        <v>22</v>
      </c>
      <c r="E1819" t="s">
        <v>31</v>
      </c>
      <c r="F1819" t="s">
        <v>23</v>
      </c>
      <c r="G1819">
        <v>6171.29</v>
      </c>
      <c r="H1819">
        <v>4393.41</v>
      </c>
      <c r="I1819">
        <v>16847.78</v>
      </c>
      <c r="J1819" t="s">
        <v>37</v>
      </c>
      <c r="K1819" t="s">
        <v>38</v>
      </c>
      <c r="L1819">
        <v>0</v>
      </c>
      <c r="M1819">
        <v>0</v>
      </c>
      <c r="N1819">
        <v>0</v>
      </c>
      <c r="O1819">
        <v>0</v>
      </c>
      <c r="P1819">
        <v>0</v>
      </c>
      <c r="Q1819">
        <v>319</v>
      </c>
      <c r="R1819">
        <v>0.23</v>
      </c>
      <c r="S1819" t="s">
        <v>39</v>
      </c>
      <c r="T1819" s="1">
        <v>45133</v>
      </c>
      <c r="U1819">
        <v>0</v>
      </c>
    </row>
    <row r="1820" spans="1:21" x14ac:dyDescent="0.25">
      <c r="A1820" t="s">
        <v>1867</v>
      </c>
      <c r="B1820">
        <v>43</v>
      </c>
      <c r="C1820" t="s">
        <v>21</v>
      </c>
      <c r="D1820" t="s">
        <v>22</v>
      </c>
      <c r="E1820" t="s">
        <v>49</v>
      </c>
      <c r="F1820" t="s">
        <v>49</v>
      </c>
      <c r="G1820">
        <v>6805.57</v>
      </c>
      <c r="H1820">
        <v>5091.62</v>
      </c>
      <c r="I1820">
        <v>17049.04</v>
      </c>
      <c r="J1820" t="s">
        <v>37</v>
      </c>
      <c r="K1820" t="s">
        <v>38</v>
      </c>
      <c r="L1820">
        <v>0</v>
      </c>
      <c r="M1820">
        <v>0</v>
      </c>
      <c r="N1820">
        <v>0</v>
      </c>
      <c r="O1820">
        <v>0</v>
      </c>
      <c r="P1820">
        <v>0</v>
      </c>
      <c r="Q1820">
        <v>778</v>
      </c>
      <c r="R1820">
        <v>0.21</v>
      </c>
      <c r="S1820" t="s">
        <v>72</v>
      </c>
      <c r="T1820" s="1">
        <v>45352</v>
      </c>
      <c r="U1820">
        <v>0</v>
      </c>
    </row>
    <row r="1821" spans="1:21" x14ac:dyDescent="0.25">
      <c r="A1821" t="s">
        <v>1868</v>
      </c>
      <c r="B1821">
        <v>25</v>
      </c>
      <c r="C1821" t="s">
        <v>29</v>
      </c>
      <c r="D1821" t="s">
        <v>30</v>
      </c>
      <c r="E1821" t="s">
        <v>31</v>
      </c>
      <c r="F1821" t="s">
        <v>63</v>
      </c>
      <c r="G1821">
        <v>1171.6199999999999</v>
      </c>
      <c r="H1821">
        <v>355.2</v>
      </c>
      <c r="I1821">
        <v>11923.39</v>
      </c>
      <c r="J1821" t="s">
        <v>37</v>
      </c>
      <c r="K1821" t="s">
        <v>38</v>
      </c>
      <c r="L1821">
        <v>0</v>
      </c>
      <c r="M1821">
        <v>0</v>
      </c>
      <c r="N1821">
        <v>0</v>
      </c>
      <c r="O1821">
        <v>0</v>
      </c>
      <c r="P1821">
        <v>0</v>
      </c>
      <c r="Q1821">
        <v>570</v>
      </c>
      <c r="R1821">
        <v>0.85</v>
      </c>
      <c r="S1821" t="s">
        <v>27</v>
      </c>
      <c r="T1821" s="1">
        <v>45483</v>
      </c>
      <c r="U1821">
        <v>0</v>
      </c>
    </row>
    <row r="1822" spans="1:21" x14ac:dyDescent="0.25">
      <c r="A1822" t="s">
        <v>1869</v>
      </c>
      <c r="B1822">
        <v>30</v>
      </c>
      <c r="C1822" t="s">
        <v>29</v>
      </c>
      <c r="D1822" t="s">
        <v>41</v>
      </c>
      <c r="E1822" t="s">
        <v>31</v>
      </c>
      <c r="F1822" t="s">
        <v>24</v>
      </c>
      <c r="G1822">
        <v>3307.67</v>
      </c>
      <c r="H1822">
        <v>1353.45</v>
      </c>
      <c r="I1822">
        <v>32355.98</v>
      </c>
      <c r="J1822" t="s">
        <v>37</v>
      </c>
      <c r="K1822" t="s">
        <v>38</v>
      </c>
      <c r="L1822">
        <v>0</v>
      </c>
      <c r="M1822">
        <v>0</v>
      </c>
      <c r="N1822">
        <v>0</v>
      </c>
      <c r="O1822">
        <v>0</v>
      </c>
      <c r="P1822">
        <v>0</v>
      </c>
      <c r="Q1822">
        <v>406</v>
      </c>
      <c r="R1822">
        <v>0.82</v>
      </c>
      <c r="S1822" t="s">
        <v>27</v>
      </c>
      <c r="T1822" s="1">
        <v>44530</v>
      </c>
      <c r="U1822">
        <v>0</v>
      </c>
    </row>
    <row r="1823" spans="1:21" x14ac:dyDescent="0.25">
      <c r="A1823" t="s">
        <v>1870</v>
      </c>
      <c r="B1823">
        <v>44</v>
      </c>
      <c r="C1823" t="s">
        <v>29</v>
      </c>
      <c r="D1823" t="s">
        <v>22</v>
      </c>
      <c r="E1823" t="s">
        <v>49</v>
      </c>
      <c r="F1823" t="s">
        <v>44</v>
      </c>
      <c r="G1823">
        <v>4731.87</v>
      </c>
      <c r="H1823">
        <v>3900.36</v>
      </c>
      <c r="I1823">
        <v>51521.19</v>
      </c>
      <c r="J1823" t="s">
        <v>37</v>
      </c>
      <c r="K1823" t="s">
        <v>38</v>
      </c>
      <c r="L1823">
        <v>0</v>
      </c>
      <c r="M1823">
        <v>0</v>
      </c>
      <c r="N1823">
        <v>0</v>
      </c>
      <c r="O1823">
        <v>0</v>
      </c>
      <c r="P1823">
        <v>0</v>
      </c>
      <c r="Q1823">
        <v>618</v>
      </c>
      <c r="R1823">
        <v>0.91</v>
      </c>
      <c r="S1823" t="s">
        <v>39</v>
      </c>
      <c r="T1823" s="1">
        <v>45208</v>
      </c>
      <c r="U1823">
        <v>0</v>
      </c>
    </row>
    <row r="1824" spans="1:21" x14ac:dyDescent="0.25">
      <c r="A1824" t="s">
        <v>1871</v>
      </c>
      <c r="B1824">
        <v>42</v>
      </c>
      <c r="C1824" t="s">
        <v>21</v>
      </c>
      <c r="D1824" t="s">
        <v>35</v>
      </c>
      <c r="E1824" t="s">
        <v>31</v>
      </c>
      <c r="F1824" t="s">
        <v>42</v>
      </c>
      <c r="G1824">
        <v>3577.54</v>
      </c>
      <c r="H1824">
        <v>1731.79</v>
      </c>
      <c r="I1824">
        <v>16869.990000000002</v>
      </c>
      <c r="J1824" t="s">
        <v>37</v>
      </c>
      <c r="K1824" t="s">
        <v>38</v>
      </c>
      <c r="L1824">
        <v>0</v>
      </c>
      <c r="M1824">
        <v>0</v>
      </c>
      <c r="N1824">
        <v>0</v>
      </c>
      <c r="O1824">
        <v>0</v>
      </c>
      <c r="P1824">
        <v>0</v>
      </c>
      <c r="Q1824">
        <v>379</v>
      </c>
      <c r="R1824">
        <v>0.39</v>
      </c>
      <c r="S1824" t="s">
        <v>47</v>
      </c>
      <c r="T1824" s="1">
        <v>45490</v>
      </c>
      <c r="U1824">
        <v>0</v>
      </c>
    </row>
    <row r="1825" spans="1:21" x14ac:dyDescent="0.25">
      <c r="A1825" t="s">
        <v>1872</v>
      </c>
      <c r="B1825">
        <v>18</v>
      </c>
      <c r="C1825" t="s">
        <v>21</v>
      </c>
      <c r="D1825" t="s">
        <v>41</v>
      </c>
      <c r="E1825" t="s">
        <v>49</v>
      </c>
      <c r="F1825" t="s">
        <v>44</v>
      </c>
      <c r="G1825">
        <v>5163.21</v>
      </c>
      <c r="H1825">
        <v>4586.66</v>
      </c>
      <c r="I1825">
        <v>60140.9</v>
      </c>
      <c r="J1825" t="s">
        <v>25</v>
      </c>
      <c r="K1825" t="s">
        <v>33</v>
      </c>
      <c r="L1825">
        <v>164662.46</v>
      </c>
      <c r="M1825">
        <v>60</v>
      </c>
      <c r="N1825">
        <v>4621.12</v>
      </c>
      <c r="O1825">
        <v>22.78</v>
      </c>
      <c r="P1825">
        <v>0.9</v>
      </c>
      <c r="Q1825">
        <v>642</v>
      </c>
      <c r="R1825">
        <v>0.97</v>
      </c>
      <c r="S1825" t="s">
        <v>27</v>
      </c>
      <c r="T1825" s="1">
        <v>45291</v>
      </c>
      <c r="U1825">
        <v>1</v>
      </c>
    </row>
    <row r="1826" spans="1:21" x14ac:dyDescent="0.25">
      <c r="A1826" t="s">
        <v>1873</v>
      </c>
      <c r="B1826">
        <v>67</v>
      </c>
      <c r="C1826" t="s">
        <v>21</v>
      </c>
      <c r="D1826" t="s">
        <v>41</v>
      </c>
      <c r="E1826" t="s">
        <v>49</v>
      </c>
      <c r="F1826" t="s">
        <v>23</v>
      </c>
      <c r="G1826">
        <v>5407.92</v>
      </c>
      <c r="H1826">
        <v>3711.62</v>
      </c>
      <c r="I1826">
        <v>21655.98</v>
      </c>
      <c r="J1826" t="s">
        <v>25</v>
      </c>
      <c r="K1826" t="s">
        <v>45</v>
      </c>
      <c r="L1826">
        <v>97438.52</v>
      </c>
      <c r="M1826">
        <v>60</v>
      </c>
      <c r="N1826">
        <v>1787.89</v>
      </c>
      <c r="O1826">
        <v>3.85</v>
      </c>
      <c r="P1826">
        <v>0.33</v>
      </c>
      <c r="Q1826">
        <v>379</v>
      </c>
      <c r="R1826">
        <v>0.33</v>
      </c>
      <c r="S1826" t="s">
        <v>27</v>
      </c>
      <c r="T1826" s="1">
        <v>44897</v>
      </c>
      <c r="U1826">
        <v>0</v>
      </c>
    </row>
    <row r="1827" spans="1:21" x14ac:dyDescent="0.25">
      <c r="A1827" t="s">
        <v>1874</v>
      </c>
      <c r="B1827">
        <v>48</v>
      </c>
      <c r="C1827" t="s">
        <v>21</v>
      </c>
      <c r="D1827" t="s">
        <v>35</v>
      </c>
      <c r="E1827" t="s">
        <v>51</v>
      </c>
      <c r="F1827" t="s">
        <v>36</v>
      </c>
      <c r="G1827">
        <v>3455.73</v>
      </c>
      <c r="H1827">
        <v>2996.16</v>
      </c>
      <c r="I1827">
        <v>34254.81</v>
      </c>
      <c r="J1827" t="s">
        <v>25</v>
      </c>
      <c r="K1827" t="s">
        <v>33</v>
      </c>
      <c r="L1827">
        <v>120678.74</v>
      </c>
      <c r="M1827">
        <v>240</v>
      </c>
      <c r="N1827">
        <v>2622.19</v>
      </c>
      <c r="O1827">
        <v>25.92</v>
      </c>
      <c r="P1827">
        <v>0.76</v>
      </c>
      <c r="Q1827">
        <v>833</v>
      </c>
      <c r="R1827">
        <v>0.83</v>
      </c>
      <c r="S1827" t="s">
        <v>39</v>
      </c>
      <c r="T1827" s="1">
        <v>44797</v>
      </c>
      <c r="U1827">
        <v>1</v>
      </c>
    </row>
    <row r="1828" spans="1:21" x14ac:dyDescent="0.25">
      <c r="A1828" t="s">
        <v>1875</v>
      </c>
      <c r="B1828">
        <v>59</v>
      </c>
      <c r="C1828" t="s">
        <v>21</v>
      </c>
      <c r="D1828" t="s">
        <v>41</v>
      </c>
      <c r="E1828" t="s">
        <v>51</v>
      </c>
      <c r="F1828" t="s">
        <v>23</v>
      </c>
      <c r="G1828">
        <v>6420.77</v>
      </c>
      <c r="H1828">
        <v>4625.8500000000004</v>
      </c>
      <c r="I1828">
        <v>11364.46</v>
      </c>
      <c r="J1828" t="s">
        <v>37</v>
      </c>
      <c r="K1828" t="s">
        <v>38</v>
      </c>
      <c r="L1828">
        <v>0</v>
      </c>
      <c r="M1828">
        <v>0</v>
      </c>
      <c r="N1828">
        <v>0</v>
      </c>
      <c r="O1828">
        <v>0</v>
      </c>
      <c r="P1828">
        <v>0</v>
      </c>
      <c r="Q1828">
        <v>312</v>
      </c>
      <c r="R1828">
        <v>0.15</v>
      </c>
      <c r="S1828" t="s">
        <v>30</v>
      </c>
      <c r="T1828" s="1">
        <v>44723</v>
      </c>
      <c r="U1828">
        <v>0</v>
      </c>
    </row>
    <row r="1829" spans="1:21" x14ac:dyDescent="0.25">
      <c r="A1829" t="s">
        <v>1876</v>
      </c>
      <c r="B1829">
        <v>46</v>
      </c>
      <c r="C1829" t="s">
        <v>21</v>
      </c>
      <c r="D1829" t="s">
        <v>41</v>
      </c>
      <c r="E1829" t="s">
        <v>31</v>
      </c>
      <c r="F1829" t="s">
        <v>42</v>
      </c>
      <c r="G1829">
        <v>2006.46</v>
      </c>
      <c r="H1829">
        <v>1378.87</v>
      </c>
      <c r="I1829">
        <v>18360.740000000002</v>
      </c>
      <c r="J1829" t="s">
        <v>37</v>
      </c>
      <c r="K1829" t="s">
        <v>38</v>
      </c>
      <c r="L1829">
        <v>0</v>
      </c>
      <c r="M1829">
        <v>0</v>
      </c>
      <c r="N1829">
        <v>0</v>
      </c>
      <c r="O1829">
        <v>0</v>
      </c>
      <c r="P1829">
        <v>0</v>
      </c>
      <c r="Q1829">
        <v>413</v>
      </c>
      <c r="R1829">
        <v>0.76</v>
      </c>
      <c r="S1829" t="s">
        <v>27</v>
      </c>
      <c r="T1829" s="1">
        <v>44917</v>
      </c>
      <c r="U1829">
        <v>0</v>
      </c>
    </row>
    <row r="1830" spans="1:21" x14ac:dyDescent="0.25">
      <c r="A1830" t="s">
        <v>1877</v>
      </c>
      <c r="B1830">
        <v>30</v>
      </c>
      <c r="C1830" t="s">
        <v>29</v>
      </c>
      <c r="D1830" t="s">
        <v>41</v>
      </c>
      <c r="E1830" t="s">
        <v>31</v>
      </c>
      <c r="F1830" t="s">
        <v>44</v>
      </c>
      <c r="G1830">
        <v>3994.45</v>
      </c>
      <c r="H1830">
        <v>1703.51</v>
      </c>
      <c r="I1830">
        <v>7897.11</v>
      </c>
      <c r="J1830" t="s">
        <v>25</v>
      </c>
      <c r="K1830" t="s">
        <v>54</v>
      </c>
      <c r="L1830">
        <v>157566.01999999999</v>
      </c>
      <c r="M1830">
        <v>180</v>
      </c>
      <c r="N1830">
        <v>2682.73</v>
      </c>
      <c r="O1830">
        <v>19.27</v>
      </c>
      <c r="P1830">
        <v>0.67</v>
      </c>
      <c r="Q1830">
        <v>680</v>
      </c>
      <c r="R1830">
        <v>0.16</v>
      </c>
      <c r="S1830" t="s">
        <v>39</v>
      </c>
      <c r="T1830" s="1">
        <v>44894</v>
      </c>
      <c r="U1830">
        <v>1</v>
      </c>
    </row>
    <row r="1831" spans="1:21" x14ac:dyDescent="0.25">
      <c r="A1831" t="s">
        <v>1878</v>
      </c>
      <c r="B1831">
        <v>36</v>
      </c>
      <c r="C1831" t="s">
        <v>21</v>
      </c>
      <c r="D1831" t="s">
        <v>41</v>
      </c>
      <c r="E1831" t="s">
        <v>31</v>
      </c>
      <c r="F1831" t="s">
        <v>23</v>
      </c>
      <c r="G1831">
        <v>4956.53</v>
      </c>
      <c r="H1831">
        <v>2566.38</v>
      </c>
      <c r="I1831">
        <v>46160.36</v>
      </c>
      <c r="J1831" t="s">
        <v>25</v>
      </c>
      <c r="K1831" t="s">
        <v>26</v>
      </c>
      <c r="L1831">
        <v>30289.38</v>
      </c>
      <c r="M1831">
        <v>120</v>
      </c>
      <c r="N1831">
        <v>476.87</v>
      </c>
      <c r="O1831">
        <v>14.36</v>
      </c>
      <c r="P1831">
        <v>0.1</v>
      </c>
      <c r="Q1831">
        <v>711</v>
      </c>
      <c r="R1831">
        <v>0.78</v>
      </c>
      <c r="S1831" t="s">
        <v>72</v>
      </c>
      <c r="T1831" s="1">
        <v>45389</v>
      </c>
      <c r="U1831">
        <v>0</v>
      </c>
    </row>
    <row r="1832" spans="1:21" x14ac:dyDescent="0.25">
      <c r="A1832" t="s">
        <v>1879</v>
      </c>
      <c r="B1832">
        <v>40</v>
      </c>
      <c r="C1832" t="s">
        <v>29</v>
      </c>
      <c r="D1832" t="s">
        <v>35</v>
      </c>
      <c r="E1832" t="s">
        <v>31</v>
      </c>
      <c r="F1832" t="s">
        <v>42</v>
      </c>
      <c r="G1832">
        <v>5664.18</v>
      </c>
      <c r="H1832">
        <v>2910.18</v>
      </c>
      <c r="I1832">
        <v>52212.7</v>
      </c>
      <c r="J1832" t="s">
        <v>37</v>
      </c>
      <c r="K1832" t="s">
        <v>38</v>
      </c>
      <c r="L1832">
        <v>0</v>
      </c>
      <c r="M1832">
        <v>0</v>
      </c>
      <c r="N1832">
        <v>0</v>
      </c>
      <c r="O1832">
        <v>0</v>
      </c>
      <c r="P1832">
        <v>0</v>
      </c>
      <c r="Q1832">
        <v>657</v>
      </c>
      <c r="R1832">
        <v>0.77</v>
      </c>
      <c r="S1832" t="s">
        <v>30</v>
      </c>
      <c r="T1832" s="1">
        <v>45539</v>
      </c>
      <c r="U1832">
        <v>0</v>
      </c>
    </row>
    <row r="1833" spans="1:21" x14ac:dyDescent="0.25">
      <c r="A1833" t="s">
        <v>1880</v>
      </c>
      <c r="B1833">
        <v>47</v>
      </c>
      <c r="C1833" t="s">
        <v>21</v>
      </c>
      <c r="D1833" t="s">
        <v>41</v>
      </c>
      <c r="E1833" t="s">
        <v>49</v>
      </c>
      <c r="F1833" t="s">
        <v>32</v>
      </c>
      <c r="G1833">
        <v>5808.19</v>
      </c>
      <c r="H1833">
        <v>3940.65</v>
      </c>
      <c r="I1833">
        <v>58061.07</v>
      </c>
      <c r="J1833" t="s">
        <v>37</v>
      </c>
      <c r="K1833" t="s">
        <v>38</v>
      </c>
      <c r="L1833">
        <v>0</v>
      </c>
      <c r="M1833">
        <v>0</v>
      </c>
      <c r="N1833">
        <v>0</v>
      </c>
      <c r="O1833">
        <v>0</v>
      </c>
      <c r="P1833">
        <v>0</v>
      </c>
      <c r="Q1833">
        <v>516</v>
      </c>
      <c r="R1833">
        <v>0.83</v>
      </c>
      <c r="S1833" t="s">
        <v>27</v>
      </c>
      <c r="T1833" s="1">
        <v>44691</v>
      </c>
      <c r="U1833">
        <v>0</v>
      </c>
    </row>
    <row r="1834" spans="1:21" x14ac:dyDescent="0.25">
      <c r="A1834" t="s">
        <v>1881</v>
      </c>
      <c r="B1834">
        <v>61</v>
      </c>
      <c r="C1834" t="s">
        <v>29</v>
      </c>
      <c r="D1834" t="s">
        <v>41</v>
      </c>
      <c r="E1834" t="s">
        <v>23</v>
      </c>
      <c r="F1834" t="s">
        <v>36</v>
      </c>
      <c r="G1834">
        <v>5389.05</v>
      </c>
      <c r="H1834">
        <v>2567.89</v>
      </c>
      <c r="I1834">
        <v>9512.15</v>
      </c>
      <c r="J1834" t="s">
        <v>37</v>
      </c>
      <c r="K1834" t="s">
        <v>38</v>
      </c>
      <c r="L1834">
        <v>0</v>
      </c>
      <c r="M1834">
        <v>0</v>
      </c>
      <c r="N1834">
        <v>0</v>
      </c>
      <c r="O1834">
        <v>0</v>
      </c>
      <c r="P1834">
        <v>0</v>
      </c>
      <c r="Q1834">
        <v>837</v>
      </c>
      <c r="R1834">
        <v>0.15</v>
      </c>
      <c r="S1834" t="s">
        <v>72</v>
      </c>
      <c r="T1834" s="1">
        <v>45638</v>
      </c>
      <c r="U1834">
        <v>0</v>
      </c>
    </row>
    <row r="1835" spans="1:21" x14ac:dyDescent="0.25">
      <c r="A1835" t="s">
        <v>1882</v>
      </c>
      <c r="B1835">
        <v>49</v>
      </c>
      <c r="C1835" t="s">
        <v>21</v>
      </c>
      <c r="D1835" t="s">
        <v>30</v>
      </c>
      <c r="E1835" t="s">
        <v>49</v>
      </c>
      <c r="F1835" t="s">
        <v>52</v>
      </c>
      <c r="G1835">
        <v>8427.7199999999993</v>
      </c>
      <c r="H1835">
        <v>4351.25</v>
      </c>
      <c r="I1835">
        <v>24440.83</v>
      </c>
      <c r="J1835" t="s">
        <v>25</v>
      </c>
      <c r="K1835" t="s">
        <v>26</v>
      </c>
      <c r="L1835">
        <v>457509.88</v>
      </c>
      <c r="M1835">
        <v>360</v>
      </c>
      <c r="N1835">
        <v>7085.74</v>
      </c>
      <c r="O1835">
        <v>18.510000000000002</v>
      </c>
      <c r="P1835">
        <v>0.84</v>
      </c>
      <c r="Q1835">
        <v>453</v>
      </c>
      <c r="R1835">
        <v>0.24</v>
      </c>
      <c r="S1835" t="s">
        <v>39</v>
      </c>
      <c r="T1835" s="1">
        <v>45240</v>
      </c>
      <c r="U1835">
        <v>1</v>
      </c>
    </row>
    <row r="1836" spans="1:21" x14ac:dyDescent="0.25">
      <c r="A1836" t="s">
        <v>1883</v>
      </c>
      <c r="B1836">
        <v>24</v>
      </c>
      <c r="C1836" t="s">
        <v>29</v>
      </c>
      <c r="D1836" t="s">
        <v>35</v>
      </c>
      <c r="E1836" t="s">
        <v>31</v>
      </c>
      <c r="F1836" t="s">
        <v>32</v>
      </c>
      <c r="G1836">
        <v>2180.96</v>
      </c>
      <c r="H1836">
        <v>1135.26</v>
      </c>
      <c r="I1836">
        <v>23934.48</v>
      </c>
      <c r="J1836" t="s">
        <v>37</v>
      </c>
      <c r="K1836" t="s">
        <v>38</v>
      </c>
      <c r="L1836">
        <v>0</v>
      </c>
      <c r="M1836">
        <v>0</v>
      </c>
      <c r="N1836">
        <v>0</v>
      </c>
      <c r="O1836">
        <v>0</v>
      </c>
      <c r="P1836">
        <v>0</v>
      </c>
      <c r="Q1836">
        <v>573</v>
      </c>
      <c r="R1836">
        <v>0.91</v>
      </c>
      <c r="S1836" t="s">
        <v>47</v>
      </c>
      <c r="T1836" s="1">
        <v>45432</v>
      </c>
      <c r="U1836">
        <v>0</v>
      </c>
    </row>
    <row r="1837" spans="1:21" x14ac:dyDescent="0.25">
      <c r="A1837" t="s">
        <v>1884</v>
      </c>
      <c r="B1837">
        <v>29</v>
      </c>
      <c r="C1837" t="s">
        <v>21</v>
      </c>
      <c r="D1837" t="s">
        <v>41</v>
      </c>
      <c r="E1837" t="s">
        <v>23</v>
      </c>
      <c r="F1837" t="s">
        <v>63</v>
      </c>
      <c r="G1837">
        <v>6509.63</v>
      </c>
      <c r="H1837">
        <v>4470.91</v>
      </c>
      <c r="I1837">
        <v>7896.74</v>
      </c>
      <c r="J1837" t="s">
        <v>37</v>
      </c>
      <c r="K1837" t="s">
        <v>38</v>
      </c>
      <c r="L1837">
        <v>0</v>
      </c>
      <c r="M1837">
        <v>0</v>
      </c>
      <c r="N1837">
        <v>0</v>
      </c>
      <c r="O1837">
        <v>0</v>
      </c>
      <c r="P1837">
        <v>0</v>
      </c>
      <c r="Q1837">
        <v>486</v>
      </c>
      <c r="R1837">
        <v>0.1</v>
      </c>
      <c r="S1837" t="s">
        <v>47</v>
      </c>
      <c r="T1837" s="1">
        <v>45007</v>
      </c>
      <c r="U1837">
        <v>0</v>
      </c>
    </row>
    <row r="1838" spans="1:21" x14ac:dyDescent="0.25">
      <c r="A1838" t="s">
        <v>1885</v>
      </c>
      <c r="B1838">
        <v>44</v>
      </c>
      <c r="C1838" t="s">
        <v>29</v>
      </c>
      <c r="D1838" t="s">
        <v>41</v>
      </c>
      <c r="E1838" t="s">
        <v>51</v>
      </c>
      <c r="F1838" t="s">
        <v>49</v>
      </c>
      <c r="G1838">
        <v>4116.2299999999996</v>
      </c>
      <c r="H1838">
        <v>3452.68</v>
      </c>
      <c r="I1838">
        <v>40711.35</v>
      </c>
      <c r="J1838" t="s">
        <v>37</v>
      </c>
      <c r="K1838" t="s">
        <v>38</v>
      </c>
      <c r="L1838">
        <v>0</v>
      </c>
      <c r="M1838">
        <v>0</v>
      </c>
      <c r="N1838">
        <v>0</v>
      </c>
      <c r="O1838">
        <v>0</v>
      </c>
      <c r="P1838">
        <v>0</v>
      </c>
      <c r="Q1838">
        <v>678</v>
      </c>
      <c r="R1838">
        <v>0.82</v>
      </c>
      <c r="S1838" t="s">
        <v>27</v>
      </c>
      <c r="T1838" s="1">
        <v>44675</v>
      </c>
      <c r="U1838">
        <v>0</v>
      </c>
    </row>
    <row r="1839" spans="1:21" x14ac:dyDescent="0.25">
      <c r="A1839" t="s">
        <v>1886</v>
      </c>
      <c r="B1839">
        <v>62</v>
      </c>
      <c r="C1839" t="s">
        <v>29</v>
      </c>
      <c r="D1839" t="s">
        <v>41</v>
      </c>
      <c r="E1839" t="s">
        <v>31</v>
      </c>
      <c r="F1839" t="s">
        <v>44</v>
      </c>
      <c r="G1839">
        <v>5989.94</v>
      </c>
      <c r="H1839">
        <v>4973.1899999999996</v>
      </c>
      <c r="I1839">
        <v>8239.73</v>
      </c>
      <c r="J1839" t="s">
        <v>25</v>
      </c>
      <c r="K1839" t="s">
        <v>54</v>
      </c>
      <c r="L1839">
        <v>180359.6</v>
      </c>
      <c r="M1839">
        <v>24</v>
      </c>
      <c r="N1839">
        <v>9690.44</v>
      </c>
      <c r="O1839">
        <v>25.71</v>
      </c>
      <c r="P1839">
        <v>1.62</v>
      </c>
      <c r="Q1839">
        <v>710</v>
      </c>
      <c r="R1839">
        <v>0.11</v>
      </c>
      <c r="S1839" t="s">
        <v>27</v>
      </c>
      <c r="T1839" s="1">
        <v>45283</v>
      </c>
      <c r="U1839">
        <v>1</v>
      </c>
    </row>
    <row r="1840" spans="1:21" x14ac:dyDescent="0.25">
      <c r="A1840" t="s">
        <v>1887</v>
      </c>
      <c r="B1840">
        <v>49</v>
      </c>
      <c r="C1840" t="s">
        <v>21</v>
      </c>
      <c r="D1840" t="s">
        <v>22</v>
      </c>
      <c r="E1840" t="s">
        <v>31</v>
      </c>
      <c r="F1840" t="s">
        <v>44</v>
      </c>
      <c r="G1840">
        <v>4719.79</v>
      </c>
      <c r="H1840">
        <v>3057.46</v>
      </c>
      <c r="I1840">
        <v>9637.92</v>
      </c>
      <c r="J1840" t="s">
        <v>37</v>
      </c>
      <c r="K1840" t="s">
        <v>38</v>
      </c>
      <c r="L1840">
        <v>0</v>
      </c>
      <c r="M1840">
        <v>0</v>
      </c>
      <c r="N1840">
        <v>0</v>
      </c>
      <c r="O1840">
        <v>0</v>
      </c>
      <c r="P1840">
        <v>0</v>
      </c>
      <c r="Q1840">
        <v>684</v>
      </c>
      <c r="R1840">
        <v>0.17</v>
      </c>
      <c r="S1840" t="s">
        <v>39</v>
      </c>
      <c r="T1840" s="1">
        <v>44881</v>
      </c>
      <c r="U1840">
        <v>0</v>
      </c>
    </row>
    <row r="1841" spans="1:21" x14ac:dyDescent="0.25">
      <c r="A1841" t="s">
        <v>1888</v>
      </c>
      <c r="B1841">
        <v>19</v>
      </c>
      <c r="C1841" t="s">
        <v>21</v>
      </c>
      <c r="D1841" t="s">
        <v>35</v>
      </c>
      <c r="E1841" t="s">
        <v>31</v>
      </c>
      <c r="F1841" t="s">
        <v>49</v>
      </c>
      <c r="G1841">
        <v>3521.49</v>
      </c>
      <c r="H1841">
        <v>1359.57</v>
      </c>
      <c r="I1841">
        <v>19971.38</v>
      </c>
      <c r="J1841" t="s">
        <v>37</v>
      </c>
      <c r="K1841" t="s">
        <v>38</v>
      </c>
      <c r="L1841">
        <v>0</v>
      </c>
      <c r="M1841">
        <v>0</v>
      </c>
      <c r="N1841">
        <v>0</v>
      </c>
      <c r="O1841">
        <v>0</v>
      </c>
      <c r="P1841">
        <v>0</v>
      </c>
      <c r="Q1841">
        <v>717</v>
      </c>
      <c r="R1841">
        <v>0.47</v>
      </c>
      <c r="S1841" t="s">
        <v>27</v>
      </c>
      <c r="T1841" s="1">
        <v>44866</v>
      </c>
      <c r="U1841">
        <v>0</v>
      </c>
    </row>
    <row r="1842" spans="1:21" x14ac:dyDescent="0.25">
      <c r="A1842" t="s">
        <v>1889</v>
      </c>
      <c r="B1842">
        <v>23</v>
      </c>
      <c r="C1842" t="s">
        <v>21</v>
      </c>
      <c r="D1842" t="s">
        <v>22</v>
      </c>
      <c r="E1842" t="s">
        <v>31</v>
      </c>
      <c r="F1842" t="s">
        <v>23</v>
      </c>
      <c r="G1842">
        <v>5630.49</v>
      </c>
      <c r="H1842">
        <v>3833.34</v>
      </c>
      <c r="I1842">
        <v>16697.14</v>
      </c>
      <c r="J1842" t="s">
        <v>37</v>
      </c>
      <c r="K1842" t="s">
        <v>38</v>
      </c>
      <c r="L1842">
        <v>0</v>
      </c>
      <c r="M1842">
        <v>0</v>
      </c>
      <c r="N1842">
        <v>0</v>
      </c>
      <c r="O1842">
        <v>0</v>
      </c>
      <c r="P1842">
        <v>0</v>
      </c>
      <c r="Q1842">
        <v>569</v>
      </c>
      <c r="R1842">
        <v>0.25</v>
      </c>
      <c r="S1842" t="s">
        <v>39</v>
      </c>
      <c r="T1842" s="1">
        <v>44987</v>
      </c>
      <c r="U1842">
        <v>0</v>
      </c>
    </row>
    <row r="1843" spans="1:21" x14ac:dyDescent="0.25">
      <c r="A1843" t="s">
        <v>1890</v>
      </c>
      <c r="B1843">
        <v>24</v>
      </c>
      <c r="C1843" t="s">
        <v>21</v>
      </c>
      <c r="D1843" t="s">
        <v>41</v>
      </c>
      <c r="E1843" t="s">
        <v>51</v>
      </c>
      <c r="F1843" t="s">
        <v>44</v>
      </c>
      <c r="G1843">
        <v>3107.47</v>
      </c>
      <c r="H1843">
        <v>2023.09</v>
      </c>
      <c r="I1843">
        <v>14881.06</v>
      </c>
      <c r="J1843" t="s">
        <v>37</v>
      </c>
      <c r="K1843" t="s">
        <v>38</v>
      </c>
      <c r="L1843">
        <v>0</v>
      </c>
      <c r="M1843">
        <v>0</v>
      </c>
      <c r="N1843">
        <v>0</v>
      </c>
      <c r="O1843">
        <v>0</v>
      </c>
      <c r="P1843">
        <v>0</v>
      </c>
      <c r="Q1843">
        <v>617</v>
      </c>
      <c r="R1843">
        <v>0.4</v>
      </c>
      <c r="S1843" t="s">
        <v>27</v>
      </c>
      <c r="T1843" s="1">
        <v>44972</v>
      </c>
      <c r="U1843">
        <v>0</v>
      </c>
    </row>
    <row r="1844" spans="1:21" x14ac:dyDescent="0.25">
      <c r="A1844" t="s">
        <v>1891</v>
      </c>
      <c r="B1844">
        <v>33</v>
      </c>
      <c r="C1844" t="s">
        <v>21</v>
      </c>
      <c r="D1844" t="s">
        <v>35</v>
      </c>
      <c r="E1844" t="s">
        <v>31</v>
      </c>
      <c r="F1844" t="s">
        <v>49</v>
      </c>
      <c r="G1844">
        <v>5359.73</v>
      </c>
      <c r="H1844">
        <v>2521.64</v>
      </c>
      <c r="I1844">
        <v>47183.33</v>
      </c>
      <c r="J1844" t="s">
        <v>25</v>
      </c>
      <c r="K1844" t="s">
        <v>54</v>
      </c>
      <c r="L1844">
        <v>345451.84</v>
      </c>
      <c r="M1844">
        <v>120</v>
      </c>
      <c r="N1844">
        <v>4396.63</v>
      </c>
      <c r="O1844">
        <v>9.11</v>
      </c>
      <c r="P1844">
        <v>0.82</v>
      </c>
      <c r="Q1844">
        <v>837</v>
      </c>
      <c r="R1844">
        <v>0.73</v>
      </c>
      <c r="S1844" t="s">
        <v>27</v>
      </c>
      <c r="T1844" s="1">
        <v>45545</v>
      </c>
      <c r="U1844">
        <v>1</v>
      </c>
    </row>
    <row r="1845" spans="1:21" x14ac:dyDescent="0.25">
      <c r="A1845" t="s">
        <v>1892</v>
      </c>
      <c r="B1845">
        <v>41</v>
      </c>
      <c r="C1845" t="s">
        <v>29</v>
      </c>
      <c r="D1845" t="s">
        <v>35</v>
      </c>
      <c r="E1845" t="s">
        <v>23</v>
      </c>
      <c r="F1845" t="s">
        <v>49</v>
      </c>
      <c r="G1845">
        <v>4480.9399999999996</v>
      </c>
      <c r="H1845">
        <v>3425.72</v>
      </c>
      <c r="I1845">
        <v>11401.24</v>
      </c>
      <c r="J1845" t="s">
        <v>37</v>
      </c>
      <c r="K1845" t="s">
        <v>38</v>
      </c>
      <c r="L1845">
        <v>0</v>
      </c>
      <c r="M1845">
        <v>0</v>
      </c>
      <c r="N1845">
        <v>0</v>
      </c>
      <c r="O1845">
        <v>0</v>
      </c>
      <c r="P1845">
        <v>0</v>
      </c>
      <c r="Q1845">
        <v>739</v>
      </c>
      <c r="R1845">
        <v>0.21</v>
      </c>
      <c r="S1845" t="s">
        <v>30</v>
      </c>
      <c r="T1845" s="1">
        <v>44892</v>
      </c>
      <c r="U1845">
        <v>0</v>
      </c>
    </row>
    <row r="1846" spans="1:21" x14ac:dyDescent="0.25">
      <c r="A1846" t="s">
        <v>1893</v>
      </c>
      <c r="B1846">
        <v>61</v>
      </c>
      <c r="C1846" t="s">
        <v>29</v>
      </c>
      <c r="D1846" t="s">
        <v>22</v>
      </c>
      <c r="E1846" t="s">
        <v>23</v>
      </c>
      <c r="F1846" t="s">
        <v>42</v>
      </c>
      <c r="G1846">
        <v>4254.3500000000004</v>
      </c>
      <c r="H1846">
        <v>3706.36</v>
      </c>
      <c r="I1846">
        <v>8771</v>
      </c>
      <c r="J1846" t="s">
        <v>37</v>
      </c>
      <c r="K1846" t="s">
        <v>38</v>
      </c>
      <c r="L1846">
        <v>0</v>
      </c>
      <c r="M1846">
        <v>0</v>
      </c>
      <c r="N1846">
        <v>0</v>
      </c>
      <c r="O1846">
        <v>0</v>
      </c>
      <c r="P1846">
        <v>0</v>
      </c>
      <c r="Q1846">
        <v>433</v>
      </c>
      <c r="R1846">
        <v>0.17</v>
      </c>
      <c r="S1846" t="s">
        <v>72</v>
      </c>
      <c r="T1846" s="1">
        <v>45027</v>
      </c>
      <c r="U1846">
        <v>0</v>
      </c>
    </row>
    <row r="1847" spans="1:21" x14ac:dyDescent="0.25">
      <c r="A1847" t="s">
        <v>1894</v>
      </c>
      <c r="B1847">
        <v>52</v>
      </c>
      <c r="C1847" t="s">
        <v>29</v>
      </c>
      <c r="D1847" t="s">
        <v>35</v>
      </c>
      <c r="E1847" t="s">
        <v>31</v>
      </c>
      <c r="F1847" t="s">
        <v>42</v>
      </c>
      <c r="G1847">
        <v>6128.66</v>
      </c>
      <c r="H1847">
        <v>3789.28</v>
      </c>
      <c r="I1847">
        <v>60302.21</v>
      </c>
      <c r="J1847" t="s">
        <v>37</v>
      </c>
      <c r="K1847" t="s">
        <v>38</v>
      </c>
      <c r="L1847">
        <v>0</v>
      </c>
      <c r="M1847">
        <v>0</v>
      </c>
      <c r="N1847">
        <v>0</v>
      </c>
      <c r="O1847">
        <v>0</v>
      </c>
      <c r="P1847">
        <v>0</v>
      </c>
      <c r="Q1847">
        <v>449</v>
      </c>
      <c r="R1847">
        <v>0.82</v>
      </c>
      <c r="S1847" t="s">
        <v>47</v>
      </c>
      <c r="T1847" s="1">
        <v>44947</v>
      </c>
      <c r="U1847">
        <v>0</v>
      </c>
    </row>
    <row r="1848" spans="1:21" x14ac:dyDescent="0.25">
      <c r="A1848" t="s">
        <v>1895</v>
      </c>
      <c r="B1848">
        <v>45</v>
      </c>
      <c r="C1848" t="s">
        <v>21</v>
      </c>
      <c r="D1848" t="s">
        <v>41</v>
      </c>
      <c r="E1848" t="s">
        <v>23</v>
      </c>
      <c r="F1848" t="s">
        <v>52</v>
      </c>
      <c r="G1848">
        <v>9004.06</v>
      </c>
      <c r="H1848">
        <v>4651.21</v>
      </c>
      <c r="I1848">
        <v>100809.98</v>
      </c>
      <c r="J1848" t="s">
        <v>25</v>
      </c>
      <c r="K1848" t="s">
        <v>45</v>
      </c>
      <c r="L1848">
        <v>210356.36</v>
      </c>
      <c r="M1848">
        <v>180</v>
      </c>
      <c r="N1848">
        <v>1944.06</v>
      </c>
      <c r="O1848">
        <v>7.45</v>
      </c>
      <c r="P1848">
        <v>0.22</v>
      </c>
      <c r="Q1848">
        <v>351</v>
      </c>
      <c r="R1848">
        <v>0.93</v>
      </c>
      <c r="S1848" t="s">
        <v>39</v>
      </c>
      <c r="T1848" s="1">
        <v>45667</v>
      </c>
      <c r="U1848">
        <v>0</v>
      </c>
    </row>
    <row r="1849" spans="1:21" x14ac:dyDescent="0.25">
      <c r="A1849" t="s">
        <v>1896</v>
      </c>
      <c r="B1849">
        <v>23</v>
      </c>
      <c r="C1849" t="s">
        <v>21</v>
      </c>
      <c r="D1849" t="s">
        <v>22</v>
      </c>
      <c r="E1849" t="s">
        <v>23</v>
      </c>
      <c r="F1849" t="s">
        <v>36</v>
      </c>
      <c r="G1849">
        <v>3866.46</v>
      </c>
      <c r="H1849">
        <v>2263.75</v>
      </c>
      <c r="I1849">
        <v>16343.24</v>
      </c>
      <c r="J1849" t="s">
        <v>37</v>
      </c>
      <c r="K1849" t="s">
        <v>38</v>
      </c>
      <c r="L1849">
        <v>0</v>
      </c>
      <c r="M1849">
        <v>0</v>
      </c>
      <c r="N1849">
        <v>0</v>
      </c>
      <c r="O1849">
        <v>0</v>
      </c>
      <c r="P1849">
        <v>0</v>
      </c>
      <c r="Q1849">
        <v>655</v>
      </c>
      <c r="R1849">
        <v>0.35</v>
      </c>
      <c r="S1849" t="s">
        <v>39</v>
      </c>
      <c r="T1849" s="1">
        <v>45698</v>
      </c>
      <c r="U1849">
        <v>0</v>
      </c>
    </row>
    <row r="1850" spans="1:21" x14ac:dyDescent="0.25">
      <c r="A1850" t="s">
        <v>1897</v>
      </c>
      <c r="B1850">
        <v>51</v>
      </c>
      <c r="C1850" t="s">
        <v>21</v>
      </c>
      <c r="D1850" t="s">
        <v>35</v>
      </c>
      <c r="E1850" t="s">
        <v>31</v>
      </c>
      <c r="F1850" t="s">
        <v>23</v>
      </c>
      <c r="G1850">
        <v>3618.82</v>
      </c>
      <c r="H1850">
        <v>1401.45</v>
      </c>
      <c r="I1850">
        <v>28932.48</v>
      </c>
      <c r="J1850" t="s">
        <v>37</v>
      </c>
      <c r="K1850" t="s">
        <v>38</v>
      </c>
      <c r="L1850">
        <v>0</v>
      </c>
      <c r="M1850">
        <v>0</v>
      </c>
      <c r="N1850">
        <v>0</v>
      </c>
      <c r="O1850">
        <v>0</v>
      </c>
      <c r="P1850">
        <v>0</v>
      </c>
      <c r="Q1850">
        <v>636</v>
      </c>
      <c r="R1850">
        <v>0.67</v>
      </c>
      <c r="S1850" t="s">
        <v>47</v>
      </c>
      <c r="T1850" s="1">
        <v>44685</v>
      </c>
      <c r="U1850">
        <v>0</v>
      </c>
    </row>
    <row r="1851" spans="1:21" x14ac:dyDescent="0.25">
      <c r="A1851" t="s">
        <v>1898</v>
      </c>
      <c r="B1851">
        <v>59</v>
      </c>
      <c r="C1851" t="s">
        <v>21</v>
      </c>
      <c r="D1851" t="s">
        <v>41</v>
      </c>
      <c r="E1851" t="s">
        <v>31</v>
      </c>
      <c r="F1851" t="s">
        <v>49</v>
      </c>
      <c r="G1851">
        <v>3118.3</v>
      </c>
      <c r="H1851">
        <v>1928.04</v>
      </c>
      <c r="I1851">
        <v>19417.25</v>
      </c>
      <c r="J1851" t="s">
        <v>37</v>
      </c>
      <c r="K1851" t="s">
        <v>38</v>
      </c>
      <c r="L1851">
        <v>0</v>
      </c>
      <c r="M1851">
        <v>0</v>
      </c>
      <c r="N1851">
        <v>0</v>
      </c>
      <c r="O1851">
        <v>0</v>
      </c>
      <c r="P1851">
        <v>0</v>
      </c>
      <c r="Q1851">
        <v>397</v>
      </c>
      <c r="R1851">
        <v>0.52</v>
      </c>
      <c r="S1851" t="s">
        <v>27</v>
      </c>
      <c r="T1851" s="1">
        <v>45735</v>
      </c>
      <c r="U1851">
        <v>0</v>
      </c>
    </row>
    <row r="1852" spans="1:21" x14ac:dyDescent="0.25">
      <c r="A1852" t="s">
        <v>1899</v>
      </c>
      <c r="B1852">
        <v>30</v>
      </c>
      <c r="C1852" t="s">
        <v>29</v>
      </c>
      <c r="D1852" t="s">
        <v>35</v>
      </c>
      <c r="E1852" t="s">
        <v>31</v>
      </c>
      <c r="F1852" t="s">
        <v>44</v>
      </c>
      <c r="G1852">
        <v>4224.6000000000004</v>
      </c>
      <c r="H1852">
        <v>3032.56</v>
      </c>
      <c r="I1852">
        <v>28943.3</v>
      </c>
      <c r="J1852" t="s">
        <v>37</v>
      </c>
      <c r="K1852" t="s">
        <v>38</v>
      </c>
      <c r="L1852">
        <v>0</v>
      </c>
      <c r="M1852">
        <v>0</v>
      </c>
      <c r="N1852">
        <v>0</v>
      </c>
      <c r="O1852">
        <v>0</v>
      </c>
      <c r="P1852">
        <v>0</v>
      </c>
      <c r="Q1852">
        <v>667</v>
      </c>
      <c r="R1852">
        <v>0.56999999999999995</v>
      </c>
      <c r="S1852" t="s">
        <v>72</v>
      </c>
      <c r="T1852" s="1">
        <v>44641</v>
      </c>
      <c r="U1852">
        <v>0</v>
      </c>
    </row>
    <row r="1853" spans="1:21" x14ac:dyDescent="0.25">
      <c r="A1853" t="s">
        <v>1900</v>
      </c>
      <c r="B1853">
        <v>67</v>
      </c>
      <c r="C1853" t="s">
        <v>29</v>
      </c>
      <c r="D1853" t="s">
        <v>35</v>
      </c>
      <c r="E1853" t="s">
        <v>51</v>
      </c>
      <c r="F1853" t="s">
        <v>24</v>
      </c>
      <c r="G1853">
        <v>4213.57</v>
      </c>
      <c r="H1853">
        <v>3008.64</v>
      </c>
      <c r="I1853">
        <v>21347.56</v>
      </c>
      <c r="J1853" t="s">
        <v>37</v>
      </c>
      <c r="K1853" t="s">
        <v>38</v>
      </c>
      <c r="L1853">
        <v>0</v>
      </c>
      <c r="M1853">
        <v>0</v>
      </c>
      <c r="N1853">
        <v>0</v>
      </c>
      <c r="O1853">
        <v>0</v>
      </c>
      <c r="P1853">
        <v>0</v>
      </c>
      <c r="Q1853">
        <v>628</v>
      </c>
      <c r="R1853">
        <v>0.42</v>
      </c>
      <c r="S1853" t="s">
        <v>72</v>
      </c>
      <c r="T1853" s="1">
        <v>44990</v>
      </c>
      <c r="U1853">
        <v>0</v>
      </c>
    </row>
    <row r="1854" spans="1:21" x14ac:dyDescent="0.25">
      <c r="A1854" t="s">
        <v>1901</v>
      </c>
      <c r="B1854">
        <v>26</v>
      </c>
      <c r="C1854" t="s">
        <v>29</v>
      </c>
      <c r="D1854" t="s">
        <v>30</v>
      </c>
      <c r="E1854" t="s">
        <v>31</v>
      </c>
      <c r="F1854" t="s">
        <v>36</v>
      </c>
      <c r="G1854">
        <v>5739.94</v>
      </c>
      <c r="H1854">
        <v>3832.83</v>
      </c>
      <c r="I1854">
        <v>23296.05</v>
      </c>
      <c r="J1854" t="s">
        <v>25</v>
      </c>
      <c r="K1854" t="s">
        <v>26</v>
      </c>
      <c r="L1854">
        <v>170899.57</v>
      </c>
      <c r="M1854">
        <v>240</v>
      </c>
      <c r="N1854">
        <v>2201.3000000000002</v>
      </c>
      <c r="O1854">
        <v>14.61</v>
      </c>
      <c r="P1854">
        <v>0.38</v>
      </c>
      <c r="Q1854">
        <v>546</v>
      </c>
      <c r="R1854">
        <v>0.34</v>
      </c>
      <c r="S1854" t="s">
        <v>27</v>
      </c>
      <c r="T1854" s="1">
        <v>44652</v>
      </c>
      <c r="U1854">
        <v>0</v>
      </c>
    </row>
    <row r="1855" spans="1:21" x14ac:dyDescent="0.25">
      <c r="A1855" t="s">
        <v>1902</v>
      </c>
      <c r="B1855">
        <v>49</v>
      </c>
      <c r="C1855" t="s">
        <v>29</v>
      </c>
      <c r="D1855" t="s">
        <v>35</v>
      </c>
      <c r="E1855" t="s">
        <v>31</v>
      </c>
      <c r="F1855" t="s">
        <v>23</v>
      </c>
      <c r="G1855">
        <v>4913.28</v>
      </c>
      <c r="H1855">
        <v>2266.15</v>
      </c>
      <c r="I1855">
        <v>13401.64</v>
      </c>
      <c r="J1855" t="s">
        <v>37</v>
      </c>
      <c r="K1855" t="s">
        <v>38</v>
      </c>
      <c r="L1855">
        <v>0</v>
      </c>
      <c r="M1855">
        <v>0</v>
      </c>
      <c r="N1855">
        <v>0</v>
      </c>
      <c r="O1855">
        <v>0</v>
      </c>
      <c r="P1855">
        <v>0</v>
      </c>
      <c r="Q1855">
        <v>302</v>
      </c>
      <c r="R1855">
        <v>0.23</v>
      </c>
      <c r="S1855" t="s">
        <v>30</v>
      </c>
      <c r="T1855" s="1">
        <v>44446</v>
      </c>
      <c r="U1855">
        <v>0</v>
      </c>
    </row>
    <row r="1856" spans="1:21" x14ac:dyDescent="0.25">
      <c r="A1856" t="s">
        <v>1903</v>
      </c>
      <c r="B1856">
        <v>47</v>
      </c>
      <c r="C1856" t="s">
        <v>21</v>
      </c>
      <c r="D1856" t="s">
        <v>41</v>
      </c>
      <c r="E1856" t="s">
        <v>31</v>
      </c>
      <c r="F1856" t="s">
        <v>49</v>
      </c>
      <c r="G1856">
        <v>2281.83</v>
      </c>
      <c r="H1856">
        <v>1388.05</v>
      </c>
      <c r="I1856">
        <v>8241.8700000000008</v>
      </c>
      <c r="J1856" t="s">
        <v>37</v>
      </c>
      <c r="K1856" t="s">
        <v>38</v>
      </c>
      <c r="L1856">
        <v>0</v>
      </c>
      <c r="M1856">
        <v>0</v>
      </c>
      <c r="N1856">
        <v>0</v>
      </c>
      <c r="O1856">
        <v>0</v>
      </c>
      <c r="P1856">
        <v>0</v>
      </c>
      <c r="Q1856">
        <v>355</v>
      </c>
      <c r="R1856">
        <v>0.3</v>
      </c>
      <c r="S1856" t="s">
        <v>47</v>
      </c>
      <c r="T1856" s="1">
        <v>44485</v>
      </c>
      <c r="U1856">
        <v>0</v>
      </c>
    </row>
    <row r="1857" spans="1:21" x14ac:dyDescent="0.25">
      <c r="A1857" t="s">
        <v>1904</v>
      </c>
      <c r="B1857">
        <v>62</v>
      </c>
      <c r="C1857" t="s">
        <v>29</v>
      </c>
      <c r="D1857" t="s">
        <v>41</v>
      </c>
      <c r="E1857" t="s">
        <v>31</v>
      </c>
      <c r="F1857" t="s">
        <v>44</v>
      </c>
      <c r="G1857">
        <v>2408.09</v>
      </c>
      <c r="H1857">
        <v>1601.49</v>
      </c>
      <c r="I1857">
        <v>11877.49</v>
      </c>
      <c r="J1857" t="s">
        <v>37</v>
      </c>
      <c r="K1857" t="s">
        <v>38</v>
      </c>
      <c r="L1857">
        <v>0</v>
      </c>
      <c r="M1857">
        <v>0</v>
      </c>
      <c r="N1857">
        <v>0</v>
      </c>
      <c r="O1857">
        <v>0</v>
      </c>
      <c r="P1857">
        <v>0</v>
      </c>
      <c r="Q1857">
        <v>634</v>
      </c>
      <c r="R1857">
        <v>0.41</v>
      </c>
      <c r="S1857" t="s">
        <v>30</v>
      </c>
      <c r="T1857" s="1">
        <v>45523</v>
      </c>
      <c r="U1857">
        <v>0</v>
      </c>
    </row>
    <row r="1858" spans="1:21" x14ac:dyDescent="0.25">
      <c r="A1858" t="s">
        <v>1905</v>
      </c>
      <c r="B1858">
        <v>26</v>
      </c>
      <c r="C1858" t="s">
        <v>29</v>
      </c>
      <c r="D1858" t="s">
        <v>41</v>
      </c>
      <c r="E1858" t="s">
        <v>31</v>
      </c>
      <c r="F1858" t="s">
        <v>44</v>
      </c>
      <c r="G1858">
        <v>3791.59</v>
      </c>
      <c r="H1858">
        <v>2855.17</v>
      </c>
      <c r="I1858">
        <v>44233.64</v>
      </c>
      <c r="J1858" t="s">
        <v>37</v>
      </c>
      <c r="K1858" t="s">
        <v>38</v>
      </c>
      <c r="L1858">
        <v>0</v>
      </c>
      <c r="M1858">
        <v>0</v>
      </c>
      <c r="N1858">
        <v>0</v>
      </c>
      <c r="O1858">
        <v>0</v>
      </c>
      <c r="P1858">
        <v>0</v>
      </c>
      <c r="Q1858">
        <v>666</v>
      </c>
      <c r="R1858">
        <v>0.97</v>
      </c>
      <c r="S1858" t="s">
        <v>72</v>
      </c>
      <c r="T1858" s="1">
        <v>45429</v>
      </c>
      <c r="U1858">
        <v>0</v>
      </c>
    </row>
    <row r="1859" spans="1:21" x14ac:dyDescent="0.25">
      <c r="A1859" t="s">
        <v>1906</v>
      </c>
      <c r="B1859">
        <v>64</v>
      </c>
      <c r="C1859" t="s">
        <v>21</v>
      </c>
      <c r="D1859" t="s">
        <v>41</v>
      </c>
      <c r="E1859" t="s">
        <v>51</v>
      </c>
      <c r="F1859" t="s">
        <v>44</v>
      </c>
      <c r="G1859">
        <v>3692.92</v>
      </c>
      <c r="H1859">
        <v>2175.31</v>
      </c>
      <c r="I1859">
        <v>26518.31</v>
      </c>
      <c r="J1859" t="s">
        <v>37</v>
      </c>
      <c r="K1859" t="s">
        <v>38</v>
      </c>
      <c r="L1859">
        <v>0</v>
      </c>
      <c r="M1859">
        <v>0</v>
      </c>
      <c r="N1859">
        <v>0</v>
      </c>
      <c r="O1859">
        <v>0</v>
      </c>
      <c r="P1859">
        <v>0</v>
      </c>
      <c r="Q1859">
        <v>699</v>
      </c>
      <c r="R1859">
        <v>0.6</v>
      </c>
      <c r="S1859" t="s">
        <v>72</v>
      </c>
      <c r="T1859" s="1">
        <v>45044</v>
      </c>
      <c r="U1859">
        <v>0</v>
      </c>
    </row>
    <row r="1860" spans="1:21" x14ac:dyDescent="0.25">
      <c r="A1860" t="s">
        <v>1907</v>
      </c>
      <c r="B1860">
        <v>51</v>
      </c>
      <c r="C1860" t="s">
        <v>29</v>
      </c>
      <c r="D1860" t="s">
        <v>41</v>
      </c>
      <c r="E1860" t="s">
        <v>49</v>
      </c>
      <c r="F1860" t="s">
        <v>32</v>
      </c>
      <c r="G1860">
        <v>2256.4499999999998</v>
      </c>
      <c r="H1860">
        <v>1167.6400000000001</v>
      </c>
      <c r="I1860">
        <v>5205.84</v>
      </c>
      <c r="J1860" t="s">
        <v>37</v>
      </c>
      <c r="K1860" t="s">
        <v>38</v>
      </c>
      <c r="L1860">
        <v>0</v>
      </c>
      <c r="M1860">
        <v>0</v>
      </c>
      <c r="N1860">
        <v>0</v>
      </c>
      <c r="O1860">
        <v>0</v>
      </c>
      <c r="P1860">
        <v>0</v>
      </c>
      <c r="Q1860">
        <v>394</v>
      </c>
      <c r="R1860">
        <v>0.19</v>
      </c>
      <c r="S1860" t="s">
        <v>30</v>
      </c>
      <c r="T1860" s="1">
        <v>45471</v>
      </c>
      <c r="U1860">
        <v>0</v>
      </c>
    </row>
    <row r="1861" spans="1:21" x14ac:dyDescent="0.25">
      <c r="A1861" t="s">
        <v>1908</v>
      </c>
      <c r="B1861">
        <v>39</v>
      </c>
      <c r="C1861" t="s">
        <v>29</v>
      </c>
      <c r="D1861" t="s">
        <v>41</v>
      </c>
      <c r="E1861" t="s">
        <v>31</v>
      </c>
      <c r="F1861" t="s">
        <v>23</v>
      </c>
      <c r="G1861">
        <v>812.56</v>
      </c>
      <c r="H1861">
        <v>327.95</v>
      </c>
      <c r="I1861">
        <v>2900.89</v>
      </c>
      <c r="J1861" t="s">
        <v>37</v>
      </c>
      <c r="K1861" t="s">
        <v>38</v>
      </c>
      <c r="L1861">
        <v>0</v>
      </c>
      <c r="M1861">
        <v>0</v>
      </c>
      <c r="N1861">
        <v>0</v>
      </c>
      <c r="O1861">
        <v>0</v>
      </c>
      <c r="P1861">
        <v>0</v>
      </c>
      <c r="Q1861">
        <v>474</v>
      </c>
      <c r="R1861">
        <v>0.3</v>
      </c>
      <c r="S1861" t="s">
        <v>47</v>
      </c>
      <c r="T1861" s="1">
        <v>44781</v>
      </c>
      <c r="U1861">
        <v>0</v>
      </c>
    </row>
    <row r="1862" spans="1:21" x14ac:dyDescent="0.25">
      <c r="A1862" t="s">
        <v>1909</v>
      </c>
      <c r="B1862">
        <v>67</v>
      </c>
      <c r="C1862" t="s">
        <v>30</v>
      </c>
      <c r="D1862" t="s">
        <v>22</v>
      </c>
      <c r="E1862" t="s">
        <v>31</v>
      </c>
      <c r="F1862" t="s">
        <v>24</v>
      </c>
      <c r="G1862">
        <v>2732.89</v>
      </c>
      <c r="H1862">
        <v>1690.71</v>
      </c>
      <c r="I1862">
        <v>16969.57</v>
      </c>
      <c r="J1862" t="s">
        <v>37</v>
      </c>
      <c r="K1862" t="s">
        <v>38</v>
      </c>
      <c r="L1862">
        <v>0</v>
      </c>
      <c r="M1862">
        <v>0</v>
      </c>
      <c r="N1862">
        <v>0</v>
      </c>
      <c r="O1862">
        <v>0</v>
      </c>
      <c r="P1862">
        <v>0</v>
      </c>
      <c r="Q1862">
        <v>784</v>
      </c>
      <c r="R1862">
        <v>0.52</v>
      </c>
      <c r="S1862" t="s">
        <v>39</v>
      </c>
      <c r="T1862" s="1">
        <v>45155</v>
      </c>
      <c r="U1862">
        <v>0</v>
      </c>
    </row>
    <row r="1863" spans="1:21" x14ac:dyDescent="0.25">
      <c r="A1863" t="s">
        <v>1910</v>
      </c>
      <c r="B1863">
        <v>55</v>
      </c>
      <c r="C1863" t="s">
        <v>29</v>
      </c>
      <c r="D1863" t="s">
        <v>35</v>
      </c>
      <c r="E1863" t="s">
        <v>31</v>
      </c>
      <c r="F1863" t="s">
        <v>24</v>
      </c>
      <c r="G1863">
        <v>2222.9</v>
      </c>
      <c r="H1863">
        <v>1314.94</v>
      </c>
      <c r="I1863">
        <v>6445.58</v>
      </c>
      <c r="J1863" t="s">
        <v>37</v>
      </c>
      <c r="K1863" t="s">
        <v>38</v>
      </c>
      <c r="L1863">
        <v>0</v>
      </c>
      <c r="M1863">
        <v>0</v>
      </c>
      <c r="N1863">
        <v>0</v>
      </c>
      <c r="O1863">
        <v>0</v>
      </c>
      <c r="P1863">
        <v>0</v>
      </c>
      <c r="Q1863">
        <v>773</v>
      </c>
      <c r="R1863">
        <v>0.24</v>
      </c>
      <c r="S1863" t="s">
        <v>27</v>
      </c>
      <c r="T1863" s="1">
        <v>44541</v>
      </c>
      <c r="U1863">
        <v>0</v>
      </c>
    </row>
    <row r="1864" spans="1:21" x14ac:dyDescent="0.25">
      <c r="A1864" t="s">
        <v>1911</v>
      </c>
      <c r="B1864">
        <v>27</v>
      </c>
      <c r="C1864" t="s">
        <v>30</v>
      </c>
      <c r="D1864" t="s">
        <v>35</v>
      </c>
      <c r="E1864" t="s">
        <v>31</v>
      </c>
      <c r="F1864" t="s">
        <v>36</v>
      </c>
      <c r="G1864">
        <v>4308.8</v>
      </c>
      <c r="H1864">
        <v>2117.5300000000002</v>
      </c>
      <c r="I1864">
        <v>12263.7</v>
      </c>
      <c r="J1864" t="s">
        <v>37</v>
      </c>
      <c r="K1864" t="s">
        <v>38</v>
      </c>
      <c r="L1864">
        <v>0</v>
      </c>
      <c r="M1864">
        <v>0</v>
      </c>
      <c r="N1864">
        <v>0</v>
      </c>
      <c r="O1864">
        <v>0</v>
      </c>
      <c r="P1864">
        <v>0</v>
      </c>
      <c r="Q1864">
        <v>398</v>
      </c>
      <c r="R1864">
        <v>0.24</v>
      </c>
      <c r="S1864" t="s">
        <v>47</v>
      </c>
      <c r="T1864" s="1">
        <v>45365</v>
      </c>
      <c r="U1864">
        <v>0</v>
      </c>
    </row>
    <row r="1865" spans="1:21" x14ac:dyDescent="0.25">
      <c r="A1865" t="s">
        <v>1912</v>
      </c>
      <c r="B1865">
        <v>69</v>
      </c>
      <c r="C1865" t="s">
        <v>21</v>
      </c>
      <c r="D1865" t="s">
        <v>22</v>
      </c>
      <c r="E1865" t="s">
        <v>31</v>
      </c>
      <c r="F1865" t="s">
        <v>52</v>
      </c>
      <c r="G1865">
        <v>6540.17</v>
      </c>
      <c r="H1865">
        <v>2024.68</v>
      </c>
      <c r="I1865">
        <v>45558.28</v>
      </c>
      <c r="J1865" t="s">
        <v>37</v>
      </c>
      <c r="K1865" t="s">
        <v>38</v>
      </c>
      <c r="L1865">
        <v>0</v>
      </c>
      <c r="M1865">
        <v>0</v>
      </c>
      <c r="N1865">
        <v>0</v>
      </c>
      <c r="O1865">
        <v>0</v>
      </c>
      <c r="P1865">
        <v>0</v>
      </c>
      <c r="Q1865">
        <v>802</v>
      </c>
      <c r="R1865">
        <v>0.57999999999999996</v>
      </c>
      <c r="S1865" t="s">
        <v>30</v>
      </c>
      <c r="T1865" s="1">
        <v>45104</v>
      </c>
      <c r="U1865">
        <v>0</v>
      </c>
    </row>
    <row r="1866" spans="1:21" x14ac:dyDescent="0.25">
      <c r="A1866" t="s">
        <v>1913</v>
      </c>
      <c r="B1866">
        <v>25</v>
      </c>
      <c r="C1866" t="s">
        <v>21</v>
      </c>
      <c r="D1866" t="s">
        <v>41</v>
      </c>
      <c r="E1866" t="s">
        <v>23</v>
      </c>
      <c r="F1866" t="s">
        <v>49</v>
      </c>
      <c r="G1866">
        <v>6752.52</v>
      </c>
      <c r="H1866">
        <v>2940.93</v>
      </c>
      <c r="I1866">
        <v>45440.3</v>
      </c>
      <c r="J1866" t="s">
        <v>25</v>
      </c>
      <c r="K1866" t="s">
        <v>33</v>
      </c>
      <c r="L1866">
        <v>193910.8</v>
      </c>
      <c r="M1866">
        <v>120</v>
      </c>
      <c r="N1866">
        <v>2974.75</v>
      </c>
      <c r="O1866">
        <v>13.69</v>
      </c>
      <c r="P1866">
        <v>0.44</v>
      </c>
      <c r="Q1866">
        <v>547</v>
      </c>
      <c r="R1866">
        <v>0.56000000000000005</v>
      </c>
      <c r="S1866" t="s">
        <v>30</v>
      </c>
      <c r="T1866" s="1">
        <v>45427</v>
      </c>
      <c r="U1866">
        <v>1</v>
      </c>
    </row>
    <row r="1867" spans="1:21" x14ac:dyDescent="0.25">
      <c r="A1867" t="s">
        <v>1914</v>
      </c>
      <c r="B1867">
        <v>49</v>
      </c>
      <c r="C1867" t="s">
        <v>29</v>
      </c>
      <c r="D1867" t="s">
        <v>41</v>
      </c>
      <c r="E1867" t="s">
        <v>31</v>
      </c>
      <c r="F1867" t="s">
        <v>36</v>
      </c>
      <c r="G1867">
        <v>6638</v>
      </c>
      <c r="H1867">
        <v>5390.77</v>
      </c>
      <c r="I1867">
        <v>57865.41</v>
      </c>
      <c r="J1867" t="s">
        <v>37</v>
      </c>
      <c r="K1867" t="s">
        <v>38</v>
      </c>
      <c r="L1867">
        <v>0</v>
      </c>
      <c r="M1867">
        <v>0</v>
      </c>
      <c r="N1867">
        <v>0</v>
      </c>
      <c r="O1867">
        <v>0</v>
      </c>
      <c r="P1867">
        <v>0</v>
      </c>
      <c r="Q1867">
        <v>383</v>
      </c>
      <c r="R1867">
        <v>0.73</v>
      </c>
      <c r="S1867" t="s">
        <v>27</v>
      </c>
      <c r="T1867" s="1">
        <v>44436</v>
      </c>
      <c r="U1867">
        <v>0</v>
      </c>
    </row>
    <row r="1868" spans="1:21" x14ac:dyDescent="0.25">
      <c r="A1868" t="s">
        <v>1915</v>
      </c>
      <c r="B1868">
        <v>43</v>
      </c>
      <c r="C1868" t="s">
        <v>29</v>
      </c>
      <c r="D1868" t="s">
        <v>35</v>
      </c>
      <c r="E1868" t="s">
        <v>31</v>
      </c>
      <c r="F1868" t="s">
        <v>24</v>
      </c>
      <c r="G1868">
        <v>4540.08</v>
      </c>
      <c r="H1868">
        <v>2965.78</v>
      </c>
      <c r="I1868">
        <v>14671.61</v>
      </c>
      <c r="J1868" t="s">
        <v>37</v>
      </c>
      <c r="K1868" t="s">
        <v>38</v>
      </c>
      <c r="L1868">
        <v>0</v>
      </c>
      <c r="M1868">
        <v>0</v>
      </c>
      <c r="N1868">
        <v>0</v>
      </c>
      <c r="O1868">
        <v>0</v>
      </c>
      <c r="P1868">
        <v>0</v>
      </c>
      <c r="Q1868">
        <v>615</v>
      </c>
      <c r="R1868">
        <v>0.27</v>
      </c>
      <c r="S1868" t="s">
        <v>30</v>
      </c>
      <c r="T1868" s="1">
        <v>45747</v>
      </c>
      <c r="U1868">
        <v>0</v>
      </c>
    </row>
    <row r="1869" spans="1:21" x14ac:dyDescent="0.25">
      <c r="A1869" t="s">
        <v>1916</v>
      </c>
      <c r="B1869">
        <v>23</v>
      </c>
      <c r="C1869" t="s">
        <v>29</v>
      </c>
      <c r="D1869" t="s">
        <v>41</v>
      </c>
      <c r="E1869" t="s">
        <v>31</v>
      </c>
      <c r="F1869" t="s">
        <v>32</v>
      </c>
      <c r="G1869">
        <v>4427.99</v>
      </c>
      <c r="H1869">
        <v>2344.9499999999998</v>
      </c>
      <c r="I1869">
        <v>31927.07</v>
      </c>
      <c r="J1869" t="s">
        <v>25</v>
      </c>
      <c r="K1869" t="s">
        <v>26</v>
      </c>
      <c r="L1869">
        <v>331495.67</v>
      </c>
      <c r="M1869">
        <v>240</v>
      </c>
      <c r="N1869">
        <v>6000.52</v>
      </c>
      <c r="O1869">
        <v>21.41</v>
      </c>
      <c r="P1869">
        <v>1.36</v>
      </c>
      <c r="Q1869">
        <v>715</v>
      </c>
      <c r="R1869">
        <v>0.6</v>
      </c>
      <c r="S1869" t="s">
        <v>47</v>
      </c>
      <c r="T1869" s="1">
        <v>45403</v>
      </c>
      <c r="U1869">
        <v>1</v>
      </c>
    </row>
    <row r="1870" spans="1:21" x14ac:dyDescent="0.25">
      <c r="A1870" t="s">
        <v>1917</v>
      </c>
      <c r="B1870">
        <v>26</v>
      </c>
      <c r="C1870" t="s">
        <v>30</v>
      </c>
      <c r="D1870" t="s">
        <v>41</v>
      </c>
      <c r="E1870" t="s">
        <v>31</v>
      </c>
      <c r="F1870" t="s">
        <v>42</v>
      </c>
      <c r="G1870">
        <v>6780.36</v>
      </c>
      <c r="H1870">
        <v>5286.38</v>
      </c>
      <c r="I1870">
        <v>28779.93</v>
      </c>
      <c r="J1870" t="s">
        <v>37</v>
      </c>
      <c r="K1870" t="s">
        <v>38</v>
      </c>
      <c r="L1870">
        <v>0</v>
      </c>
      <c r="M1870">
        <v>0</v>
      </c>
      <c r="N1870">
        <v>0</v>
      </c>
      <c r="O1870">
        <v>0</v>
      </c>
      <c r="P1870">
        <v>0</v>
      </c>
      <c r="Q1870">
        <v>561</v>
      </c>
      <c r="R1870">
        <v>0.35</v>
      </c>
      <c r="S1870" t="s">
        <v>72</v>
      </c>
      <c r="T1870" s="1">
        <v>44603</v>
      </c>
      <c r="U1870">
        <v>0</v>
      </c>
    </row>
    <row r="1871" spans="1:21" x14ac:dyDescent="0.25">
      <c r="A1871" t="s">
        <v>1918</v>
      </c>
      <c r="B1871">
        <v>50</v>
      </c>
      <c r="C1871" t="s">
        <v>29</v>
      </c>
      <c r="D1871" t="s">
        <v>22</v>
      </c>
      <c r="E1871" t="s">
        <v>51</v>
      </c>
      <c r="F1871" t="s">
        <v>44</v>
      </c>
      <c r="G1871">
        <v>3564.59</v>
      </c>
      <c r="H1871">
        <v>1406.76</v>
      </c>
      <c r="I1871">
        <v>15526.35</v>
      </c>
      <c r="J1871" t="s">
        <v>37</v>
      </c>
      <c r="K1871" t="s">
        <v>38</v>
      </c>
      <c r="L1871">
        <v>0</v>
      </c>
      <c r="M1871">
        <v>0</v>
      </c>
      <c r="N1871">
        <v>0</v>
      </c>
      <c r="O1871">
        <v>0</v>
      </c>
      <c r="P1871">
        <v>0</v>
      </c>
      <c r="Q1871">
        <v>349</v>
      </c>
      <c r="R1871">
        <v>0.36</v>
      </c>
      <c r="S1871" t="s">
        <v>39</v>
      </c>
      <c r="T1871" s="1">
        <v>45517</v>
      </c>
      <c r="U1871">
        <v>0</v>
      </c>
    </row>
    <row r="1872" spans="1:21" x14ac:dyDescent="0.25">
      <c r="A1872" t="s">
        <v>1919</v>
      </c>
      <c r="B1872">
        <v>20</v>
      </c>
      <c r="C1872" t="s">
        <v>21</v>
      </c>
      <c r="D1872" t="s">
        <v>41</v>
      </c>
      <c r="E1872" t="s">
        <v>49</v>
      </c>
      <c r="F1872" t="s">
        <v>24</v>
      </c>
      <c r="G1872">
        <v>4429.3599999999997</v>
      </c>
      <c r="H1872">
        <v>1847.66</v>
      </c>
      <c r="I1872">
        <v>12218.32</v>
      </c>
      <c r="J1872" t="s">
        <v>37</v>
      </c>
      <c r="K1872" t="s">
        <v>38</v>
      </c>
      <c r="L1872">
        <v>0</v>
      </c>
      <c r="M1872">
        <v>0</v>
      </c>
      <c r="N1872">
        <v>0</v>
      </c>
      <c r="O1872">
        <v>0</v>
      </c>
      <c r="P1872">
        <v>0</v>
      </c>
      <c r="Q1872">
        <v>832</v>
      </c>
      <c r="R1872">
        <v>0.23</v>
      </c>
      <c r="S1872" t="s">
        <v>39</v>
      </c>
      <c r="T1872" s="1">
        <v>45689</v>
      </c>
      <c r="U1872">
        <v>0</v>
      </c>
    </row>
    <row r="1873" spans="1:21" x14ac:dyDescent="0.25">
      <c r="A1873" t="s">
        <v>1920</v>
      </c>
      <c r="B1873">
        <v>64</v>
      </c>
      <c r="C1873" t="s">
        <v>21</v>
      </c>
      <c r="D1873" t="s">
        <v>30</v>
      </c>
      <c r="E1873" t="s">
        <v>31</v>
      </c>
      <c r="F1873" t="s">
        <v>52</v>
      </c>
      <c r="G1873">
        <v>4966.21</v>
      </c>
      <c r="H1873">
        <v>2223.27</v>
      </c>
      <c r="I1873">
        <v>23241.65</v>
      </c>
      <c r="J1873" t="s">
        <v>25</v>
      </c>
      <c r="K1873" t="s">
        <v>26</v>
      </c>
      <c r="L1873">
        <v>93190.07</v>
      </c>
      <c r="M1873">
        <v>240</v>
      </c>
      <c r="N1873">
        <v>726.98</v>
      </c>
      <c r="O1873">
        <v>7.08</v>
      </c>
      <c r="P1873">
        <v>0.15</v>
      </c>
      <c r="Q1873">
        <v>459</v>
      </c>
      <c r="R1873">
        <v>0.39</v>
      </c>
      <c r="S1873" t="s">
        <v>39</v>
      </c>
      <c r="T1873" s="1">
        <v>44699</v>
      </c>
      <c r="U1873">
        <v>0</v>
      </c>
    </row>
    <row r="1874" spans="1:21" x14ac:dyDescent="0.25">
      <c r="A1874" t="s">
        <v>1921</v>
      </c>
      <c r="B1874">
        <v>25</v>
      </c>
      <c r="C1874" t="s">
        <v>29</v>
      </c>
      <c r="D1874" t="s">
        <v>22</v>
      </c>
      <c r="E1874" t="s">
        <v>31</v>
      </c>
      <c r="F1874" t="s">
        <v>63</v>
      </c>
      <c r="G1874">
        <v>4942.49</v>
      </c>
      <c r="H1874">
        <v>3802.31</v>
      </c>
      <c r="I1874">
        <v>55504.21</v>
      </c>
      <c r="J1874" t="s">
        <v>37</v>
      </c>
      <c r="K1874" t="s">
        <v>38</v>
      </c>
      <c r="L1874">
        <v>0</v>
      </c>
      <c r="M1874">
        <v>0</v>
      </c>
      <c r="N1874">
        <v>0</v>
      </c>
      <c r="O1874">
        <v>0</v>
      </c>
      <c r="P1874">
        <v>0</v>
      </c>
      <c r="Q1874">
        <v>444</v>
      </c>
      <c r="R1874">
        <v>0.94</v>
      </c>
      <c r="S1874" t="s">
        <v>27</v>
      </c>
      <c r="T1874" s="1">
        <v>45384</v>
      </c>
      <c r="U1874">
        <v>0</v>
      </c>
    </row>
    <row r="1875" spans="1:21" x14ac:dyDescent="0.25">
      <c r="A1875" t="s">
        <v>1922</v>
      </c>
      <c r="B1875">
        <v>48</v>
      </c>
      <c r="C1875" t="s">
        <v>29</v>
      </c>
      <c r="D1875" t="s">
        <v>22</v>
      </c>
      <c r="E1875" t="s">
        <v>31</v>
      </c>
      <c r="F1875" t="s">
        <v>32</v>
      </c>
      <c r="G1875">
        <v>6037.2</v>
      </c>
      <c r="H1875">
        <v>2469.27</v>
      </c>
      <c r="I1875">
        <v>54894.74</v>
      </c>
      <c r="J1875" t="s">
        <v>37</v>
      </c>
      <c r="K1875" t="s">
        <v>38</v>
      </c>
      <c r="L1875">
        <v>0</v>
      </c>
      <c r="M1875">
        <v>0</v>
      </c>
      <c r="N1875">
        <v>0</v>
      </c>
      <c r="O1875">
        <v>0</v>
      </c>
      <c r="P1875">
        <v>0</v>
      </c>
      <c r="Q1875">
        <v>706</v>
      </c>
      <c r="R1875">
        <v>0.76</v>
      </c>
      <c r="S1875" t="s">
        <v>27</v>
      </c>
      <c r="T1875" s="1">
        <v>45132</v>
      </c>
      <c r="U1875">
        <v>0</v>
      </c>
    </row>
    <row r="1876" spans="1:21" x14ac:dyDescent="0.25">
      <c r="A1876" t="s">
        <v>1923</v>
      </c>
      <c r="B1876">
        <v>44</v>
      </c>
      <c r="C1876" t="s">
        <v>21</v>
      </c>
      <c r="D1876" t="s">
        <v>56</v>
      </c>
      <c r="E1876" t="s">
        <v>31</v>
      </c>
      <c r="F1876" t="s">
        <v>63</v>
      </c>
      <c r="G1876">
        <v>4943.45</v>
      </c>
      <c r="H1876">
        <v>3075.51</v>
      </c>
      <c r="I1876">
        <v>24205.57</v>
      </c>
      <c r="J1876" t="s">
        <v>37</v>
      </c>
      <c r="K1876" t="s">
        <v>38</v>
      </c>
      <c r="L1876">
        <v>0</v>
      </c>
      <c r="M1876">
        <v>0</v>
      </c>
      <c r="N1876">
        <v>0</v>
      </c>
      <c r="O1876">
        <v>0</v>
      </c>
      <c r="P1876">
        <v>0</v>
      </c>
      <c r="Q1876">
        <v>351</v>
      </c>
      <c r="R1876">
        <v>0.41</v>
      </c>
      <c r="S1876" t="s">
        <v>72</v>
      </c>
      <c r="T1876" s="1">
        <v>44931</v>
      </c>
      <c r="U1876">
        <v>0</v>
      </c>
    </row>
    <row r="1877" spans="1:21" x14ac:dyDescent="0.25">
      <c r="A1877" t="s">
        <v>1924</v>
      </c>
      <c r="B1877">
        <v>38</v>
      </c>
      <c r="C1877" t="s">
        <v>29</v>
      </c>
      <c r="D1877" t="s">
        <v>22</v>
      </c>
      <c r="E1877" t="s">
        <v>31</v>
      </c>
      <c r="F1877" t="s">
        <v>63</v>
      </c>
      <c r="G1877">
        <v>998.76</v>
      </c>
      <c r="H1877">
        <v>437.6</v>
      </c>
      <c r="I1877">
        <v>6774.93</v>
      </c>
      <c r="J1877" t="s">
        <v>25</v>
      </c>
      <c r="K1877" t="s">
        <v>26</v>
      </c>
      <c r="L1877">
        <v>40564.99</v>
      </c>
      <c r="M1877">
        <v>300</v>
      </c>
      <c r="N1877">
        <v>430.24</v>
      </c>
      <c r="O1877">
        <v>12.1</v>
      </c>
      <c r="P1877">
        <v>0.43</v>
      </c>
      <c r="Q1877">
        <v>467</v>
      </c>
      <c r="R1877">
        <v>0.56999999999999995</v>
      </c>
      <c r="S1877" t="s">
        <v>30</v>
      </c>
      <c r="T1877" s="1">
        <v>45572</v>
      </c>
      <c r="U1877">
        <v>1</v>
      </c>
    </row>
    <row r="1878" spans="1:21" x14ac:dyDescent="0.25">
      <c r="A1878" t="s">
        <v>1925</v>
      </c>
      <c r="B1878">
        <v>67</v>
      </c>
      <c r="C1878" t="s">
        <v>21</v>
      </c>
      <c r="D1878" t="s">
        <v>41</v>
      </c>
      <c r="E1878" t="s">
        <v>31</v>
      </c>
      <c r="F1878" t="s">
        <v>52</v>
      </c>
      <c r="G1878">
        <v>4247.82</v>
      </c>
      <c r="H1878">
        <v>3110.74</v>
      </c>
      <c r="I1878">
        <v>23318.51</v>
      </c>
      <c r="J1878" t="s">
        <v>25</v>
      </c>
      <c r="K1878" t="s">
        <v>54</v>
      </c>
      <c r="L1878">
        <v>61036.57</v>
      </c>
      <c r="M1878">
        <v>60</v>
      </c>
      <c r="N1878">
        <v>1471.67</v>
      </c>
      <c r="O1878">
        <v>15.61</v>
      </c>
      <c r="P1878">
        <v>0.35</v>
      </c>
      <c r="Q1878">
        <v>308</v>
      </c>
      <c r="R1878">
        <v>0.46</v>
      </c>
      <c r="S1878" t="s">
        <v>30</v>
      </c>
      <c r="T1878" s="1">
        <v>45715</v>
      </c>
      <c r="U1878">
        <v>0</v>
      </c>
    </row>
    <row r="1879" spans="1:21" x14ac:dyDescent="0.25">
      <c r="A1879" t="s">
        <v>1926</v>
      </c>
      <c r="B1879">
        <v>68</v>
      </c>
      <c r="C1879" t="s">
        <v>21</v>
      </c>
      <c r="D1879" t="s">
        <v>22</v>
      </c>
      <c r="E1879" t="s">
        <v>31</v>
      </c>
      <c r="F1879" t="s">
        <v>23</v>
      </c>
      <c r="G1879">
        <v>3560.82</v>
      </c>
      <c r="H1879">
        <v>2495.34</v>
      </c>
      <c r="I1879">
        <v>15958.04</v>
      </c>
      <c r="J1879" t="s">
        <v>37</v>
      </c>
      <c r="K1879" t="s">
        <v>38</v>
      </c>
      <c r="L1879">
        <v>0</v>
      </c>
      <c r="M1879">
        <v>0</v>
      </c>
      <c r="N1879">
        <v>0</v>
      </c>
      <c r="O1879">
        <v>0</v>
      </c>
      <c r="P1879">
        <v>0</v>
      </c>
      <c r="Q1879">
        <v>474</v>
      </c>
      <c r="R1879">
        <v>0.37</v>
      </c>
      <c r="S1879" t="s">
        <v>39</v>
      </c>
      <c r="T1879" s="1">
        <v>45036</v>
      </c>
      <c r="U1879">
        <v>0</v>
      </c>
    </row>
    <row r="1880" spans="1:21" x14ac:dyDescent="0.25">
      <c r="A1880" t="s">
        <v>1927</v>
      </c>
      <c r="B1880">
        <v>45</v>
      </c>
      <c r="C1880" t="s">
        <v>29</v>
      </c>
      <c r="D1880" t="s">
        <v>41</v>
      </c>
      <c r="E1880" t="s">
        <v>51</v>
      </c>
      <c r="F1880" t="s">
        <v>42</v>
      </c>
      <c r="G1880">
        <v>5207</v>
      </c>
      <c r="H1880">
        <v>3979.56</v>
      </c>
      <c r="I1880">
        <v>33928.78</v>
      </c>
      <c r="J1880" t="s">
        <v>25</v>
      </c>
      <c r="K1880" t="s">
        <v>54</v>
      </c>
      <c r="L1880">
        <v>450336.09</v>
      </c>
      <c r="M1880">
        <v>240</v>
      </c>
      <c r="N1880">
        <v>6808.33</v>
      </c>
      <c r="O1880">
        <v>17.59</v>
      </c>
      <c r="P1880">
        <v>1.31</v>
      </c>
      <c r="Q1880">
        <v>850</v>
      </c>
      <c r="R1880">
        <v>0.54</v>
      </c>
      <c r="S1880" t="s">
        <v>27</v>
      </c>
      <c r="T1880" s="1">
        <v>45601</v>
      </c>
      <c r="U1880">
        <v>1</v>
      </c>
    </row>
    <row r="1881" spans="1:21" x14ac:dyDescent="0.25">
      <c r="A1881" t="s">
        <v>1928</v>
      </c>
      <c r="B1881">
        <v>29</v>
      </c>
      <c r="C1881" t="s">
        <v>21</v>
      </c>
      <c r="D1881" t="s">
        <v>41</v>
      </c>
      <c r="E1881" t="s">
        <v>23</v>
      </c>
      <c r="F1881" t="s">
        <v>63</v>
      </c>
      <c r="G1881">
        <v>5035.17</v>
      </c>
      <c r="H1881">
        <v>2219.48</v>
      </c>
      <c r="I1881">
        <v>40716.03</v>
      </c>
      <c r="J1881" t="s">
        <v>37</v>
      </c>
      <c r="K1881" t="s">
        <v>38</v>
      </c>
      <c r="L1881">
        <v>0</v>
      </c>
      <c r="M1881">
        <v>0</v>
      </c>
      <c r="N1881">
        <v>0</v>
      </c>
      <c r="O1881">
        <v>0</v>
      </c>
      <c r="P1881">
        <v>0</v>
      </c>
      <c r="Q1881">
        <v>693</v>
      </c>
      <c r="R1881">
        <v>0.67</v>
      </c>
      <c r="S1881" t="s">
        <v>30</v>
      </c>
      <c r="T1881" s="1">
        <v>45380</v>
      </c>
      <c r="U1881">
        <v>0</v>
      </c>
    </row>
    <row r="1882" spans="1:21" x14ac:dyDescent="0.25">
      <c r="A1882" t="s">
        <v>1929</v>
      </c>
      <c r="B1882">
        <v>21</v>
      </c>
      <c r="C1882" t="s">
        <v>29</v>
      </c>
      <c r="D1882" t="s">
        <v>41</v>
      </c>
      <c r="E1882" t="s">
        <v>31</v>
      </c>
      <c r="F1882" t="s">
        <v>23</v>
      </c>
      <c r="G1882">
        <v>1903.16</v>
      </c>
      <c r="H1882">
        <v>869.71</v>
      </c>
      <c r="I1882">
        <v>16549.400000000001</v>
      </c>
      <c r="J1882" t="s">
        <v>37</v>
      </c>
      <c r="K1882" t="s">
        <v>38</v>
      </c>
      <c r="L1882">
        <v>0</v>
      </c>
      <c r="M1882">
        <v>0</v>
      </c>
      <c r="N1882">
        <v>0</v>
      </c>
      <c r="O1882">
        <v>0</v>
      </c>
      <c r="P1882">
        <v>0</v>
      </c>
      <c r="Q1882">
        <v>403</v>
      </c>
      <c r="R1882">
        <v>0.72</v>
      </c>
      <c r="S1882" t="s">
        <v>72</v>
      </c>
      <c r="T1882" s="1">
        <v>45009</v>
      </c>
      <c r="U1882">
        <v>0</v>
      </c>
    </row>
    <row r="1883" spans="1:21" x14ac:dyDescent="0.25">
      <c r="A1883" t="s">
        <v>1930</v>
      </c>
      <c r="B1883">
        <v>58</v>
      </c>
      <c r="C1883" t="s">
        <v>30</v>
      </c>
      <c r="D1883" t="s">
        <v>41</v>
      </c>
      <c r="E1883" t="s">
        <v>51</v>
      </c>
      <c r="F1883" t="s">
        <v>24</v>
      </c>
      <c r="G1883">
        <v>7902.74</v>
      </c>
      <c r="H1883">
        <v>3851.18</v>
      </c>
      <c r="I1883">
        <v>91824.34</v>
      </c>
      <c r="J1883" t="s">
        <v>37</v>
      </c>
      <c r="K1883" t="s">
        <v>38</v>
      </c>
      <c r="L1883">
        <v>0</v>
      </c>
      <c r="M1883">
        <v>0</v>
      </c>
      <c r="N1883">
        <v>0</v>
      </c>
      <c r="O1883">
        <v>0</v>
      </c>
      <c r="P1883">
        <v>0</v>
      </c>
      <c r="Q1883">
        <v>434</v>
      </c>
      <c r="R1883">
        <v>0.97</v>
      </c>
      <c r="S1883" t="s">
        <v>39</v>
      </c>
      <c r="T1883" s="1">
        <v>44609</v>
      </c>
      <c r="U1883">
        <v>0</v>
      </c>
    </row>
    <row r="1884" spans="1:21" x14ac:dyDescent="0.25">
      <c r="A1884" t="s">
        <v>1931</v>
      </c>
      <c r="B1884">
        <v>68</v>
      </c>
      <c r="C1884" t="s">
        <v>21</v>
      </c>
      <c r="D1884" t="s">
        <v>22</v>
      </c>
      <c r="E1884" t="s">
        <v>31</v>
      </c>
      <c r="F1884" t="s">
        <v>32</v>
      </c>
      <c r="G1884">
        <v>6428.54</v>
      </c>
      <c r="H1884">
        <v>4497.54</v>
      </c>
      <c r="I1884">
        <v>71974.77</v>
      </c>
      <c r="J1884" t="s">
        <v>37</v>
      </c>
      <c r="K1884" t="s">
        <v>38</v>
      </c>
      <c r="L1884">
        <v>0</v>
      </c>
      <c r="M1884">
        <v>0</v>
      </c>
      <c r="N1884">
        <v>0</v>
      </c>
      <c r="O1884">
        <v>0</v>
      </c>
      <c r="P1884">
        <v>0</v>
      </c>
      <c r="Q1884">
        <v>320</v>
      </c>
      <c r="R1884">
        <v>0.93</v>
      </c>
      <c r="S1884" t="s">
        <v>30</v>
      </c>
      <c r="T1884" s="1">
        <v>45136</v>
      </c>
      <c r="U1884">
        <v>0</v>
      </c>
    </row>
    <row r="1885" spans="1:21" x14ac:dyDescent="0.25">
      <c r="A1885" t="s">
        <v>1932</v>
      </c>
      <c r="B1885">
        <v>32</v>
      </c>
      <c r="C1885" t="s">
        <v>29</v>
      </c>
      <c r="D1885" t="s">
        <v>35</v>
      </c>
      <c r="E1885" t="s">
        <v>31</v>
      </c>
      <c r="F1885" t="s">
        <v>23</v>
      </c>
      <c r="G1885">
        <v>6914.38</v>
      </c>
      <c r="H1885">
        <v>5988.78</v>
      </c>
      <c r="I1885">
        <v>52311.91</v>
      </c>
      <c r="J1885" t="s">
        <v>25</v>
      </c>
      <c r="K1885" t="s">
        <v>26</v>
      </c>
      <c r="L1885">
        <v>385688.93</v>
      </c>
      <c r="M1885">
        <v>60</v>
      </c>
      <c r="N1885">
        <v>7711.93</v>
      </c>
      <c r="O1885">
        <v>7.41</v>
      </c>
      <c r="P1885">
        <v>1.1200000000000001</v>
      </c>
      <c r="Q1885">
        <v>707</v>
      </c>
      <c r="R1885">
        <v>0.63</v>
      </c>
      <c r="S1885" t="s">
        <v>72</v>
      </c>
      <c r="T1885" s="1">
        <v>45772</v>
      </c>
      <c r="U1885">
        <v>1</v>
      </c>
    </row>
    <row r="1886" spans="1:21" x14ac:dyDescent="0.25">
      <c r="A1886" t="s">
        <v>1933</v>
      </c>
      <c r="B1886">
        <v>54</v>
      </c>
      <c r="C1886" t="s">
        <v>21</v>
      </c>
      <c r="D1886" t="s">
        <v>56</v>
      </c>
      <c r="E1886" t="s">
        <v>31</v>
      </c>
      <c r="F1886" t="s">
        <v>49</v>
      </c>
      <c r="G1886">
        <v>500</v>
      </c>
      <c r="H1886">
        <v>324.76</v>
      </c>
      <c r="I1886">
        <v>3521.22</v>
      </c>
      <c r="J1886" t="s">
        <v>37</v>
      </c>
      <c r="K1886" t="s">
        <v>38</v>
      </c>
      <c r="L1886">
        <v>0</v>
      </c>
      <c r="M1886">
        <v>0</v>
      </c>
      <c r="N1886">
        <v>0</v>
      </c>
      <c r="O1886">
        <v>0</v>
      </c>
      <c r="P1886">
        <v>0</v>
      </c>
      <c r="Q1886">
        <v>392</v>
      </c>
      <c r="R1886">
        <v>0.59</v>
      </c>
      <c r="S1886" t="s">
        <v>27</v>
      </c>
      <c r="T1886" s="1">
        <v>45656</v>
      </c>
      <c r="U1886">
        <v>0</v>
      </c>
    </row>
    <row r="1887" spans="1:21" x14ac:dyDescent="0.25">
      <c r="A1887" t="s">
        <v>1934</v>
      </c>
      <c r="B1887">
        <v>49</v>
      </c>
      <c r="C1887" t="s">
        <v>29</v>
      </c>
      <c r="D1887" t="s">
        <v>41</v>
      </c>
      <c r="E1887" t="s">
        <v>23</v>
      </c>
      <c r="F1887" t="s">
        <v>52</v>
      </c>
      <c r="G1887">
        <v>5679.03</v>
      </c>
      <c r="H1887">
        <v>4023.55</v>
      </c>
      <c r="I1887">
        <v>42360.82</v>
      </c>
      <c r="J1887" t="s">
        <v>37</v>
      </c>
      <c r="K1887" t="s">
        <v>38</v>
      </c>
      <c r="L1887">
        <v>0</v>
      </c>
      <c r="M1887">
        <v>0</v>
      </c>
      <c r="N1887">
        <v>0</v>
      </c>
      <c r="O1887">
        <v>0</v>
      </c>
      <c r="P1887">
        <v>0</v>
      </c>
      <c r="Q1887">
        <v>427</v>
      </c>
      <c r="R1887">
        <v>0.62</v>
      </c>
      <c r="S1887" t="s">
        <v>47</v>
      </c>
      <c r="T1887" s="1">
        <v>45845</v>
      </c>
      <c r="U1887">
        <v>0</v>
      </c>
    </row>
    <row r="1888" spans="1:21" x14ac:dyDescent="0.25">
      <c r="A1888" t="s">
        <v>1935</v>
      </c>
      <c r="B1888">
        <v>20</v>
      </c>
      <c r="C1888" t="s">
        <v>21</v>
      </c>
      <c r="D1888" t="s">
        <v>41</v>
      </c>
      <c r="E1888" t="s">
        <v>23</v>
      </c>
      <c r="F1888" t="s">
        <v>32</v>
      </c>
      <c r="G1888">
        <v>4534.7299999999996</v>
      </c>
      <c r="H1888">
        <v>1831.12</v>
      </c>
      <c r="I1888">
        <v>42279.43</v>
      </c>
      <c r="J1888" t="s">
        <v>37</v>
      </c>
      <c r="K1888" t="s">
        <v>38</v>
      </c>
      <c r="L1888">
        <v>0</v>
      </c>
      <c r="M1888">
        <v>0</v>
      </c>
      <c r="N1888">
        <v>0</v>
      </c>
      <c r="O1888">
        <v>0</v>
      </c>
      <c r="P1888">
        <v>0</v>
      </c>
      <c r="Q1888">
        <v>507</v>
      </c>
      <c r="R1888">
        <v>0.78</v>
      </c>
      <c r="S1888" t="s">
        <v>72</v>
      </c>
      <c r="T1888" s="1">
        <v>44499</v>
      </c>
      <c r="U1888">
        <v>0</v>
      </c>
    </row>
    <row r="1889" spans="1:21" x14ac:dyDescent="0.25">
      <c r="A1889" t="s">
        <v>1936</v>
      </c>
      <c r="B1889">
        <v>55</v>
      </c>
      <c r="C1889" t="s">
        <v>29</v>
      </c>
      <c r="D1889" t="s">
        <v>41</v>
      </c>
      <c r="E1889" t="s">
        <v>31</v>
      </c>
      <c r="F1889" t="s">
        <v>49</v>
      </c>
      <c r="G1889">
        <v>6109.3</v>
      </c>
      <c r="H1889">
        <v>4046.35</v>
      </c>
      <c r="I1889">
        <v>24146.05</v>
      </c>
      <c r="J1889" t="s">
        <v>37</v>
      </c>
      <c r="K1889" t="s">
        <v>38</v>
      </c>
      <c r="L1889">
        <v>0</v>
      </c>
      <c r="M1889">
        <v>0</v>
      </c>
      <c r="N1889">
        <v>0</v>
      </c>
      <c r="O1889">
        <v>0</v>
      </c>
      <c r="P1889">
        <v>0</v>
      </c>
      <c r="Q1889">
        <v>475</v>
      </c>
      <c r="R1889">
        <v>0.33</v>
      </c>
      <c r="S1889" t="s">
        <v>27</v>
      </c>
      <c r="T1889" s="1">
        <v>45821</v>
      </c>
      <c r="U1889">
        <v>0</v>
      </c>
    </row>
    <row r="1890" spans="1:21" x14ac:dyDescent="0.25">
      <c r="A1890" t="s">
        <v>1937</v>
      </c>
      <c r="B1890">
        <v>63</v>
      </c>
      <c r="C1890" t="s">
        <v>21</v>
      </c>
      <c r="D1890" t="s">
        <v>35</v>
      </c>
      <c r="E1890" t="s">
        <v>31</v>
      </c>
      <c r="F1890" t="s">
        <v>52</v>
      </c>
      <c r="G1890">
        <v>2701.16</v>
      </c>
      <c r="H1890">
        <v>1306.6300000000001</v>
      </c>
      <c r="I1890">
        <v>14229.82</v>
      </c>
      <c r="J1890" t="s">
        <v>25</v>
      </c>
      <c r="K1890" t="s">
        <v>54</v>
      </c>
      <c r="L1890">
        <v>202769.08</v>
      </c>
      <c r="M1890">
        <v>300</v>
      </c>
      <c r="N1890">
        <v>4880.51</v>
      </c>
      <c r="O1890">
        <v>28.86</v>
      </c>
      <c r="P1890">
        <v>1.81</v>
      </c>
      <c r="Q1890">
        <v>802</v>
      </c>
      <c r="R1890">
        <v>0.44</v>
      </c>
      <c r="S1890" t="s">
        <v>30</v>
      </c>
      <c r="T1890" s="1">
        <v>44863</v>
      </c>
      <c r="U1890">
        <v>1</v>
      </c>
    </row>
    <row r="1891" spans="1:21" x14ac:dyDescent="0.25">
      <c r="A1891" t="s">
        <v>1938</v>
      </c>
      <c r="B1891">
        <v>65</v>
      </c>
      <c r="C1891" t="s">
        <v>21</v>
      </c>
      <c r="D1891" t="s">
        <v>41</v>
      </c>
      <c r="E1891" t="s">
        <v>51</v>
      </c>
      <c r="F1891" t="s">
        <v>24</v>
      </c>
      <c r="G1891">
        <v>2454.8000000000002</v>
      </c>
      <c r="H1891">
        <v>1092.9100000000001</v>
      </c>
      <c r="I1891">
        <v>9015.75</v>
      </c>
      <c r="J1891" t="s">
        <v>37</v>
      </c>
      <c r="K1891" t="s">
        <v>38</v>
      </c>
      <c r="L1891">
        <v>0</v>
      </c>
      <c r="M1891">
        <v>0</v>
      </c>
      <c r="N1891">
        <v>0</v>
      </c>
      <c r="O1891">
        <v>0</v>
      </c>
      <c r="P1891">
        <v>0</v>
      </c>
      <c r="Q1891">
        <v>566</v>
      </c>
      <c r="R1891">
        <v>0.31</v>
      </c>
      <c r="S1891" t="s">
        <v>39</v>
      </c>
      <c r="T1891" s="1">
        <v>44610</v>
      </c>
      <c r="U1891">
        <v>0</v>
      </c>
    </row>
    <row r="1892" spans="1:21" x14ac:dyDescent="0.25">
      <c r="A1892" t="s">
        <v>1939</v>
      </c>
      <c r="B1892">
        <v>30</v>
      </c>
      <c r="C1892" t="s">
        <v>21</v>
      </c>
      <c r="D1892" t="s">
        <v>41</v>
      </c>
      <c r="E1892" t="s">
        <v>31</v>
      </c>
      <c r="F1892" t="s">
        <v>32</v>
      </c>
      <c r="G1892">
        <v>3922.11</v>
      </c>
      <c r="H1892">
        <v>2682.04</v>
      </c>
      <c r="I1892">
        <v>26761.54</v>
      </c>
      <c r="J1892" t="s">
        <v>37</v>
      </c>
      <c r="K1892" t="s">
        <v>38</v>
      </c>
      <c r="L1892">
        <v>0</v>
      </c>
      <c r="M1892">
        <v>0</v>
      </c>
      <c r="N1892">
        <v>0</v>
      </c>
      <c r="O1892">
        <v>0</v>
      </c>
      <c r="P1892">
        <v>0</v>
      </c>
      <c r="Q1892">
        <v>740</v>
      </c>
      <c r="R1892">
        <v>0.56999999999999995</v>
      </c>
      <c r="S1892" t="s">
        <v>27</v>
      </c>
      <c r="T1892" s="1">
        <v>45639</v>
      </c>
      <c r="U1892">
        <v>0</v>
      </c>
    </row>
    <row r="1893" spans="1:21" x14ac:dyDescent="0.25">
      <c r="A1893" t="s">
        <v>1940</v>
      </c>
      <c r="B1893">
        <v>25</v>
      </c>
      <c r="C1893" t="s">
        <v>21</v>
      </c>
      <c r="D1893" t="s">
        <v>35</v>
      </c>
      <c r="E1893" t="s">
        <v>31</v>
      </c>
      <c r="F1893" t="s">
        <v>24</v>
      </c>
      <c r="G1893">
        <v>3830.82</v>
      </c>
      <c r="H1893">
        <v>1164.96</v>
      </c>
      <c r="I1893">
        <v>13865.22</v>
      </c>
      <c r="J1893" t="s">
        <v>25</v>
      </c>
      <c r="K1893" t="s">
        <v>54</v>
      </c>
      <c r="L1893">
        <v>174828.58</v>
      </c>
      <c r="M1893">
        <v>300</v>
      </c>
      <c r="N1893">
        <v>4231.2</v>
      </c>
      <c r="O1893">
        <v>29.02</v>
      </c>
      <c r="P1893">
        <v>1.1000000000000001</v>
      </c>
      <c r="Q1893">
        <v>728</v>
      </c>
      <c r="R1893">
        <v>0.3</v>
      </c>
      <c r="S1893" t="s">
        <v>39</v>
      </c>
      <c r="T1893" s="1">
        <v>44681</v>
      </c>
      <c r="U1893">
        <v>1</v>
      </c>
    </row>
    <row r="1894" spans="1:21" x14ac:dyDescent="0.25">
      <c r="A1894" t="s">
        <v>1941</v>
      </c>
      <c r="B1894">
        <v>33</v>
      </c>
      <c r="C1894" t="s">
        <v>21</v>
      </c>
      <c r="D1894" t="s">
        <v>41</v>
      </c>
      <c r="E1894" t="s">
        <v>23</v>
      </c>
      <c r="F1894" t="s">
        <v>23</v>
      </c>
      <c r="G1894">
        <v>7619.73</v>
      </c>
      <c r="H1894">
        <v>6290.86</v>
      </c>
      <c r="I1894">
        <v>63463.41</v>
      </c>
      <c r="J1894" t="s">
        <v>37</v>
      </c>
      <c r="K1894" t="s">
        <v>38</v>
      </c>
      <c r="L1894">
        <v>0</v>
      </c>
      <c r="M1894">
        <v>0</v>
      </c>
      <c r="N1894">
        <v>0</v>
      </c>
      <c r="O1894">
        <v>0</v>
      </c>
      <c r="P1894">
        <v>0</v>
      </c>
      <c r="Q1894">
        <v>324</v>
      </c>
      <c r="R1894">
        <v>0.69</v>
      </c>
      <c r="S1894" t="s">
        <v>39</v>
      </c>
      <c r="T1894" s="1">
        <v>44911</v>
      </c>
      <c r="U1894">
        <v>0</v>
      </c>
    </row>
    <row r="1895" spans="1:21" x14ac:dyDescent="0.25">
      <c r="A1895" t="s">
        <v>1942</v>
      </c>
      <c r="B1895">
        <v>34</v>
      </c>
      <c r="C1895" t="s">
        <v>21</v>
      </c>
      <c r="D1895" t="s">
        <v>22</v>
      </c>
      <c r="E1895" t="s">
        <v>49</v>
      </c>
      <c r="F1895" t="s">
        <v>63</v>
      </c>
      <c r="G1895">
        <v>3898.37</v>
      </c>
      <c r="H1895">
        <v>1754.63</v>
      </c>
      <c r="I1895">
        <v>37222.26</v>
      </c>
      <c r="J1895" t="s">
        <v>37</v>
      </c>
      <c r="K1895" t="s">
        <v>38</v>
      </c>
      <c r="L1895">
        <v>0</v>
      </c>
      <c r="M1895">
        <v>0</v>
      </c>
      <c r="N1895">
        <v>0</v>
      </c>
      <c r="O1895">
        <v>0</v>
      </c>
      <c r="P1895">
        <v>0</v>
      </c>
      <c r="Q1895">
        <v>760</v>
      </c>
      <c r="R1895">
        <v>0.8</v>
      </c>
      <c r="S1895" t="s">
        <v>72</v>
      </c>
      <c r="T1895" s="1">
        <v>45520</v>
      </c>
      <c r="U1895">
        <v>0</v>
      </c>
    </row>
    <row r="1896" spans="1:21" x14ac:dyDescent="0.25">
      <c r="A1896" t="s">
        <v>1943</v>
      </c>
      <c r="B1896">
        <v>32</v>
      </c>
      <c r="C1896" t="s">
        <v>30</v>
      </c>
      <c r="D1896" t="s">
        <v>35</v>
      </c>
      <c r="E1896" t="s">
        <v>23</v>
      </c>
      <c r="F1896" t="s">
        <v>42</v>
      </c>
      <c r="G1896">
        <v>6833.16</v>
      </c>
      <c r="H1896">
        <v>5315.16</v>
      </c>
      <c r="I1896">
        <v>12229.36</v>
      </c>
      <c r="J1896" t="s">
        <v>37</v>
      </c>
      <c r="K1896" t="s">
        <v>38</v>
      </c>
      <c r="L1896">
        <v>0</v>
      </c>
      <c r="M1896">
        <v>0</v>
      </c>
      <c r="N1896">
        <v>0</v>
      </c>
      <c r="O1896">
        <v>0</v>
      </c>
      <c r="P1896">
        <v>0</v>
      </c>
      <c r="Q1896">
        <v>701</v>
      </c>
      <c r="R1896">
        <v>0.15</v>
      </c>
      <c r="S1896" t="s">
        <v>30</v>
      </c>
      <c r="T1896" s="1">
        <v>45363</v>
      </c>
      <c r="U1896">
        <v>0</v>
      </c>
    </row>
    <row r="1897" spans="1:21" x14ac:dyDescent="0.25">
      <c r="A1897" t="s">
        <v>1944</v>
      </c>
      <c r="B1897">
        <v>59</v>
      </c>
      <c r="C1897" t="s">
        <v>21</v>
      </c>
      <c r="D1897" t="s">
        <v>41</v>
      </c>
      <c r="E1897" t="s">
        <v>31</v>
      </c>
      <c r="F1897" t="s">
        <v>44</v>
      </c>
      <c r="G1897">
        <v>500</v>
      </c>
      <c r="H1897">
        <v>322.13</v>
      </c>
      <c r="I1897">
        <v>5169.93</v>
      </c>
      <c r="J1897" t="s">
        <v>37</v>
      </c>
      <c r="K1897" t="s">
        <v>38</v>
      </c>
      <c r="L1897">
        <v>0</v>
      </c>
      <c r="M1897">
        <v>0</v>
      </c>
      <c r="N1897">
        <v>0</v>
      </c>
      <c r="O1897">
        <v>0</v>
      </c>
      <c r="P1897">
        <v>0</v>
      </c>
      <c r="Q1897">
        <v>838</v>
      </c>
      <c r="R1897">
        <v>0.86</v>
      </c>
      <c r="S1897" t="s">
        <v>72</v>
      </c>
      <c r="T1897" s="1">
        <v>45606</v>
      </c>
      <c r="U1897">
        <v>0</v>
      </c>
    </row>
    <row r="1898" spans="1:21" x14ac:dyDescent="0.25">
      <c r="A1898" t="s">
        <v>1945</v>
      </c>
      <c r="B1898">
        <v>42</v>
      </c>
      <c r="C1898" t="s">
        <v>21</v>
      </c>
      <c r="D1898" t="s">
        <v>35</v>
      </c>
      <c r="E1898" t="s">
        <v>31</v>
      </c>
      <c r="F1898" t="s">
        <v>49</v>
      </c>
      <c r="G1898">
        <v>2218.29</v>
      </c>
      <c r="H1898">
        <v>887.37</v>
      </c>
      <c r="I1898">
        <v>16588.98</v>
      </c>
      <c r="J1898" t="s">
        <v>37</v>
      </c>
      <c r="K1898" t="s">
        <v>38</v>
      </c>
      <c r="L1898">
        <v>0</v>
      </c>
      <c r="M1898">
        <v>0</v>
      </c>
      <c r="N1898">
        <v>0</v>
      </c>
      <c r="O1898">
        <v>0</v>
      </c>
      <c r="P1898">
        <v>0</v>
      </c>
      <c r="Q1898">
        <v>587</v>
      </c>
      <c r="R1898">
        <v>0.62</v>
      </c>
      <c r="S1898" t="s">
        <v>47</v>
      </c>
      <c r="T1898" s="1">
        <v>45316</v>
      </c>
      <c r="U1898">
        <v>0</v>
      </c>
    </row>
    <row r="1899" spans="1:21" x14ac:dyDescent="0.25">
      <c r="A1899" t="s">
        <v>1946</v>
      </c>
      <c r="B1899">
        <v>19</v>
      </c>
      <c r="C1899" t="s">
        <v>29</v>
      </c>
      <c r="D1899" t="s">
        <v>41</v>
      </c>
      <c r="E1899" t="s">
        <v>23</v>
      </c>
      <c r="F1899" t="s">
        <v>23</v>
      </c>
      <c r="G1899">
        <v>4862.29</v>
      </c>
      <c r="H1899">
        <v>2055.6999999999998</v>
      </c>
      <c r="I1899">
        <v>23165.88</v>
      </c>
      <c r="J1899" t="s">
        <v>25</v>
      </c>
      <c r="K1899" t="s">
        <v>54</v>
      </c>
      <c r="L1899">
        <v>189465.08</v>
      </c>
      <c r="M1899">
        <v>180</v>
      </c>
      <c r="N1899">
        <v>1767.15</v>
      </c>
      <c r="O1899">
        <v>7.6</v>
      </c>
      <c r="P1899">
        <v>0.36</v>
      </c>
      <c r="Q1899">
        <v>623</v>
      </c>
      <c r="R1899">
        <v>0.4</v>
      </c>
      <c r="S1899" t="s">
        <v>27</v>
      </c>
      <c r="T1899" s="1">
        <v>45539</v>
      </c>
      <c r="U1899">
        <v>0</v>
      </c>
    </row>
    <row r="1900" spans="1:21" x14ac:dyDescent="0.25">
      <c r="A1900" t="s">
        <v>1947</v>
      </c>
      <c r="B1900">
        <v>42</v>
      </c>
      <c r="C1900" t="s">
        <v>21</v>
      </c>
      <c r="D1900" t="s">
        <v>35</v>
      </c>
      <c r="E1900" t="s">
        <v>31</v>
      </c>
      <c r="F1900" t="s">
        <v>44</v>
      </c>
      <c r="G1900">
        <v>705.18</v>
      </c>
      <c r="H1900">
        <v>580.87</v>
      </c>
      <c r="I1900">
        <v>6119.41</v>
      </c>
      <c r="J1900" t="s">
        <v>37</v>
      </c>
      <c r="K1900" t="s">
        <v>38</v>
      </c>
      <c r="L1900">
        <v>0</v>
      </c>
      <c r="M1900">
        <v>0</v>
      </c>
      <c r="N1900">
        <v>0</v>
      </c>
      <c r="O1900">
        <v>0</v>
      </c>
      <c r="P1900">
        <v>0</v>
      </c>
      <c r="Q1900">
        <v>563</v>
      </c>
      <c r="R1900">
        <v>0.72</v>
      </c>
      <c r="S1900" t="s">
        <v>30</v>
      </c>
      <c r="T1900" s="1">
        <v>45057</v>
      </c>
      <c r="U1900">
        <v>0</v>
      </c>
    </row>
    <row r="1901" spans="1:21" x14ac:dyDescent="0.25">
      <c r="A1901" t="s">
        <v>1948</v>
      </c>
      <c r="B1901">
        <v>35</v>
      </c>
      <c r="C1901" t="s">
        <v>21</v>
      </c>
      <c r="D1901" t="s">
        <v>41</v>
      </c>
      <c r="E1901" t="s">
        <v>31</v>
      </c>
      <c r="F1901" t="s">
        <v>44</v>
      </c>
      <c r="G1901">
        <v>4610.08</v>
      </c>
      <c r="H1901">
        <v>3180.24</v>
      </c>
      <c r="I1901">
        <v>26134.799999999999</v>
      </c>
      <c r="J1901" t="s">
        <v>37</v>
      </c>
      <c r="K1901" t="s">
        <v>38</v>
      </c>
      <c r="L1901">
        <v>0</v>
      </c>
      <c r="M1901">
        <v>0</v>
      </c>
      <c r="N1901">
        <v>0</v>
      </c>
      <c r="O1901">
        <v>0</v>
      </c>
      <c r="P1901">
        <v>0</v>
      </c>
      <c r="Q1901">
        <v>563</v>
      </c>
      <c r="R1901">
        <v>0.47</v>
      </c>
      <c r="S1901" t="s">
        <v>72</v>
      </c>
      <c r="T1901" s="1">
        <v>44592</v>
      </c>
      <c r="U1901">
        <v>0</v>
      </c>
    </row>
    <row r="1902" spans="1:21" x14ac:dyDescent="0.25">
      <c r="A1902" t="s">
        <v>1949</v>
      </c>
      <c r="B1902">
        <v>32</v>
      </c>
      <c r="C1902" t="s">
        <v>30</v>
      </c>
      <c r="D1902" t="s">
        <v>30</v>
      </c>
      <c r="E1902" t="s">
        <v>31</v>
      </c>
      <c r="F1902" t="s">
        <v>49</v>
      </c>
      <c r="G1902">
        <v>919.69</v>
      </c>
      <c r="H1902">
        <v>668.45</v>
      </c>
      <c r="I1902">
        <v>10197.799999999999</v>
      </c>
      <c r="J1902" t="s">
        <v>25</v>
      </c>
      <c r="K1902" t="s">
        <v>45</v>
      </c>
      <c r="L1902">
        <v>52296.84</v>
      </c>
      <c r="M1902">
        <v>36</v>
      </c>
      <c r="N1902">
        <v>1769.91</v>
      </c>
      <c r="O1902">
        <v>13.31</v>
      </c>
      <c r="P1902">
        <v>1.92</v>
      </c>
      <c r="Q1902">
        <v>359</v>
      </c>
      <c r="R1902">
        <v>0.92</v>
      </c>
      <c r="S1902" t="s">
        <v>47</v>
      </c>
      <c r="T1902" s="1">
        <v>45581</v>
      </c>
      <c r="U1902">
        <v>1</v>
      </c>
    </row>
    <row r="1903" spans="1:21" x14ac:dyDescent="0.25">
      <c r="A1903" t="s">
        <v>1950</v>
      </c>
      <c r="B1903">
        <v>43</v>
      </c>
      <c r="C1903" t="s">
        <v>21</v>
      </c>
      <c r="D1903" t="s">
        <v>41</v>
      </c>
      <c r="E1903" t="s">
        <v>51</v>
      </c>
      <c r="F1903" t="s">
        <v>44</v>
      </c>
      <c r="G1903">
        <v>1216.9100000000001</v>
      </c>
      <c r="H1903">
        <v>723.88</v>
      </c>
      <c r="I1903">
        <v>6912.98</v>
      </c>
      <c r="J1903" t="s">
        <v>37</v>
      </c>
      <c r="K1903" t="s">
        <v>38</v>
      </c>
      <c r="L1903">
        <v>0</v>
      </c>
      <c r="M1903">
        <v>0</v>
      </c>
      <c r="N1903">
        <v>0</v>
      </c>
      <c r="O1903">
        <v>0</v>
      </c>
      <c r="P1903">
        <v>0</v>
      </c>
      <c r="Q1903">
        <v>637</v>
      </c>
      <c r="R1903">
        <v>0.47</v>
      </c>
      <c r="S1903" t="s">
        <v>27</v>
      </c>
      <c r="T1903" s="1">
        <v>44868</v>
      </c>
      <c r="U1903">
        <v>0</v>
      </c>
    </row>
    <row r="1904" spans="1:21" x14ac:dyDescent="0.25">
      <c r="A1904" t="s">
        <v>1951</v>
      </c>
      <c r="B1904">
        <v>41</v>
      </c>
      <c r="C1904" t="s">
        <v>21</v>
      </c>
      <c r="D1904" t="s">
        <v>41</v>
      </c>
      <c r="E1904" t="s">
        <v>31</v>
      </c>
      <c r="F1904" t="s">
        <v>23</v>
      </c>
      <c r="G1904">
        <v>7499.27</v>
      </c>
      <c r="H1904">
        <v>4653.67</v>
      </c>
      <c r="I1904">
        <v>26421.25</v>
      </c>
      <c r="J1904" t="s">
        <v>37</v>
      </c>
      <c r="K1904" t="s">
        <v>38</v>
      </c>
      <c r="L1904">
        <v>0</v>
      </c>
      <c r="M1904">
        <v>0</v>
      </c>
      <c r="N1904">
        <v>0</v>
      </c>
      <c r="O1904">
        <v>0</v>
      </c>
      <c r="P1904">
        <v>0</v>
      </c>
      <c r="Q1904">
        <v>688</v>
      </c>
      <c r="R1904">
        <v>0.28999999999999998</v>
      </c>
      <c r="S1904" t="s">
        <v>27</v>
      </c>
      <c r="T1904" s="1">
        <v>45675</v>
      </c>
      <c r="U1904">
        <v>0</v>
      </c>
    </row>
    <row r="1905" spans="1:21" x14ac:dyDescent="0.25">
      <c r="A1905" t="s">
        <v>1952</v>
      </c>
      <c r="B1905">
        <v>23</v>
      </c>
      <c r="C1905" t="s">
        <v>29</v>
      </c>
      <c r="D1905" t="s">
        <v>35</v>
      </c>
      <c r="E1905" t="s">
        <v>31</v>
      </c>
      <c r="F1905" t="s">
        <v>63</v>
      </c>
      <c r="G1905">
        <v>3794.35</v>
      </c>
      <c r="H1905">
        <v>2490.77</v>
      </c>
      <c r="I1905">
        <v>38006.089999999997</v>
      </c>
      <c r="J1905" t="s">
        <v>25</v>
      </c>
      <c r="K1905" t="s">
        <v>54</v>
      </c>
      <c r="L1905">
        <v>48792.72</v>
      </c>
      <c r="M1905">
        <v>60</v>
      </c>
      <c r="N1905">
        <v>1082.9000000000001</v>
      </c>
      <c r="O1905">
        <v>11.9</v>
      </c>
      <c r="P1905">
        <v>0.28999999999999998</v>
      </c>
      <c r="Q1905">
        <v>531</v>
      </c>
      <c r="R1905">
        <v>0.83</v>
      </c>
      <c r="S1905" t="s">
        <v>39</v>
      </c>
      <c r="T1905" s="1">
        <v>44547</v>
      </c>
      <c r="U1905">
        <v>0</v>
      </c>
    </row>
    <row r="1906" spans="1:21" x14ac:dyDescent="0.25">
      <c r="A1906" t="s">
        <v>1953</v>
      </c>
      <c r="B1906">
        <v>32</v>
      </c>
      <c r="C1906" t="s">
        <v>21</v>
      </c>
      <c r="D1906" t="s">
        <v>41</v>
      </c>
      <c r="E1906" t="s">
        <v>51</v>
      </c>
      <c r="F1906" t="s">
        <v>23</v>
      </c>
      <c r="G1906">
        <v>2764.78</v>
      </c>
      <c r="H1906">
        <v>911.9</v>
      </c>
      <c r="I1906">
        <v>5897.11</v>
      </c>
      <c r="J1906" t="s">
        <v>25</v>
      </c>
      <c r="K1906" t="s">
        <v>33</v>
      </c>
      <c r="L1906">
        <v>11406.52</v>
      </c>
      <c r="M1906">
        <v>120</v>
      </c>
      <c r="N1906">
        <v>110.19</v>
      </c>
      <c r="O1906">
        <v>3.01</v>
      </c>
      <c r="P1906">
        <v>0.04</v>
      </c>
      <c r="Q1906">
        <v>850</v>
      </c>
      <c r="R1906">
        <v>0.18</v>
      </c>
      <c r="S1906" t="s">
        <v>30</v>
      </c>
      <c r="T1906" s="1">
        <v>45247</v>
      </c>
      <c r="U1906">
        <v>0</v>
      </c>
    </row>
    <row r="1907" spans="1:21" x14ac:dyDescent="0.25">
      <c r="A1907" t="s">
        <v>1954</v>
      </c>
      <c r="B1907">
        <v>52</v>
      </c>
      <c r="C1907" t="s">
        <v>21</v>
      </c>
      <c r="D1907" t="s">
        <v>35</v>
      </c>
      <c r="E1907" t="s">
        <v>31</v>
      </c>
      <c r="F1907" t="s">
        <v>49</v>
      </c>
      <c r="G1907">
        <v>500</v>
      </c>
      <c r="H1907">
        <v>421.48</v>
      </c>
      <c r="I1907">
        <v>4975.51</v>
      </c>
      <c r="J1907" t="s">
        <v>37</v>
      </c>
      <c r="K1907" t="s">
        <v>38</v>
      </c>
      <c r="L1907">
        <v>0</v>
      </c>
      <c r="M1907">
        <v>0</v>
      </c>
      <c r="N1907">
        <v>0</v>
      </c>
      <c r="O1907">
        <v>0</v>
      </c>
      <c r="P1907">
        <v>0</v>
      </c>
      <c r="Q1907">
        <v>659</v>
      </c>
      <c r="R1907">
        <v>0.83</v>
      </c>
      <c r="S1907" t="s">
        <v>47</v>
      </c>
      <c r="T1907" s="1">
        <v>44681</v>
      </c>
      <c r="U1907">
        <v>0</v>
      </c>
    </row>
    <row r="1908" spans="1:21" x14ac:dyDescent="0.25">
      <c r="A1908" t="s">
        <v>1955</v>
      </c>
      <c r="B1908">
        <v>51</v>
      </c>
      <c r="C1908" t="s">
        <v>29</v>
      </c>
      <c r="D1908" t="s">
        <v>22</v>
      </c>
      <c r="E1908" t="s">
        <v>23</v>
      </c>
      <c r="F1908" t="s">
        <v>52</v>
      </c>
      <c r="G1908">
        <v>909.88</v>
      </c>
      <c r="H1908">
        <v>389.25</v>
      </c>
      <c r="I1908">
        <v>6421.84</v>
      </c>
      <c r="J1908" t="s">
        <v>37</v>
      </c>
      <c r="K1908" t="s">
        <v>38</v>
      </c>
      <c r="L1908">
        <v>0</v>
      </c>
      <c r="M1908">
        <v>0</v>
      </c>
      <c r="N1908">
        <v>0</v>
      </c>
      <c r="O1908">
        <v>0</v>
      </c>
      <c r="P1908">
        <v>0</v>
      </c>
      <c r="Q1908">
        <v>396</v>
      </c>
      <c r="R1908">
        <v>0.59</v>
      </c>
      <c r="S1908" t="s">
        <v>47</v>
      </c>
      <c r="T1908" s="1">
        <v>45489</v>
      </c>
      <c r="U1908">
        <v>0</v>
      </c>
    </row>
    <row r="1909" spans="1:21" x14ac:dyDescent="0.25">
      <c r="A1909" t="s">
        <v>1956</v>
      </c>
      <c r="B1909">
        <v>63</v>
      </c>
      <c r="C1909" t="s">
        <v>29</v>
      </c>
      <c r="D1909" t="s">
        <v>35</v>
      </c>
      <c r="E1909" t="s">
        <v>31</v>
      </c>
      <c r="F1909" t="s">
        <v>23</v>
      </c>
      <c r="G1909">
        <v>5176.22</v>
      </c>
      <c r="H1909">
        <v>1886.4</v>
      </c>
      <c r="I1909">
        <v>25787.67</v>
      </c>
      <c r="J1909" t="s">
        <v>25</v>
      </c>
      <c r="K1909" t="s">
        <v>33</v>
      </c>
      <c r="L1909">
        <v>111583.09</v>
      </c>
      <c r="M1909">
        <v>36</v>
      </c>
      <c r="N1909">
        <v>4001.6</v>
      </c>
      <c r="O1909">
        <v>17.420000000000002</v>
      </c>
      <c r="P1909">
        <v>0.77</v>
      </c>
      <c r="Q1909">
        <v>595</v>
      </c>
      <c r="R1909">
        <v>0.42</v>
      </c>
      <c r="S1909" t="s">
        <v>72</v>
      </c>
      <c r="T1909" s="1">
        <v>44537</v>
      </c>
      <c r="U1909">
        <v>1</v>
      </c>
    </row>
    <row r="1910" spans="1:21" x14ac:dyDescent="0.25">
      <c r="A1910" t="s">
        <v>1957</v>
      </c>
      <c r="B1910">
        <v>36</v>
      </c>
      <c r="C1910" t="s">
        <v>21</v>
      </c>
      <c r="D1910" t="s">
        <v>35</v>
      </c>
      <c r="E1910" t="s">
        <v>31</v>
      </c>
      <c r="F1910" t="s">
        <v>44</v>
      </c>
      <c r="G1910">
        <v>4992.38</v>
      </c>
      <c r="H1910">
        <v>3927.36</v>
      </c>
      <c r="I1910">
        <v>49645.41</v>
      </c>
      <c r="J1910" t="s">
        <v>37</v>
      </c>
      <c r="K1910" t="s">
        <v>38</v>
      </c>
      <c r="L1910">
        <v>0</v>
      </c>
      <c r="M1910">
        <v>0</v>
      </c>
      <c r="N1910">
        <v>0</v>
      </c>
      <c r="O1910">
        <v>0</v>
      </c>
      <c r="P1910">
        <v>0</v>
      </c>
      <c r="Q1910">
        <v>379</v>
      </c>
      <c r="R1910">
        <v>0.83</v>
      </c>
      <c r="S1910" t="s">
        <v>39</v>
      </c>
      <c r="T1910" s="1">
        <v>44483</v>
      </c>
      <c r="U1910">
        <v>0</v>
      </c>
    </row>
    <row r="1911" spans="1:21" x14ac:dyDescent="0.25">
      <c r="A1911" t="s">
        <v>1958</v>
      </c>
      <c r="B1911">
        <v>55</v>
      </c>
      <c r="C1911" t="s">
        <v>21</v>
      </c>
      <c r="D1911" t="s">
        <v>35</v>
      </c>
      <c r="E1911" t="s">
        <v>31</v>
      </c>
      <c r="F1911" t="s">
        <v>36</v>
      </c>
      <c r="G1911">
        <v>4105.97</v>
      </c>
      <c r="H1911">
        <v>2737.18</v>
      </c>
      <c r="I1911">
        <v>16400.55</v>
      </c>
      <c r="J1911" t="s">
        <v>37</v>
      </c>
      <c r="K1911" t="s">
        <v>38</v>
      </c>
      <c r="L1911">
        <v>0</v>
      </c>
      <c r="M1911">
        <v>0</v>
      </c>
      <c r="N1911">
        <v>0</v>
      </c>
      <c r="O1911">
        <v>0</v>
      </c>
      <c r="P1911">
        <v>0</v>
      </c>
      <c r="Q1911">
        <v>750</v>
      </c>
      <c r="R1911">
        <v>0.33</v>
      </c>
      <c r="S1911" t="s">
        <v>72</v>
      </c>
      <c r="T1911" s="1">
        <v>44805</v>
      </c>
      <c r="U1911">
        <v>0</v>
      </c>
    </row>
    <row r="1912" spans="1:21" x14ac:dyDescent="0.25">
      <c r="A1912" t="s">
        <v>1959</v>
      </c>
      <c r="B1912">
        <v>49</v>
      </c>
      <c r="C1912" t="s">
        <v>21</v>
      </c>
      <c r="D1912" t="s">
        <v>22</v>
      </c>
      <c r="E1912" t="s">
        <v>31</v>
      </c>
      <c r="F1912" t="s">
        <v>52</v>
      </c>
      <c r="G1912">
        <v>5125.13</v>
      </c>
      <c r="H1912">
        <v>2222.71</v>
      </c>
      <c r="I1912">
        <v>59798.64</v>
      </c>
      <c r="J1912" t="s">
        <v>37</v>
      </c>
      <c r="K1912" t="s">
        <v>38</v>
      </c>
      <c r="L1912">
        <v>0</v>
      </c>
      <c r="M1912">
        <v>0</v>
      </c>
      <c r="N1912">
        <v>0</v>
      </c>
      <c r="O1912">
        <v>0</v>
      </c>
      <c r="P1912">
        <v>0</v>
      </c>
      <c r="Q1912">
        <v>352</v>
      </c>
      <c r="R1912">
        <v>0.97</v>
      </c>
      <c r="S1912" t="s">
        <v>72</v>
      </c>
      <c r="T1912" s="1">
        <v>45745</v>
      </c>
      <c r="U1912">
        <v>0</v>
      </c>
    </row>
    <row r="1913" spans="1:21" x14ac:dyDescent="0.25">
      <c r="A1913" t="s">
        <v>1960</v>
      </c>
      <c r="B1913">
        <v>34</v>
      </c>
      <c r="C1913" t="s">
        <v>29</v>
      </c>
      <c r="D1913" t="s">
        <v>22</v>
      </c>
      <c r="E1913" t="s">
        <v>51</v>
      </c>
      <c r="F1913" t="s">
        <v>23</v>
      </c>
      <c r="G1913">
        <v>5536.08</v>
      </c>
      <c r="H1913">
        <v>2309.6</v>
      </c>
      <c r="I1913">
        <v>13171.51</v>
      </c>
      <c r="J1913" t="s">
        <v>25</v>
      </c>
      <c r="K1913" t="s">
        <v>26</v>
      </c>
      <c r="L1913">
        <v>126668.28</v>
      </c>
      <c r="M1913">
        <v>36</v>
      </c>
      <c r="N1913">
        <v>4624.6000000000004</v>
      </c>
      <c r="O1913">
        <v>18.71</v>
      </c>
      <c r="P1913">
        <v>0.84</v>
      </c>
      <c r="Q1913">
        <v>378</v>
      </c>
      <c r="R1913">
        <v>0.2</v>
      </c>
      <c r="S1913" t="s">
        <v>72</v>
      </c>
      <c r="T1913" s="1">
        <v>45259</v>
      </c>
      <c r="U1913">
        <v>1</v>
      </c>
    </row>
    <row r="1914" spans="1:21" x14ac:dyDescent="0.25">
      <c r="A1914" t="s">
        <v>1961</v>
      </c>
      <c r="B1914">
        <v>69</v>
      </c>
      <c r="C1914" t="s">
        <v>29</v>
      </c>
      <c r="D1914" t="s">
        <v>22</v>
      </c>
      <c r="E1914" t="s">
        <v>23</v>
      </c>
      <c r="F1914" t="s">
        <v>42</v>
      </c>
      <c r="G1914">
        <v>4473.05</v>
      </c>
      <c r="H1914">
        <v>2412.7600000000002</v>
      </c>
      <c r="I1914">
        <v>7178.21</v>
      </c>
      <c r="J1914" t="s">
        <v>37</v>
      </c>
      <c r="K1914" t="s">
        <v>38</v>
      </c>
      <c r="L1914">
        <v>0</v>
      </c>
      <c r="M1914">
        <v>0</v>
      </c>
      <c r="N1914">
        <v>0</v>
      </c>
      <c r="O1914">
        <v>0</v>
      </c>
      <c r="P1914">
        <v>0</v>
      </c>
      <c r="Q1914">
        <v>755</v>
      </c>
      <c r="R1914">
        <v>0.13</v>
      </c>
      <c r="S1914" t="s">
        <v>72</v>
      </c>
      <c r="T1914" s="1">
        <v>44614</v>
      </c>
      <c r="U1914">
        <v>0</v>
      </c>
    </row>
    <row r="1915" spans="1:21" x14ac:dyDescent="0.25">
      <c r="A1915" t="s">
        <v>1962</v>
      </c>
      <c r="B1915">
        <v>42</v>
      </c>
      <c r="C1915" t="s">
        <v>30</v>
      </c>
      <c r="D1915" t="s">
        <v>41</v>
      </c>
      <c r="E1915" t="s">
        <v>31</v>
      </c>
      <c r="F1915" t="s">
        <v>63</v>
      </c>
      <c r="G1915">
        <v>3139.05</v>
      </c>
      <c r="H1915">
        <v>2118.27</v>
      </c>
      <c r="I1915">
        <v>18074.12</v>
      </c>
      <c r="J1915" t="s">
        <v>37</v>
      </c>
      <c r="K1915" t="s">
        <v>38</v>
      </c>
      <c r="L1915">
        <v>0</v>
      </c>
      <c r="M1915">
        <v>0</v>
      </c>
      <c r="N1915">
        <v>0</v>
      </c>
      <c r="O1915">
        <v>0</v>
      </c>
      <c r="P1915">
        <v>0</v>
      </c>
      <c r="Q1915">
        <v>838</v>
      </c>
      <c r="R1915">
        <v>0.48</v>
      </c>
      <c r="S1915" t="s">
        <v>39</v>
      </c>
      <c r="T1915" s="1">
        <v>44686</v>
      </c>
      <c r="U1915">
        <v>0</v>
      </c>
    </row>
    <row r="1916" spans="1:21" x14ac:dyDescent="0.25">
      <c r="A1916" t="s">
        <v>1963</v>
      </c>
      <c r="B1916">
        <v>36</v>
      </c>
      <c r="C1916" t="s">
        <v>21</v>
      </c>
      <c r="D1916" t="s">
        <v>41</v>
      </c>
      <c r="E1916" t="s">
        <v>31</v>
      </c>
      <c r="F1916" t="s">
        <v>32</v>
      </c>
      <c r="G1916">
        <v>1618.65</v>
      </c>
      <c r="H1916">
        <v>738.3</v>
      </c>
      <c r="I1916">
        <v>4102.3599999999997</v>
      </c>
      <c r="J1916" t="s">
        <v>25</v>
      </c>
      <c r="K1916" t="s">
        <v>45</v>
      </c>
      <c r="L1916">
        <v>28908.48</v>
      </c>
      <c r="M1916">
        <v>60</v>
      </c>
      <c r="N1916">
        <v>620.07000000000005</v>
      </c>
      <c r="O1916">
        <v>10.41</v>
      </c>
      <c r="P1916">
        <v>0.38</v>
      </c>
      <c r="Q1916">
        <v>492</v>
      </c>
      <c r="R1916">
        <v>0.21</v>
      </c>
      <c r="S1916" t="s">
        <v>30</v>
      </c>
      <c r="T1916" s="1">
        <v>44827</v>
      </c>
      <c r="U1916">
        <v>0</v>
      </c>
    </row>
    <row r="1917" spans="1:21" x14ac:dyDescent="0.25">
      <c r="A1917" t="s">
        <v>1964</v>
      </c>
      <c r="B1917">
        <v>50</v>
      </c>
      <c r="C1917" t="s">
        <v>21</v>
      </c>
      <c r="D1917" t="s">
        <v>22</v>
      </c>
      <c r="E1917" t="s">
        <v>31</v>
      </c>
      <c r="F1917" t="s">
        <v>32</v>
      </c>
      <c r="G1917">
        <v>10052.219999999999</v>
      </c>
      <c r="H1917">
        <v>9008.01</v>
      </c>
      <c r="I1917">
        <v>24972.65</v>
      </c>
      <c r="J1917" t="s">
        <v>37</v>
      </c>
      <c r="K1917" t="s">
        <v>38</v>
      </c>
      <c r="L1917">
        <v>0</v>
      </c>
      <c r="M1917">
        <v>0</v>
      </c>
      <c r="N1917">
        <v>0</v>
      </c>
      <c r="O1917">
        <v>0</v>
      </c>
      <c r="P1917">
        <v>0</v>
      </c>
      <c r="Q1917">
        <v>779</v>
      </c>
      <c r="R1917">
        <v>0.21</v>
      </c>
      <c r="S1917" t="s">
        <v>27</v>
      </c>
      <c r="T1917" s="1">
        <v>45044</v>
      </c>
      <c r="U1917">
        <v>0</v>
      </c>
    </row>
    <row r="1918" spans="1:21" x14ac:dyDescent="0.25">
      <c r="A1918" t="s">
        <v>1965</v>
      </c>
      <c r="B1918">
        <v>32</v>
      </c>
      <c r="C1918" t="s">
        <v>29</v>
      </c>
      <c r="D1918" t="s">
        <v>41</v>
      </c>
      <c r="E1918" t="s">
        <v>49</v>
      </c>
      <c r="F1918" t="s">
        <v>63</v>
      </c>
      <c r="G1918">
        <v>5601.26</v>
      </c>
      <c r="H1918">
        <v>3040.07</v>
      </c>
      <c r="I1918">
        <v>58928.99</v>
      </c>
      <c r="J1918" t="s">
        <v>37</v>
      </c>
      <c r="K1918" t="s">
        <v>38</v>
      </c>
      <c r="L1918">
        <v>0</v>
      </c>
      <c r="M1918">
        <v>0</v>
      </c>
      <c r="N1918">
        <v>0</v>
      </c>
      <c r="O1918">
        <v>0</v>
      </c>
      <c r="P1918">
        <v>0</v>
      </c>
      <c r="Q1918">
        <v>698</v>
      </c>
      <c r="R1918">
        <v>0.88</v>
      </c>
      <c r="S1918" t="s">
        <v>72</v>
      </c>
      <c r="T1918" s="1">
        <v>44660</v>
      </c>
      <c r="U1918">
        <v>0</v>
      </c>
    </row>
    <row r="1919" spans="1:21" x14ac:dyDescent="0.25">
      <c r="A1919" t="s">
        <v>1966</v>
      </c>
      <c r="B1919">
        <v>51</v>
      </c>
      <c r="C1919" t="s">
        <v>29</v>
      </c>
      <c r="D1919" t="s">
        <v>41</v>
      </c>
      <c r="E1919" t="s">
        <v>31</v>
      </c>
      <c r="F1919" t="s">
        <v>44</v>
      </c>
      <c r="G1919">
        <v>3902.52</v>
      </c>
      <c r="H1919">
        <v>2363.58</v>
      </c>
      <c r="I1919">
        <v>18810.86</v>
      </c>
      <c r="J1919" t="s">
        <v>37</v>
      </c>
      <c r="K1919" t="s">
        <v>38</v>
      </c>
      <c r="L1919">
        <v>0</v>
      </c>
      <c r="M1919">
        <v>0</v>
      </c>
      <c r="N1919">
        <v>0</v>
      </c>
      <c r="O1919">
        <v>0</v>
      </c>
      <c r="P1919">
        <v>0</v>
      </c>
      <c r="Q1919">
        <v>791</v>
      </c>
      <c r="R1919">
        <v>0.4</v>
      </c>
      <c r="S1919" t="s">
        <v>27</v>
      </c>
      <c r="T1919" s="1">
        <v>45089</v>
      </c>
      <c r="U1919">
        <v>0</v>
      </c>
    </row>
    <row r="1920" spans="1:21" x14ac:dyDescent="0.25">
      <c r="A1920" t="s">
        <v>1967</v>
      </c>
      <c r="B1920">
        <v>25</v>
      </c>
      <c r="C1920" t="s">
        <v>21</v>
      </c>
      <c r="D1920" t="s">
        <v>22</v>
      </c>
      <c r="E1920" t="s">
        <v>51</v>
      </c>
      <c r="F1920" t="s">
        <v>52</v>
      </c>
      <c r="G1920">
        <v>7537.55</v>
      </c>
      <c r="H1920">
        <v>3317.3</v>
      </c>
      <c r="I1920">
        <v>10040.219999999999</v>
      </c>
      <c r="J1920" t="s">
        <v>37</v>
      </c>
      <c r="K1920" t="s">
        <v>38</v>
      </c>
      <c r="L1920">
        <v>0</v>
      </c>
      <c r="M1920">
        <v>0</v>
      </c>
      <c r="N1920">
        <v>0</v>
      </c>
      <c r="O1920">
        <v>0</v>
      </c>
      <c r="P1920">
        <v>0</v>
      </c>
      <c r="Q1920">
        <v>832</v>
      </c>
      <c r="R1920">
        <v>0.11</v>
      </c>
      <c r="S1920" t="s">
        <v>39</v>
      </c>
      <c r="T1920" s="1">
        <v>44933</v>
      </c>
      <c r="U1920">
        <v>0</v>
      </c>
    </row>
    <row r="1921" spans="1:21" x14ac:dyDescent="0.25">
      <c r="A1921" t="s">
        <v>1968</v>
      </c>
      <c r="B1921">
        <v>54</v>
      </c>
      <c r="C1921" t="s">
        <v>21</v>
      </c>
      <c r="D1921" t="s">
        <v>30</v>
      </c>
      <c r="E1921" t="s">
        <v>31</v>
      </c>
      <c r="F1921" t="s">
        <v>24</v>
      </c>
      <c r="G1921">
        <v>3058.61</v>
      </c>
      <c r="H1921">
        <v>1857.61</v>
      </c>
      <c r="I1921">
        <v>15412.91</v>
      </c>
      <c r="J1921" t="s">
        <v>25</v>
      </c>
      <c r="K1921" t="s">
        <v>54</v>
      </c>
      <c r="L1921">
        <v>167064.07</v>
      </c>
      <c r="M1921">
        <v>60</v>
      </c>
      <c r="N1921">
        <v>4040.52</v>
      </c>
      <c r="O1921">
        <v>15.75</v>
      </c>
      <c r="P1921">
        <v>1.32</v>
      </c>
      <c r="Q1921">
        <v>368</v>
      </c>
      <c r="R1921">
        <v>0.42</v>
      </c>
      <c r="S1921" t="s">
        <v>30</v>
      </c>
      <c r="T1921" s="1">
        <v>44994</v>
      </c>
      <c r="U1921">
        <v>1</v>
      </c>
    </row>
    <row r="1922" spans="1:21" x14ac:dyDescent="0.25">
      <c r="A1922" t="s">
        <v>1969</v>
      </c>
      <c r="B1922">
        <v>40</v>
      </c>
      <c r="C1922" t="s">
        <v>29</v>
      </c>
      <c r="D1922" t="s">
        <v>41</v>
      </c>
      <c r="E1922" t="s">
        <v>31</v>
      </c>
      <c r="F1922" t="s">
        <v>24</v>
      </c>
      <c r="G1922">
        <v>2068.9699999999998</v>
      </c>
      <c r="H1922">
        <v>906.32</v>
      </c>
      <c r="I1922">
        <v>10746.58</v>
      </c>
      <c r="J1922" t="s">
        <v>37</v>
      </c>
      <c r="K1922" t="s">
        <v>38</v>
      </c>
      <c r="L1922">
        <v>0</v>
      </c>
      <c r="M1922">
        <v>0</v>
      </c>
      <c r="N1922">
        <v>0</v>
      </c>
      <c r="O1922">
        <v>0</v>
      </c>
      <c r="P1922">
        <v>0</v>
      </c>
      <c r="Q1922">
        <v>356</v>
      </c>
      <c r="R1922">
        <v>0.43</v>
      </c>
      <c r="S1922" t="s">
        <v>47</v>
      </c>
      <c r="T1922" s="1">
        <v>44589</v>
      </c>
      <c r="U1922">
        <v>0</v>
      </c>
    </row>
    <row r="1923" spans="1:21" x14ac:dyDescent="0.25">
      <c r="A1923" t="s">
        <v>1970</v>
      </c>
      <c r="B1923">
        <v>38</v>
      </c>
      <c r="C1923" t="s">
        <v>29</v>
      </c>
      <c r="D1923" t="s">
        <v>35</v>
      </c>
      <c r="E1923" t="s">
        <v>31</v>
      </c>
      <c r="F1923" t="s">
        <v>32</v>
      </c>
      <c r="G1923">
        <v>3473.31</v>
      </c>
      <c r="H1923">
        <v>3118.83</v>
      </c>
      <c r="I1923">
        <v>32776.550000000003</v>
      </c>
      <c r="J1923" t="s">
        <v>37</v>
      </c>
      <c r="K1923" t="s">
        <v>38</v>
      </c>
      <c r="L1923">
        <v>0</v>
      </c>
      <c r="M1923">
        <v>0</v>
      </c>
      <c r="N1923">
        <v>0</v>
      </c>
      <c r="O1923">
        <v>0</v>
      </c>
      <c r="P1923">
        <v>0</v>
      </c>
      <c r="Q1923">
        <v>647</v>
      </c>
      <c r="R1923">
        <v>0.79</v>
      </c>
      <c r="S1923" t="s">
        <v>47</v>
      </c>
      <c r="T1923" s="1">
        <v>44710</v>
      </c>
      <c r="U1923">
        <v>0</v>
      </c>
    </row>
    <row r="1924" spans="1:21" x14ac:dyDescent="0.25">
      <c r="A1924" t="s">
        <v>1971</v>
      </c>
      <c r="B1924">
        <v>27</v>
      </c>
      <c r="C1924" t="s">
        <v>29</v>
      </c>
      <c r="D1924" t="s">
        <v>41</v>
      </c>
      <c r="E1924" t="s">
        <v>51</v>
      </c>
      <c r="F1924" t="s">
        <v>52</v>
      </c>
      <c r="G1924">
        <v>3784.19</v>
      </c>
      <c r="H1924">
        <v>2155.0700000000002</v>
      </c>
      <c r="I1924">
        <v>24134.83</v>
      </c>
      <c r="J1924" t="s">
        <v>37</v>
      </c>
      <c r="K1924" t="s">
        <v>38</v>
      </c>
      <c r="L1924">
        <v>0</v>
      </c>
      <c r="M1924">
        <v>0</v>
      </c>
      <c r="N1924">
        <v>0</v>
      </c>
      <c r="O1924">
        <v>0</v>
      </c>
      <c r="P1924">
        <v>0</v>
      </c>
      <c r="Q1924">
        <v>693</v>
      </c>
      <c r="R1924">
        <v>0.53</v>
      </c>
      <c r="S1924" t="s">
        <v>27</v>
      </c>
      <c r="T1924" s="1">
        <v>45681</v>
      </c>
      <c r="U1924">
        <v>0</v>
      </c>
    </row>
    <row r="1925" spans="1:21" x14ac:dyDescent="0.25">
      <c r="A1925" t="s">
        <v>1972</v>
      </c>
      <c r="B1925">
        <v>61</v>
      </c>
      <c r="C1925" t="s">
        <v>29</v>
      </c>
      <c r="D1925" t="s">
        <v>41</v>
      </c>
      <c r="E1925" t="s">
        <v>31</v>
      </c>
      <c r="F1925" t="s">
        <v>52</v>
      </c>
      <c r="G1925">
        <v>2877.93</v>
      </c>
      <c r="H1925">
        <v>1225.58</v>
      </c>
      <c r="I1925">
        <v>20340.310000000001</v>
      </c>
      <c r="J1925" t="s">
        <v>37</v>
      </c>
      <c r="K1925" t="s">
        <v>38</v>
      </c>
      <c r="L1925">
        <v>0</v>
      </c>
      <c r="M1925">
        <v>0</v>
      </c>
      <c r="N1925">
        <v>0</v>
      </c>
      <c r="O1925">
        <v>0</v>
      </c>
      <c r="P1925">
        <v>0</v>
      </c>
      <c r="Q1925">
        <v>413</v>
      </c>
      <c r="R1925">
        <v>0.59</v>
      </c>
      <c r="S1925" t="s">
        <v>27</v>
      </c>
      <c r="T1925" s="1">
        <v>45345</v>
      </c>
      <c r="U1925">
        <v>0</v>
      </c>
    </row>
    <row r="1926" spans="1:21" x14ac:dyDescent="0.25">
      <c r="A1926" t="s">
        <v>1973</v>
      </c>
      <c r="B1926">
        <v>35</v>
      </c>
      <c r="C1926" t="s">
        <v>29</v>
      </c>
      <c r="D1926" t="s">
        <v>22</v>
      </c>
      <c r="E1926" t="s">
        <v>31</v>
      </c>
      <c r="F1926" t="s">
        <v>49</v>
      </c>
      <c r="G1926">
        <v>4017.92</v>
      </c>
      <c r="H1926">
        <v>1537.16</v>
      </c>
      <c r="I1926">
        <v>46104.639999999999</v>
      </c>
      <c r="J1926" t="s">
        <v>37</v>
      </c>
      <c r="K1926" t="s">
        <v>38</v>
      </c>
      <c r="L1926">
        <v>0</v>
      </c>
      <c r="M1926">
        <v>0</v>
      </c>
      <c r="N1926">
        <v>0</v>
      </c>
      <c r="O1926">
        <v>0</v>
      </c>
      <c r="P1926">
        <v>0</v>
      </c>
      <c r="Q1926">
        <v>833</v>
      </c>
      <c r="R1926">
        <v>0.96</v>
      </c>
      <c r="S1926" t="s">
        <v>47</v>
      </c>
      <c r="T1926" s="1">
        <v>44585</v>
      </c>
      <c r="U1926">
        <v>0</v>
      </c>
    </row>
    <row r="1927" spans="1:21" x14ac:dyDescent="0.25">
      <c r="A1927" t="s">
        <v>1974</v>
      </c>
      <c r="B1927">
        <v>58</v>
      </c>
      <c r="C1927" t="s">
        <v>21</v>
      </c>
      <c r="D1927" t="s">
        <v>35</v>
      </c>
      <c r="E1927" t="s">
        <v>51</v>
      </c>
      <c r="F1927" t="s">
        <v>52</v>
      </c>
      <c r="G1927">
        <v>2940.5</v>
      </c>
      <c r="H1927">
        <v>1178.6199999999999</v>
      </c>
      <c r="I1927">
        <v>5949.2</v>
      </c>
      <c r="J1927" t="s">
        <v>37</v>
      </c>
      <c r="K1927" t="s">
        <v>38</v>
      </c>
      <c r="L1927">
        <v>0</v>
      </c>
      <c r="M1927">
        <v>0</v>
      </c>
      <c r="N1927">
        <v>0</v>
      </c>
      <c r="O1927">
        <v>0</v>
      </c>
      <c r="P1927">
        <v>0</v>
      </c>
      <c r="Q1927">
        <v>668</v>
      </c>
      <c r="R1927">
        <v>0.17</v>
      </c>
      <c r="S1927" t="s">
        <v>72</v>
      </c>
      <c r="T1927" s="1">
        <v>44846</v>
      </c>
      <c r="U1927">
        <v>0</v>
      </c>
    </row>
    <row r="1928" spans="1:21" x14ac:dyDescent="0.25">
      <c r="A1928" t="s">
        <v>1975</v>
      </c>
      <c r="B1928">
        <v>28</v>
      </c>
      <c r="C1928" t="s">
        <v>29</v>
      </c>
      <c r="D1928" t="s">
        <v>56</v>
      </c>
      <c r="E1928" t="s">
        <v>31</v>
      </c>
      <c r="F1928" t="s">
        <v>63</v>
      </c>
      <c r="G1928">
        <v>2353.41</v>
      </c>
      <c r="H1928">
        <v>947.76</v>
      </c>
      <c r="I1928">
        <v>17130.849999999999</v>
      </c>
      <c r="J1928" t="s">
        <v>37</v>
      </c>
      <c r="K1928" t="s">
        <v>38</v>
      </c>
      <c r="L1928">
        <v>0</v>
      </c>
      <c r="M1928">
        <v>0</v>
      </c>
      <c r="N1928">
        <v>0</v>
      </c>
      <c r="O1928">
        <v>0</v>
      </c>
      <c r="P1928">
        <v>0</v>
      </c>
      <c r="Q1928">
        <v>715</v>
      </c>
      <c r="R1928">
        <v>0.61</v>
      </c>
      <c r="S1928" t="s">
        <v>30</v>
      </c>
      <c r="T1928" s="1">
        <v>44662</v>
      </c>
      <c r="U1928">
        <v>0</v>
      </c>
    </row>
    <row r="1929" spans="1:21" x14ac:dyDescent="0.25">
      <c r="A1929" t="s">
        <v>1976</v>
      </c>
      <c r="B1929">
        <v>20</v>
      </c>
      <c r="C1929" t="s">
        <v>29</v>
      </c>
      <c r="D1929" t="s">
        <v>22</v>
      </c>
      <c r="E1929" t="s">
        <v>31</v>
      </c>
      <c r="F1929" t="s">
        <v>36</v>
      </c>
      <c r="G1929">
        <v>4581.26</v>
      </c>
      <c r="H1929">
        <v>1955.13</v>
      </c>
      <c r="I1929">
        <v>29818.83</v>
      </c>
      <c r="J1929" t="s">
        <v>37</v>
      </c>
      <c r="K1929" t="s">
        <v>38</v>
      </c>
      <c r="L1929">
        <v>0</v>
      </c>
      <c r="M1929">
        <v>0</v>
      </c>
      <c r="N1929">
        <v>0</v>
      </c>
      <c r="O1929">
        <v>0</v>
      </c>
      <c r="P1929">
        <v>0</v>
      </c>
      <c r="Q1929">
        <v>608</v>
      </c>
      <c r="R1929">
        <v>0.54</v>
      </c>
      <c r="S1929" t="s">
        <v>72</v>
      </c>
      <c r="T1929" s="1">
        <v>44876</v>
      </c>
      <c r="U1929">
        <v>0</v>
      </c>
    </row>
    <row r="1930" spans="1:21" x14ac:dyDescent="0.25">
      <c r="A1930" t="s">
        <v>1977</v>
      </c>
      <c r="B1930">
        <v>67</v>
      </c>
      <c r="C1930" t="s">
        <v>29</v>
      </c>
      <c r="D1930" t="s">
        <v>56</v>
      </c>
      <c r="E1930" t="s">
        <v>31</v>
      </c>
      <c r="F1930" t="s">
        <v>63</v>
      </c>
      <c r="G1930">
        <v>5470.06</v>
      </c>
      <c r="H1930">
        <v>3753.43</v>
      </c>
      <c r="I1930">
        <v>11665.73</v>
      </c>
      <c r="J1930" t="s">
        <v>25</v>
      </c>
      <c r="K1930" t="s">
        <v>45</v>
      </c>
      <c r="L1930">
        <v>328104.25</v>
      </c>
      <c r="M1930">
        <v>180</v>
      </c>
      <c r="N1930">
        <v>4486.95</v>
      </c>
      <c r="O1930">
        <v>14.53</v>
      </c>
      <c r="P1930">
        <v>0.82</v>
      </c>
      <c r="Q1930">
        <v>468</v>
      </c>
      <c r="R1930">
        <v>0.18</v>
      </c>
      <c r="S1930" t="s">
        <v>30</v>
      </c>
      <c r="T1930" s="1">
        <v>44844</v>
      </c>
      <c r="U1930">
        <v>1</v>
      </c>
    </row>
    <row r="1931" spans="1:21" x14ac:dyDescent="0.25">
      <c r="A1931" t="s">
        <v>1978</v>
      </c>
      <c r="B1931">
        <v>67</v>
      </c>
      <c r="C1931" t="s">
        <v>29</v>
      </c>
      <c r="D1931" t="s">
        <v>35</v>
      </c>
      <c r="E1931" t="s">
        <v>31</v>
      </c>
      <c r="F1931" t="s">
        <v>52</v>
      </c>
      <c r="G1931">
        <v>3911.86</v>
      </c>
      <c r="H1931">
        <v>3158.75</v>
      </c>
      <c r="I1931">
        <v>14230.86</v>
      </c>
      <c r="J1931" t="s">
        <v>37</v>
      </c>
      <c r="K1931" t="s">
        <v>38</v>
      </c>
      <c r="L1931">
        <v>0</v>
      </c>
      <c r="M1931">
        <v>0</v>
      </c>
      <c r="N1931">
        <v>0</v>
      </c>
      <c r="O1931">
        <v>0</v>
      </c>
      <c r="P1931">
        <v>0</v>
      </c>
      <c r="Q1931">
        <v>809</v>
      </c>
      <c r="R1931">
        <v>0.3</v>
      </c>
      <c r="S1931" t="s">
        <v>39</v>
      </c>
      <c r="T1931" s="1">
        <v>45410</v>
      </c>
      <c r="U1931">
        <v>0</v>
      </c>
    </row>
    <row r="1932" spans="1:21" x14ac:dyDescent="0.25">
      <c r="A1932" t="s">
        <v>1979</v>
      </c>
      <c r="B1932">
        <v>24</v>
      </c>
      <c r="C1932" t="s">
        <v>29</v>
      </c>
      <c r="D1932" t="s">
        <v>56</v>
      </c>
      <c r="E1932" t="s">
        <v>51</v>
      </c>
      <c r="F1932" t="s">
        <v>49</v>
      </c>
      <c r="G1932">
        <v>2602.65</v>
      </c>
      <c r="H1932">
        <v>967.41</v>
      </c>
      <c r="I1932">
        <v>7957.45</v>
      </c>
      <c r="J1932" t="s">
        <v>37</v>
      </c>
      <c r="K1932" t="s">
        <v>38</v>
      </c>
      <c r="L1932">
        <v>0</v>
      </c>
      <c r="M1932">
        <v>0</v>
      </c>
      <c r="N1932">
        <v>0</v>
      </c>
      <c r="O1932">
        <v>0</v>
      </c>
      <c r="P1932">
        <v>0</v>
      </c>
      <c r="Q1932">
        <v>504</v>
      </c>
      <c r="R1932">
        <v>0.25</v>
      </c>
      <c r="S1932" t="s">
        <v>39</v>
      </c>
      <c r="T1932" s="1">
        <v>44628</v>
      </c>
      <c r="U1932">
        <v>0</v>
      </c>
    </row>
    <row r="1933" spans="1:21" x14ac:dyDescent="0.25">
      <c r="A1933" t="s">
        <v>1980</v>
      </c>
      <c r="B1933">
        <v>34</v>
      </c>
      <c r="C1933" t="s">
        <v>29</v>
      </c>
      <c r="D1933" t="s">
        <v>41</v>
      </c>
      <c r="E1933" t="s">
        <v>49</v>
      </c>
      <c r="F1933" t="s">
        <v>32</v>
      </c>
      <c r="G1933">
        <v>4795.09</v>
      </c>
      <c r="H1933">
        <v>3469.36</v>
      </c>
      <c r="I1933">
        <v>34508.61</v>
      </c>
      <c r="J1933" t="s">
        <v>37</v>
      </c>
      <c r="K1933" t="s">
        <v>38</v>
      </c>
      <c r="L1933">
        <v>0</v>
      </c>
      <c r="M1933">
        <v>0</v>
      </c>
      <c r="N1933">
        <v>0</v>
      </c>
      <c r="O1933">
        <v>0</v>
      </c>
      <c r="P1933">
        <v>0</v>
      </c>
      <c r="Q1933">
        <v>493</v>
      </c>
      <c r="R1933">
        <v>0.6</v>
      </c>
      <c r="S1933" t="s">
        <v>30</v>
      </c>
      <c r="T1933" s="1">
        <v>45748</v>
      </c>
      <c r="U1933">
        <v>0</v>
      </c>
    </row>
    <row r="1934" spans="1:21" x14ac:dyDescent="0.25">
      <c r="A1934" t="s">
        <v>1981</v>
      </c>
      <c r="B1934">
        <v>41</v>
      </c>
      <c r="C1934" t="s">
        <v>29</v>
      </c>
      <c r="D1934" t="s">
        <v>41</v>
      </c>
      <c r="E1934" t="s">
        <v>31</v>
      </c>
      <c r="F1934" t="s">
        <v>24</v>
      </c>
      <c r="G1934">
        <v>3676.73</v>
      </c>
      <c r="H1934">
        <v>2379.56</v>
      </c>
      <c r="I1934">
        <v>24099.59</v>
      </c>
      <c r="J1934" t="s">
        <v>37</v>
      </c>
      <c r="K1934" t="s">
        <v>38</v>
      </c>
      <c r="L1934">
        <v>0</v>
      </c>
      <c r="M1934">
        <v>0</v>
      </c>
      <c r="N1934">
        <v>0</v>
      </c>
      <c r="O1934">
        <v>0</v>
      </c>
      <c r="P1934">
        <v>0</v>
      </c>
      <c r="Q1934">
        <v>661</v>
      </c>
      <c r="R1934">
        <v>0.55000000000000004</v>
      </c>
      <c r="S1934" t="s">
        <v>39</v>
      </c>
      <c r="T1934" s="1">
        <v>44408</v>
      </c>
      <c r="U1934">
        <v>0</v>
      </c>
    </row>
    <row r="1935" spans="1:21" x14ac:dyDescent="0.25">
      <c r="A1935" t="s">
        <v>1982</v>
      </c>
      <c r="B1935">
        <v>65</v>
      </c>
      <c r="C1935" t="s">
        <v>21</v>
      </c>
      <c r="D1935" t="s">
        <v>35</v>
      </c>
      <c r="E1935" t="s">
        <v>51</v>
      </c>
      <c r="F1935" t="s">
        <v>32</v>
      </c>
      <c r="G1935">
        <v>2753.89</v>
      </c>
      <c r="H1935">
        <v>1076.3800000000001</v>
      </c>
      <c r="I1935">
        <v>17282.93</v>
      </c>
      <c r="J1935" t="s">
        <v>25</v>
      </c>
      <c r="K1935" t="s">
        <v>45</v>
      </c>
      <c r="L1935">
        <v>327424.92</v>
      </c>
      <c r="M1935">
        <v>360</v>
      </c>
      <c r="N1935">
        <v>4958.63</v>
      </c>
      <c r="O1935">
        <v>18.09</v>
      </c>
      <c r="P1935">
        <v>1.8</v>
      </c>
      <c r="Q1935">
        <v>407</v>
      </c>
      <c r="R1935">
        <v>0.52</v>
      </c>
      <c r="S1935" t="s">
        <v>27</v>
      </c>
      <c r="T1935" s="1">
        <v>45707</v>
      </c>
      <c r="U1935">
        <v>1</v>
      </c>
    </row>
    <row r="1936" spans="1:21" x14ac:dyDescent="0.25">
      <c r="A1936" t="s">
        <v>1983</v>
      </c>
      <c r="B1936">
        <v>54</v>
      </c>
      <c r="C1936" t="s">
        <v>21</v>
      </c>
      <c r="D1936" t="s">
        <v>41</v>
      </c>
      <c r="E1936" t="s">
        <v>31</v>
      </c>
      <c r="F1936" t="s">
        <v>24</v>
      </c>
      <c r="G1936">
        <v>4389.8599999999997</v>
      </c>
      <c r="H1936">
        <v>2624.88</v>
      </c>
      <c r="I1936">
        <v>36936.230000000003</v>
      </c>
      <c r="J1936" t="s">
        <v>25</v>
      </c>
      <c r="K1936" t="s">
        <v>26</v>
      </c>
      <c r="L1936">
        <v>33857.08</v>
      </c>
      <c r="M1936">
        <v>60</v>
      </c>
      <c r="N1936">
        <v>837.44</v>
      </c>
      <c r="O1936">
        <v>16.78</v>
      </c>
      <c r="P1936">
        <v>0.19</v>
      </c>
      <c r="Q1936">
        <v>836</v>
      </c>
      <c r="R1936">
        <v>0.7</v>
      </c>
      <c r="S1936" t="s">
        <v>72</v>
      </c>
      <c r="T1936" s="1">
        <v>45622</v>
      </c>
      <c r="U1936">
        <v>0</v>
      </c>
    </row>
    <row r="1937" spans="1:21" x14ac:dyDescent="0.25">
      <c r="A1937" t="s">
        <v>1984</v>
      </c>
      <c r="B1937">
        <v>43</v>
      </c>
      <c r="C1937" t="s">
        <v>30</v>
      </c>
      <c r="D1937" t="s">
        <v>41</v>
      </c>
      <c r="E1937" t="s">
        <v>51</v>
      </c>
      <c r="F1937" t="s">
        <v>42</v>
      </c>
      <c r="G1937">
        <v>4475.18</v>
      </c>
      <c r="H1937">
        <v>3724.45</v>
      </c>
      <c r="I1937">
        <v>47619.4</v>
      </c>
      <c r="J1937" t="s">
        <v>37</v>
      </c>
      <c r="K1937" t="s">
        <v>38</v>
      </c>
      <c r="L1937">
        <v>0</v>
      </c>
      <c r="M1937">
        <v>0</v>
      </c>
      <c r="N1937">
        <v>0</v>
      </c>
      <c r="O1937">
        <v>0</v>
      </c>
      <c r="P1937">
        <v>0</v>
      </c>
      <c r="Q1937">
        <v>667</v>
      </c>
      <c r="R1937">
        <v>0.89</v>
      </c>
      <c r="S1937" t="s">
        <v>39</v>
      </c>
      <c r="T1937" s="1">
        <v>45302</v>
      </c>
      <c r="U1937">
        <v>0</v>
      </c>
    </row>
    <row r="1938" spans="1:21" x14ac:dyDescent="0.25">
      <c r="A1938" t="s">
        <v>1985</v>
      </c>
      <c r="B1938">
        <v>63</v>
      </c>
      <c r="C1938" t="s">
        <v>29</v>
      </c>
      <c r="D1938" t="s">
        <v>35</v>
      </c>
      <c r="E1938" t="s">
        <v>51</v>
      </c>
      <c r="F1938" t="s">
        <v>42</v>
      </c>
      <c r="G1938">
        <v>3303.24</v>
      </c>
      <c r="H1938">
        <v>1755.83</v>
      </c>
      <c r="I1938">
        <v>19099.16</v>
      </c>
      <c r="J1938" t="s">
        <v>25</v>
      </c>
      <c r="K1938" t="s">
        <v>33</v>
      </c>
      <c r="L1938">
        <v>83781.84</v>
      </c>
      <c r="M1938">
        <v>24</v>
      </c>
      <c r="N1938">
        <v>3738.23</v>
      </c>
      <c r="O1938">
        <v>6.66</v>
      </c>
      <c r="P1938">
        <v>1.1299999999999999</v>
      </c>
      <c r="Q1938">
        <v>607</v>
      </c>
      <c r="R1938">
        <v>0.48</v>
      </c>
      <c r="S1938" t="s">
        <v>72</v>
      </c>
      <c r="T1938" s="1">
        <v>45005</v>
      </c>
      <c r="U1938">
        <v>1</v>
      </c>
    </row>
    <row r="1939" spans="1:21" x14ac:dyDescent="0.25">
      <c r="A1939" t="s">
        <v>1986</v>
      </c>
      <c r="B1939">
        <v>66</v>
      </c>
      <c r="C1939" t="s">
        <v>21</v>
      </c>
      <c r="D1939" t="s">
        <v>22</v>
      </c>
      <c r="E1939" t="s">
        <v>31</v>
      </c>
      <c r="F1939" t="s">
        <v>23</v>
      </c>
      <c r="G1939">
        <v>2275.06</v>
      </c>
      <c r="H1939">
        <v>1346.57</v>
      </c>
      <c r="I1939">
        <v>8477.18</v>
      </c>
      <c r="J1939" t="s">
        <v>37</v>
      </c>
      <c r="K1939" t="s">
        <v>38</v>
      </c>
      <c r="L1939">
        <v>0</v>
      </c>
      <c r="M1939">
        <v>0</v>
      </c>
      <c r="N1939">
        <v>0</v>
      </c>
      <c r="O1939">
        <v>0</v>
      </c>
      <c r="P1939">
        <v>0</v>
      </c>
      <c r="Q1939">
        <v>337</v>
      </c>
      <c r="R1939">
        <v>0.31</v>
      </c>
      <c r="S1939" t="s">
        <v>47</v>
      </c>
      <c r="T1939" s="1">
        <v>45796</v>
      </c>
      <c r="U1939">
        <v>0</v>
      </c>
    </row>
    <row r="1940" spans="1:21" x14ac:dyDescent="0.25">
      <c r="A1940" t="s">
        <v>1987</v>
      </c>
      <c r="B1940">
        <v>53</v>
      </c>
      <c r="C1940" t="s">
        <v>29</v>
      </c>
      <c r="D1940" t="s">
        <v>35</v>
      </c>
      <c r="E1940" t="s">
        <v>31</v>
      </c>
      <c r="F1940" t="s">
        <v>42</v>
      </c>
      <c r="G1940">
        <v>4896.58</v>
      </c>
      <c r="H1940">
        <v>2000.99</v>
      </c>
      <c r="I1940">
        <v>29663.54</v>
      </c>
      <c r="J1940" t="s">
        <v>37</v>
      </c>
      <c r="K1940" t="s">
        <v>38</v>
      </c>
      <c r="L1940">
        <v>0</v>
      </c>
      <c r="M1940">
        <v>0</v>
      </c>
      <c r="N1940">
        <v>0</v>
      </c>
      <c r="O1940">
        <v>0</v>
      </c>
      <c r="P1940">
        <v>0</v>
      </c>
      <c r="Q1940">
        <v>672</v>
      </c>
      <c r="R1940">
        <v>0.5</v>
      </c>
      <c r="S1940" t="s">
        <v>47</v>
      </c>
      <c r="T1940" s="1">
        <v>44603</v>
      </c>
      <c r="U1940">
        <v>0</v>
      </c>
    </row>
    <row r="1941" spans="1:21" x14ac:dyDescent="0.25">
      <c r="A1941" t="s">
        <v>1988</v>
      </c>
      <c r="B1941">
        <v>32</v>
      </c>
      <c r="C1941" t="s">
        <v>21</v>
      </c>
      <c r="D1941" t="s">
        <v>22</v>
      </c>
      <c r="E1941" t="s">
        <v>31</v>
      </c>
      <c r="F1941" t="s">
        <v>49</v>
      </c>
      <c r="G1941">
        <v>7406.33</v>
      </c>
      <c r="H1941">
        <v>3378.35</v>
      </c>
      <c r="I1941">
        <v>87481.98</v>
      </c>
      <c r="J1941" t="s">
        <v>25</v>
      </c>
      <c r="K1941" t="s">
        <v>26</v>
      </c>
      <c r="L1941">
        <v>324979.71999999997</v>
      </c>
      <c r="M1941">
        <v>240</v>
      </c>
      <c r="N1941">
        <v>3837.52</v>
      </c>
      <c r="O1941">
        <v>13.13</v>
      </c>
      <c r="P1941">
        <v>0.52</v>
      </c>
      <c r="Q1941">
        <v>678</v>
      </c>
      <c r="R1941">
        <v>0.98</v>
      </c>
      <c r="S1941" t="s">
        <v>72</v>
      </c>
      <c r="T1941" s="1">
        <v>45725</v>
      </c>
      <c r="U1941">
        <v>1</v>
      </c>
    </row>
    <row r="1942" spans="1:21" x14ac:dyDescent="0.25">
      <c r="A1942" t="s">
        <v>1989</v>
      </c>
      <c r="B1942">
        <v>29</v>
      </c>
      <c r="C1942" t="s">
        <v>21</v>
      </c>
      <c r="D1942" t="s">
        <v>35</v>
      </c>
      <c r="E1942" t="s">
        <v>51</v>
      </c>
      <c r="F1942" t="s">
        <v>32</v>
      </c>
      <c r="G1942">
        <v>1646.26</v>
      </c>
      <c r="H1942">
        <v>938.91</v>
      </c>
      <c r="I1942">
        <v>18711.18</v>
      </c>
      <c r="J1942" t="s">
        <v>37</v>
      </c>
      <c r="K1942" t="s">
        <v>38</v>
      </c>
      <c r="L1942">
        <v>0</v>
      </c>
      <c r="M1942">
        <v>0</v>
      </c>
      <c r="N1942">
        <v>0</v>
      </c>
      <c r="O1942">
        <v>0</v>
      </c>
      <c r="P1942">
        <v>0</v>
      </c>
      <c r="Q1942">
        <v>769</v>
      </c>
      <c r="R1942">
        <v>0.95</v>
      </c>
      <c r="S1942" t="s">
        <v>72</v>
      </c>
      <c r="T1942" s="1">
        <v>45578</v>
      </c>
      <c r="U1942">
        <v>0</v>
      </c>
    </row>
    <row r="1943" spans="1:21" x14ac:dyDescent="0.25">
      <c r="A1943" t="s">
        <v>1990</v>
      </c>
      <c r="B1943">
        <v>47</v>
      </c>
      <c r="C1943" t="s">
        <v>21</v>
      </c>
      <c r="D1943" t="s">
        <v>41</v>
      </c>
      <c r="E1943" t="s">
        <v>31</v>
      </c>
      <c r="F1943" t="s">
        <v>63</v>
      </c>
      <c r="G1943">
        <v>3754.82</v>
      </c>
      <c r="H1943">
        <v>1226.77</v>
      </c>
      <c r="I1943">
        <v>23336.42</v>
      </c>
      <c r="J1943" t="s">
        <v>37</v>
      </c>
      <c r="K1943" t="s">
        <v>38</v>
      </c>
      <c r="L1943">
        <v>0</v>
      </c>
      <c r="M1943">
        <v>0</v>
      </c>
      <c r="N1943">
        <v>0</v>
      </c>
      <c r="O1943">
        <v>0</v>
      </c>
      <c r="P1943">
        <v>0</v>
      </c>
      <c r="Q1943">
        <v>750</v>
      </c>
      <c r="R1943">
        <v>0.52</v>
      </c>
      <c r="S1943" t="s">
        <v>47</v>
      </c>
      <c r="T1943" s="1">
        <v>45543</v>
      </c>
      <c r="U1943">
        <v>0</v>
      </c>
    </row>
    <row r="1944" spans="1:21" x14ac:dyDescent="0.25">
      <c r="A1944" t="s">
        <v>1991</v>
      </c>
      <c r="B1944">
        <v>50</v>
      </c>
      <c r="C1944" t="s">
        <v>29</v>
      </c>
      <c r="D1944" t="s">
        <v>41</v>
      </c>
      <c r="E1944" t="s">
        <v>31</v>
      </c>
      <c r="F1944" t="s">
        <v>63</v>
      </c>
      <c r="G1944">
        <v>1629.16</v>
      </c>
      <c r="H1944">
        <v>1109.42</v>
      </c>
      <c r="I1944">
        <v>18162.89</v>
      </c>
      <c r="J1944" t="s">
        <v>37</v>
      </c>
      <c r="K1944" t="s">
        <v>38</v>
      </c>
      <c r="L1944">
        <v>0</v>
      </c>
      <c r="M1944">
        <v>0</v>
      </c>
      <c r="N1944">
        <v>0</v>
      </c>
      <c r="O1944">
        <v>0</v>
      </c>
      <c r="P1944">
        <v>0</v>
      </c>
      <c r="Q1944">
        <v>639</v>
      </c>
      <c r="R1944">
        <v>0.93</v>
      </c>
      <c r="S1944" t="s">
        <v>39</v>
      </c>
      <c r="T1944" s="1">
        <v>45679</v>
      </c>
      <c r="U1944">
        <v>0</v>
      </c>
    </row>
    <row r="1945" spans="1:21" x14ac:dyDescent="0.25">
      <c r="A1945" t="s">
        <v>1992</v>
      </c>
      <c r="B1945">
        <v>38</v>
      </c>
      <c r="C1945" t="s">
        <v>21</v>
      </c>
      <c r="D1945" t="s">
        <v>22</v>
      </c>
      <c r="E1945" t="s">
        <v>31</v>
      </c>
      <c r="F1945" t="s">
        <v>44</v>
      </c>
      <c r="G1945">
        <v>1609.52</v>
      </c>
      <c r="H1945">
        <v>1214.17</v>
      </c>
      <c r="I1945">
        <v>17468.830000000002</v>
      </c>
      <c r="J1945" t="s">
        <v>25</v>
      </c>
      <c r="K1945" t="s">
        <v>45</v>
      </c>
      <c r="L1945">
        <v>391010.95</v>
      </c>
      <c r="M1945">
        <v>360</v>
      </c>
      <c r="N1945">
        <v>2940.28</v>
      </c>
      <c r="O1945">
        <v>8.26</v>
      </c>
      <c r="P1945">
        <v>1.83</v>
      </c>
      <c r="Q1945">
        <v>605</v>
      </c>
      <c r="R1945">
        <v>0.9</v>
      </c>
      <c r="S1945" t="s">
        <v>39</v>
      </c>
      <c r="T1945" s="1">
        <v>45271</v>
      </c>
      <c r="U1945">
        <v>1</v>
      </c>
    </row>
    <row r="1946" spans="1:21" x14ac:dyDescent="0.25">
      <c r="A1946" t="s">
        <v>1993</v>
      </c>
      <c r="B1946">
        <v>40</v>
      </c>
      <c r="C1946" t="s">
        <v>29</v>
      </c>
      <c r="D1946" t="s">
        <v>41</v>
      </c>
      <c r="E1946" t="s">
        <v>51</v>
      </c>
      <c r="F1946" t="s">
        <v>63</v>
      </c>
      <c r="G1946">
        <v>6754.75</v>
      </c>
      <c r="H1946">
        <v>3895.78</v>
      </c>
      <c r="I1946">
        <v>10959.65</v>
      </c>
      <c r="J1946" t="s">
        <v>37</v>
      </c>
      <c r="K1946" t="s">
        <v>38</v>
      </c>
      <c r="L1946">
        <v>0</v>
      </c>
      <c r="M1946">
        <v>0</v>
      </c>
      <c r="N1946">
        <v>0</v>
      </c>
      <c r="O1946">
        <v>0</v>
      </c>
      <c r="P1946">
        <v>0</v>
      </c>
      <c r="Q1946">
        <v>713</v>
      </c>
      <c r="R1946">
        <v>0.14000000000000001</v>
      </c>
      <c r="S1946" t="s">
        <v>27</v>
      </c>
      <c r="T1946" s="1">
        <v>44782</v>
      </c>
      <c r="U1946">
        <v>0</v>
      </c>
    </row>
    <row r="1947" spans="1:21" x14ac:dyDescent="0.25">
      <c r="A1947" t="s">
        <v>1994</v>
      </c>
      <c r="B1947">
        <v>22</v>
      </c>
      <c r="C1947" t="s">
        <v>21</v>
      </c>
      <c r="D1947" t="s">
        <v>22</v>
      </c>
      <c r="E1947" t="s">
        <v>51</v>
      </c>
      <c r="F1947" t="s">
        <v>52</v>
      </c>
      <c r="G1947">
        <v>3969.91</v>
      </c>
      <c r="H1947">
        <v>1920.26</v>
      </c>
      <c r="I1947">
        <v>14412.27</v>
      </c>
      <c r="J1947" t="s">
        <v>37</v>
      </c>
      <c r="K1947" t="s">
        <v>38</v>
      </c>
      <c r="L1947">
        <v>0</v>
      </c>
      <c r="M1947">
        <v>0</v>
      </c>
      <c r="N1947">
        <v>0</v>
      </c>
      <c r="O1947">
        <v>0</v>
      </c>
      <c r="P1947">
        <v>0</v>
      </c>
      <c r="Q1947">
        <v>658</v>
      </c>
      <c r="R1947">
        <v>0.3</v>
      </c>
      <c r="S1947" t="s">
        <v>30</v>
      </c>
      <c r="T1947" s="1">
        <v>45608</v>
      </c>
      <c r="U1947">
        <v>0</v>
      </c>
    </row>
    <row r="1948" spans="1:21" x14ac:dyDescent="0.25">
      <c r="A1948" t="s">
        <v>1995</v>
      </c>
      <c r="B1948">
        <v>37</v>
      </c>
      <c r="C1948" t="s">
        <v>29</v>
      </c>
      <c r="D1948" t="s">
        <v>41</v>
      </c>
      <c r="E1948" t="s">
        <v>31</v>
      </c>
      <c r="F1948" t="s">
        <v>23</v>
      </c>
      <c r="G1948">
        <v>1199.1400000000001</v>
      </c>
      <c r="H1948">
        <v>924.71</v>
      </c>
      <c r="I1948">
        <v>5775.55</v>
      </c>
      <c r="J1948" t="s">
        <v>37</v>
      </c>
      <c r="K1948" t="s">
        <v>38</v>
      </c>
      <c r="L1948">
        <v>0</v>
      </c>
      <c r="M1948">
        <v>0</v>
      </c>
      <c r="N1948">
        <v>0</v>
      </c>
      <c r="O1948">
        <v>0</v>
      </c>
      <c r="P1948">
        <v>0</v>
      </c>
      <c r="Q1948">
        <v>712</v>
      </c>
      <c r="R1948">
        <v>0.4</v>
      </c>
      <c r="S1948" t="s">
        <v>72</v>
      </c>
      <c r="T1948" s="1">
        <v>44483</v>
      </c>
      <c r="U1948">
        <v>0</v>
      </c>
    </row>
    <row r="1949" spans="1:21" x14ac:dyDescent="0.25">
      <c r="A1949" t="s">
        <v>1996</v>
      </c>
      <c r="B1949">
        <v>25</v>
      </c>
      <c r="C1949" t="s">
        <v>30</v>
      </c>
      <c r="D1949" t="s">
        <v>41</v>
      </c>
      <c r="E1949" t="s">
        <v>23</v>
      </c>
      <c r="F1949" t="s">
        <v>32</v>
      </c>
      <c r="G1949">
        <v>2156.29</v>
      </c>
      <c r="H1949">
        <v>1779.83</v>
      </c>
      <c r="I1949">
        <v>25132.29</v>
      </c>
      <c r="J1949" t="s">
        <v>25</v>
      </c>
      <c r="K1949" t="s">
        <v>26</v>
      </c>
      <c r="L1949">
        <v>65312.55</v>
      </c>
      <c r="M1949">
        <v>300</v>
      </c>
      <c r="N1949">
        <v>338.64</v>
      </c>
      <c r="O1949">
        <v>3.83</v>
      </c>
      <c r="P1949">
        <v>0.16</v>
      </c>
      <c r="Q1949">
        <v>589</v>
      </c>
      <c r="R1949">
        <v>0.97</v>
      </c>
      <c r="S1949" t="s">
        <v>39</v>
      </c>
      <c r="T1949" s="1">
        <v>45208</v>
      </c>
      <c r="U1949">
        <v>0</v>
      </c>
    </row>
    <row r="1950" spans="1:21" x14ac:dyDescent="0.25">
      <c r="A1950" t="s">
        <v>1997</v>
      </c>
      <c r="B1950">
        <v>33</v>
      </c>
      <c r="C1950" t="s">
        <v>21</v>
      </c>
      <c r="D1950" t="s">
        <v>30</v>
      </c>
      <c r="E1950" t="s">
        <v>49</v>
      </c>
      <c r="F1950" t="s">
        <v>63</v>
      </c>
      <c r="G1950">
        <v>5469.47</v>
      </c>
      <c r="H1950">
        <v>4722.3900000000003</v>
      </c>
      <c r="I1950">
        <v>10075.9</v>
      </c>
      <c r="J1950" t="s">
        <v>25</v>
      </c>
      <c r="K1950" t="s">
        <v>54</v>
      </c>
      <c r="L1950">
        <v>22871.93</v>
      </c>
      <c r="M1950">
        <v>24</v>
      </c>
      <c r="N1950">
        <v>1258.2</v>
      </c>
      <c r="O1950">
        <v>28.24</v>
      </c>
      <c r="P1950">
        <v>0.23</v>
      </c>
      <c r="Q1950">
        <v>698</v>
      </c>
      <c r="R1950">
        <v>0.15</v>
      </c>
      <c r="S1950" t="s">
        <v>72</v>
      </c>
      <c r="T1950" s="1">
        <v>45444</v>
      </c>
      <c r="U1950">
        <v>0</v>
      </c>
    </row>
    <row r="1951" spans="1:21" x14ac:dyDescent="0.25">
      <c r="A1951" t="s">
        <v>1998</v>
      </c>
      <c r="B1951">
        <v>18</v>
      </c>
      <c r="C1951" t="s">
        <v>29</v>
      </c>
      <c r="D1951" t="s">
        <v>35</v>
      </c>
      <c r="E1951" t="s">
        <v>49</v>
      </c>
      <c r="F1951" t="s">
        <v>63</v>
      </c>
      <c r="G1951">
        <v>500</v>
      </c>
      <c r="H1951">
        <v>415.97</v>
      </c>
      <c r="I1951">
        <v>5807.49</v>
      </c>
      <c r="J1951" t="s">
        <v>37</v>
      </c>
      <c r="K1951" t="s">
        <v>38</v>
      </c>
      <c r="L1951">
        <v>0</v>
      </c>
      <c r="M1951">
        <v>0</v>
      </c>
      <c r="N1951">
        <v>0</v>
      </c>
      <c r="O1951">
        <v>0</v>
      </c>
      <c r="P1951">
        <v>0</v>
      </c>
      <c r="Q1951">
        <v>732</v>
      </c>
      <c r="R1951">
        <v>0.97</v>
      </c>
      <c r="S1951" t="s">
        <v>30</v>
      </c>
      <c r="T1951" s="1">
        <v>45110</v>
      </c>
      <c r="U1951">
        <v>0</v>
      </c>
    </row>
    <row r="1952" spans="1:21" x14ac:dyDescent="0.25">
      <c r="A1952" t="s">
        <v>1999</v>
      </c>
      <c r="B1952">
        <v>61</v>
      </c>
      <c r="C1952" t="s">
        <v>21</v>
      </c>
      <c r="D1952" t="s">
        <v>22</v>
      </c>
      <c r="E1952" t="s">
        <v>31</v>
      </c>
      <c r="F1952" t="s">
        <v>32</v>
      </c>
      <c r="G1952">
        <v>4828.83</v>
      </c>
      <c r="H1952">
        <v>4183.17</v>
      </c>
      <c r="I1952">
        <v>22429.040000000001</v>
      </c>
      <c r="J1952" t="s">
        <v>37</v>
      </c>
      <c r="K1952" t="s">
        <v>38</v>
      </c>
      <c r="L1952">
        <v>0</v>
      </c>
      <c r="M1952">
        <v>0</v>
      </c>
      <c r="N1952">
        <v>0</v>
      </c>
      <c r="O1952">
        <v>0</v>
      </c>
      <c r="P1952">
        <v>0</v>
      </c>
      <c r="Q1952">
        <v>552</v>
      </c>
      <c r="R1952">
        <v>0.39</v>
      </c>
      <c r="S1952" t="s">
        <v>30</v>
      </c>
      <c r="T1952" s="1">
        <v>45583</v>
      </c>
      <c r="U1952">
        <v>0</v>
      </c>
    </row>
    <row r="1953" spans="1:21" x14ac:dyDescent="0.25">
      <c r="A1953" t="s">
        <v>2000</v>
      </c>
      <c r="B1953">
        <v>55</v>
      </c>
      <c r="C1953" t="s">
        <v>29</v>
      </c>
      <c r="D1953" t="s">
        <v>30</v>
      </c>
      <c r="E1953" t="s">
        <v>23</v>
      </c>
      <c r="F1953" t="s">
        <v>63</v>
      </c>
      <c r="G1953">
        <v>4953.87</v>
      </c>
      <c r="H1953">
        <v>4414.67</v>
      </c>
      <c r="I1953">
        <v>54872.800000000003</v>
      </c>
      <c r="J1953" t="s">
        <v>37</v>
      </c>
      <c r="K1953" t="s">
        <v>38</v>
      </c>
      <c r="L1953">
        <v>0</v>
      </c>
      <c r="M1953">
        <v>0</v>
      </c>
      <c r="N1953">
        <v>0</v>
      </c>
      <c r="O1953">
        <v>0</v>
      </c>
      <c r="P1953">
        <v>0</v>
      </c>
      <c r="Q1953">
        <v>746</v>
      </c>
      <c r="R1953">
        <v>0.92</v>
      </c>
      <c r="S1953" t="s">
        <v>30</v>
      </c>
      <c r="T1953" s="1">
        <v>45806</v>
      </c>
      <c r="U1953">
        <v>0</v>
      </c>
    </row>
    <row r="1954" spans="1:21" x14ac:dyDescent="0.25">
      <c r="A1954" t="s">
        <v>2001</v>
      </c>
      <c r="B1954">
        <v>23</v>
      </c>
      <c r="C1954" t="s">
        <v>21</v>
      </c>
      <c r="D1954" t="s">
        <v>41</v>
      </c>
      <c r="E1954" t="s">
        <v>31</v>
      </c>
      <c r="F1954" t="s">
        <v>32</v>
      </c>
      <c r="G1954">
        <v>3200.88</v>
      </c>
      <c r="H1954">
        <v>1678.16</v>
      </c>
      <c r="I1954">
        <v>5085.2</v>
      </c>
      <c r="J1954" t="s">
        <v>37</v>
      </c>
      <c r="K1954" t="s">
        <v>38</v>
      </c>
      <c r="L1954">
        <v>0</v>
      </c>
      <c r="M1954">
        <v>0</v>
      </c>
      <c r="N1954">
        <v>0</v>
      </c>
      <c r="O1954">
        <v>0</v>
      </c>
      <c r="P1954">
        <v>0</v>
      </c>
      <c r="Q1954">
        <v>622</v>
      </c>
      <c r="R1954">
        <v>0.13</v>
      </c>
      <c r="S1954" t="s">
        <v>30</v>
      </c>
      <c r="T1954" s="1">
        <v>45553</v>
      </c>
      <c r="U1954">
        <v>0</v>
      </c>
    </row>
    <row r="1955" spans="1:21" x14ac:dyDescent="0.25">
      <c r="A1955" t="s">
        <v>2002</v>
      </c>
      <c r="B1955">
        <v>35</v>
      </c>
      <c r="C1955" t="s">
        <v>21</v>
      </c>
      <c r="D1955" t="s">
        <v>41</v>
      </c>
      <c r="E1955" t="s">
        <v>23</v>
      </c>
      <c r="F1955" t="s">
        <v>49</v>
      </c>
      <c r="G1955">
        <v>3176.7</v>
      </c>
      <c r="H1955">
        <v>2827.31</v>
      </c>
      <c r="I1955">
        <v>35463.760000000002</v>
      </c>
      <c r="J1955" t="s">
        <v>25</v>
      </c>
      <c r="K1955" t="s">
        <v>54</v>
      </c>
      <c r="L1955">
        <v>155020.59</v>
      </c>
      <c r="M1955">
        <v>180</v>
      </c>
      <c r="N1955">
        <v>3322.54</v>
      </c>
      <c r="O1955">
        <v>25.1</v>
      </c>
      <c r="P1955">
        <v>1.05</v>
      </c>
      <c r="Q1955">
        <v>817</v>
      </c>
      <c r="R1955">
        <v>0.93</v>
      </c>
      <c r="S1955" t="s">
        <v>72</v>
      </c>
      <c r="T1955" s="1">
        <v>45528</v>
      </c>
      <c r="U1955">
        <v>1</v>
      </c>
    </row>
    <row r="1956" spans="1:21" x14ac:dyDescent="0.25">
      <c r="A1956" t="s">
        <v>2003</v>
      </c>
      <c r="B1956">
        <v>38</v>
      </c>
      <c r="C1956" t="s">
        <v>29</v>
      </c>
      <c r="D1956" t="s">
        <v>30</v>
      </c>
      <c r="E1956" t="s">
        <v>51</v>
      </c>
      <c r="F1956" t="s">
        <v>44</v>
      </c>
      <c r="G1956">
        <v>6260.6</v>
      </c>
      <c r="H1956">
        <v>5498.48</v>
      </c>
      <c r="I1956">
        <v>8191.18</v>
      </c>
      <c r="J1956" t="s">
        <v>37</v>
      </c>
      <c r="K1956" t="s">
        <v>38</v>
      </c>
      <c r="L1956">
        <v>0</v>
      </c>
      <c r="M1956">
        <v>0</v>
      </c>
      <c r="N1956">
        <v>0</v>
      </c>
      <c r="O1956">
        <v>0</v>
      </c>
      <c r="P1956">
        <v>0</v>
      </c>
      <c r="Q1956">
        <v>394</v>
      </c>
      <c r="R1956">
        <v>0.11</v>
      </c>
      <c r="S1956" t="s">
        <v>39</v>
      </c>
      <c r="T1956" s="1">
        <v>44489</v>
      </c>
      <c r="U1956">
        <v>0</v>
      </c>
    </row>
    <row r="1957" spans="1:21" x14ac:dyDescent="0.25">
      <c r="A1957" t="s">
        <v>2004</v>
      </c>
      <c r="B1957">
        <v>31</v>
      </c>
      <c r="C1957" t="s">
        <v>21</v>
      </c>
      <c r="D1957" t="s">
        <v>41</v>
      </c>
      <c r="E1957" t="s">
        <v>31</v>
      </c>
      <c r="F1957" t="s">
        <v>32</v>
      </c>
      <c r="G1957">
        <v>1249.68</v>
      </c>
      <c r="H1957">
        <v>1118.47</v>
      </c>
      <c r="I1957">
        <v>4577.5200000000004</v>
      </c>
      <c r="J1957" t="s">
        <v>37</v>
      </c>
      <c r="K1957" t="s">
        <v>38</v>
      </c>
      <c r="L1957">
        <v>0</v>
      </c>
      <c r="M1957">
        <v>0</v>
      </c>
      <c r="N1957">
        <v>0</v>
      </c>
      <c r="O1957">
        <v>0</v>
      </c>
      <c r="P1957">
        <v>0</v>
      </c>
      <c r="Q1957">
        <v>518</v>
      </c>
      <c r="R1957">
        <v>0.31</v>
      </c>
      <c r="S1957" t="s">
        <v>72</v>
      </c>
      <c r="T1957" s="1">
        <v>45460</v>
      </c>
      <c r="U1957">
        <v>0</v>
      </c>
    </row>
    <row r="1958" spans="1:21" x14ac:dyDescent="0.25">
      <c r="A1958" t="s">
        <v>2005</v>
      </c>
      <c r="B1958">
        <v>29</v>
      </c>
      <c r="C1958" t="s">
        <v>29</v>
      </c>
      <c r="D1958" t="s">
        <v>30</v>
      </c>
      <c r="E1958" t="s">
        <v>31</v>
      </c>
      <c r="F1958" t="s">
        <v>49</v>
      </c>
      <c r="G1958">
        <v>2107.86</v>
      </c>
      <c r="H1958">
        <v>1320.81</v>
      </c>
      <c r="I1958">
        <v>23831.49</v>
      </c>
      <c r="J1958" t="s">
        <v>37</v>
      </c>
      <c r="K1958" t="s">
        <v>38</v>
      </c>
      <c r="L1958">
        <v>0</v>
      </c>
      <c r="M1958">
        <v>0</v>
      </c>
      <c r="N1958">
        <v>0</v>
      </c>
      <c r="O1958">
        <v>0</v>
      </c>
      <c r="P1958">
        <v>0</v>
      </c>
      <c r="Q1958">
        <v>508</v>
      </c>
      <c r="R1958">
        <v>0.94</v>
      </c>
      <c r="S1958" t="s">
        <v>27</v>
      </c>
      <c r="T1958" s="1">
        <v>45622</v>
      </c>
      <c r="U1958">
        <v>0</v>
      </c>
    </row>
    <row r="1959" spans="1:21" x14ac:dyDescent="0.25">
      <c r="A1959" t="s">
        <v>2006</v>
      </c>
      <c r="B1959">
        <v>59</v>
      </c>
      <c r="C1959" t="s">
        <v>29</v>
      </c>
      <c r="D1959" t="s">
        <v>35</v>
      </c>
      <c r="E1959" t="s">
        <v>49</v>
      </c>
      <c r="F1959" t="s">
        <v>42</v>
      </c>
      <c r="G1959">
        <v>10220.67</v>
      </c>
      <c r="H1959">
        <v>3635.66</v>
      </c>
      <c r="I1959">
        <v>81560.89</v>
      </c>
      <c r="J1959" t="s">
        <v>37</v>
      </c>
      <c r="K1959" t="s">
        <v>38</v>
      </c>
      <c r="L1959">
        <v>0</v>
      </c>
      <c r="M1959">
        <v>0</v>
      </c>
      <c r="N1959">
        <v>0</v>
      </c>
      <c r="O1959">
        <v>0</v>
      </c>
      <c r="P1959">
        <v>0</v>
      </c>
      <c r="Q1959">
        <v>398</v>
      </c>
      <c r="R1959">
        <v>0.66</v>
      </c>
      <c r="S1959" t="s">
        <v>47</v>
      </c>
      <c r="T1959" s="1">
        <v>45272</v>
      </c>
      <c r="U1959">
        <v>0</v>
      </c>
    </row>
    <row r="1960" spans="1:21" x14ac:dyDescent="0.25">
      <c r="A1960" t="s">
        <v>2007</v>
      </c>
      <c r="B1960">
        <v>48</v>
      </c>
      <c r="C1960" t="s">
        <v>21</v>
      </c>
      <c r="D1960" t="s">
        <v>22</v>
      </c>
      <c r="E1960" t="s">
        <v>23</v>
      </c>
      <c r="F1960" t="s">
        <v>49</v>
      </c>
      <c r="G1960">
        <v>5133.6099999999997</v>
      </c>
      <c r="H1960">
        <v>1804.77</v>
      </c>
      <c r="I1960">
        <v>40149.17</v>
      </c>
      <c r="J1960" t="s">
        <v>37</v>
      </c>
      <c r="K1960" t="s">
        <v>38</v>
      </c>
      <c r="L1960">
        <v>0</v>
      </c>
      <c r="M1960">
        <v>0</v>
      </c>
      <c r="N1960">
        <v>0</v>
      </c>
      <c r="O1960">
        <v>0</v>
      </c>
      <c r="P1960">
        <v>0</v>
      </c>
      <c r="Q1960">
        <v>761</v>
      </c>
      <c r="R1960">
        <v>0.65</v>
      </c>
      <c r="S1960" t="s">
        <v>72</v>
      </c>
      <c r="T1960" s="1">
        <v>45026</v>
      </c>
      <c r="U1960">
        <v>0</v>
      </c>
    </row>
    <row r="1961" spans="1:21" x14ac:dyDescent="0.25">
      <c r="A1961" t="s">
        <v>2008</v>
      </c>
      <c r="B1961">
        <v>31</v>
      </c>
      <c r="C1961" t="s">
        <v>29</v>
      </c>
      <c r="D1961" t="s">
        <v>41</v>
      </c>
      <c r="E1961" t="s">
        <v>31</v>
      </c>
      <c r="F1961" t="s">
        <v>52</v>
      </c>
      <c r="G1961">
        <v>5806.52</v>
      </c>
      <c r="H1961">
        <v>4336.63</v>
      </c>
      <c r="I1961">
        <v>60846.15</v>
      </c>
      <c r="J1961" t="s">
        <v>37</v>
      </c>
      <c r="K1961" t="s">
        <v>38</v>
      </c>
      <c r="L1961">
        <v>0</v>
      </c>
      <c r="M1961">
        <v>0</v>
      </c>
      <c r="N1961">
        <v>0</v>
      </c>
      <c r="O1961">
        <v>0</v>
      </c>
      <c r="P1961">
        <v>0</v>
      </c>
      <c r="Q1961">
        <v>771</v>
      </c>
      <c r="R1961">
        <v>0.87</v>
      </c>
      <c r="S1961" t="s">
        <v>30</v>
      </c>
      <c r="T1961" s="1">
        <v>45296</v>
      </c>
      <c r="U1961">
        <v>0</v>
      </c>
    </row>
    <row r="1962" spans="1:21" x14ac:dyDescent="0.25">
      <c r="A1962" t="s">
        <v>2009</v>
      </c>
      <c r="B1962">
        <v>24</v>
      </c>
      <c r="C1962" t="s">
        <v>29</v>
      </c>
      <c r="D1962" t="s">
        <v>22</v>
      </c>
      <c r="E1962" t="s">
        <v>31</v>
      </c>
      <c r="F1962" t="s">
        <v>42</v>
      </c>
      <c r="G1962">
        <v>6110.42</v>
      </c>
      <c r="H1962">
        <v>2209.54</v>
      </c>
      <c r="I1962">
        <v>48764.09</v>
      </c>
      <c r="J1962" t="s">
        <v>37</v>
      </c>
      <c r="K1962" t="s">
        <v>38</v>
      </c>
      <c r="L1962">
        <v>0</v>
      </c>
      <c r="M1962">
        <v>0</v>
      </c>
      <c r="N1962">
        <v>0</v>
      </c>
      <c r="O1962">
        <v>0</v>
      </c>
      <c r="P1962">
        <v>0</v>
      </c>
      <c r="Q1962">
        <v>715</v>
      </c>
      <c r="R1962">
        <v>0.67</v>
      </c>
      <c r="S1962" t="s">
        <v>72</v>
      </c>
      <c r="T1962" s="1">
        <v>45024</v>
      </c>
      <c r="U1962">
        <v>0</v>
      </c>
    </row>
    <row r="1963" spans="1:21" x14ac:dyDescent="0.25">
      <c r="A1963" t="s">
        <v>2010</v>
      </c>
      <c r="B1963">
        <v>44</v>
      </c>
      <c r="C1963" t="s">
        <v>21</v>
      </c>
      <c r="D1963" t="s">
        <v>35</v>
      </c>
      <c r="E1963" t="s">
        <v>23</v>
      </c>
      <c r="F1963" t="s">
        <v>44</v>
      </c>
      <c r="G1963">
        <v>4114.1499999999996</v>
      </c>
      <c r="H1963">
        <v>2972.66</v>
      </c>
      <c r="I1963">
        <v>35814.67</v>
      </c>
      <c r="J1963" t="s">
        <v>37</v>
      </c>
      <c r="K1963" t="s">
        <v>38</v>
      </c>
      <c r="L1963">
        <v>0</v>
      </c>
      <c r="M1963">
        <v>0</v>
      </c>
      <c r="N1963">
        <v>0</v>
      </c>
      <c r="O1963">
        <v>0</v>
      </c>
      <c r="P1963">
        <v>0</v>
      </c>
      <c r="Q1963">
        <v>421</v>
      </c>
      <c r="R1963">
        <v>0.73</v>
      </c>
      <c r="S1963" t="s">
        <v>72</v>
      </c>
      <c r="T1963" s="1">
        <v>44700</v>
      </c>
      <c r="U1963">
        <v>0</v>
      </c>
    </row>
    <row r="1964" spans="1:21" x14ac:dyDescent="0.25">
      <c r="A1964" t="s">
        <v>2011</v>
      </c>
      <c r="B1964">
        <v>19</v>
      </c>
      <c r="C1964" t="s">
        <v>29</v>
      </c>
      <c r="D1964" t="s">
        <v>35</v>
      </c>
      <c r="E1964" t="s">
        <v>31</v>
      </c>
      <c r="F1964" t="s">
        <v>36</v>
      </c>
      <c r="G1964">
        <v>3436.55</v>
      </c>
      <c r="H1964">
        <v>2029.99</v>
      </c>
      <c r="I1964">
        <v>7326.15</v>
      </c>
      <c r="J1964" t="s">
        <v>25</v>
      </c>
      <c r="K1964" t="s">
        <v>45</v>
      </c>
      <c r="L1964">
        <v>46797.75</v>
      </c>
      <c r="M1964">
        <v>36</v>
      </c>
      <c r="N1964">
        <v>1986.38</v>
      </c>
      <c r="O1964">
        <v>29.99</v>
      </c>
      <c r="P1964">
        <v>0.57999999999999996</v>
      </c>
      <c r="Q1964">
        <v>604</v>
      </c>
      <c r="R1964">
        <v>0.18</v>
      </c>
      <c r="S1964" t="s">
        <v>27</v>
      </c>
      <c r="T1964" s="1">
        <v>45710</v>
      </c>
      <c r="U1964">
        <v>1</v>
      </c>
    </row>
    <row r="1965" spans="1:21" x14ac:dyDescent="0.25">
      <c r="A1965" t="s">
        <v>2012</v>
      </c>
      <c r="B1965">
        <v>33</v>
      </c>
      <c r="C1965" t="s">
        <v>21</v>
      </c>
      <c r="D1965" t="s">
        <v>35</v>
      </c>
      <c r="E1965" t="s">
        <v>31</v>
      </c>
      <c r="F1965" t="s">
        <v>49</v>
      </c>
      <c r="G1965">
        <v>2545.39</v>
      </c>
      <c r="H1965">
        <v>1554.75</v>
      </c>
      <c r="I1965">
        <v>19195.650000000001</v>
      </c>
      <c r="J1965" t="s">
        <v>37</v>
      </c>
      <c r="K1965" t="s">
        <v>38</v>
      </c>
      <c r="L1965">
        <v>0</v>
      </c>
      <c r="M1965">
        <v>0</v>
      </c>
      <c r="N1965">
        <v>0</v>
      </c>
      <c r="O1965">
        <v>0</v>
      </c>
      <c r="P1965">
        <v>0</v>
      </c>
      <c r="Q1965">
        <v>694</v>
      </c>
      <c r="R1965">
        <v>0.63</v>
      </c>
      <c r="S1965" t="s">
        <v>72</v>
      </c>
      <c r="T1965" s="1">
        <v>45094</v>
      </c>
      <c r="U1965">
        <v>0</v>
      </c>
    </row>
    <row r="1966" spans="1:21" x14ac:dyDescent="0.25">
      <c r="A1966" t="s">
        <v>2013</v>
      </c>
      <c r="B1966">
        <v>49</v>
      </c>
      <c r="C1966" t="s">
        <v>30</v>
      </c>
      <c r="D1966" t="s">
        <v>35</v>
      </c>
      <c r="E1966" t="s">
        <v>49</v>
      </c>
      <c r="F1966" t="s">
        <v>24</v>
      </c>
      <c r="G1966">
        <v>5221.47</v>
      </c>
      <c r="H1966">
        <v>3452.38</v>
      </c>
      <c r="I1966">
        <v>35334.85</v>
      </c>
      <c r="J1966" t="s">
        <v>25</v>
      </c>
      <c r="K1966" t="s">
        <v>54</v>
      </c>
      <c r="L1966">
        <v>129491.51</v>
      </c>
      <c r="M1966">
        <v>36</v>
      </c>
      <c r="N1966">
        <v>5162.95</v>
      </c>
      <c r="O1966">
        <v>25.21</v>
      </c>
      <c r="P1966">
        <v>0.99</v>
      </c>
      <c r="Q1966">
        <v>644</v>
      </c>
      <c r="R1966">
        <v>0.56000000000000005</v>
      </c>
      <c r="S1966" t="s">
        <v>72</v>
      </c>
      <c r="T1966" s="1">
        <v>45797</v>
      </c>
      <c r="U1966">
        <v>1</v>
      </c>
    </row>
    <row r="1967" spans="1:21" x14ac:dyDescent="0.25">
      <c r="A1967" t="s">
        <v>2014</v>
      </c>
      <c r="B1967">
        <v>38</v>
      </c>
      <c r="C1967" t="s">
        <v>21</v>
      </c>
      <c r="D1967" t="s">
        <v>41</v>
      </c>
      <c r="E1967" t="s">
        <v>31</v>
      </c>
      <c r="F1967" t="s">
        <v>44</v>
      </c>
      <c r="G1967">
        <v>4207.95</v>
      </c>
      <c r="H1967">
        <v>3618.81</v>
      </c>
      <c r="I1967">
        <v>13689.84</v>
      </c>
      <c r="J1967" t="s">
        <v>37</v>
      </c>
      <c r="K1967" t="s">
        <v>38</v>
      </c>
      <c r="L1967">
        <v>0</v>
      </c>
      <c r="M1967">
        <v>0</v>
      </c>
      <c r="N1967">
        <v>0</v>
      </c>
      <c r="O1967">
        <v>0</v>
      </c>
      <c r="P1967">
        <v>0</v>
      </c>
      <c r="Q1967">
        <v>799</v>
      </c>
      <c r="R1967">
        <v>0.27</v>
      </c>
      <c r="S1967" t="s">
        <v>47</v>
      </c>
      <c r="T1967" s="1">
        <v>45463</v>
      </c>
      <c r="U1967">
        <v>0</v>
      </c>
    </row>
    <row r="1968" spans="1:21" x14ac:dyDescent="0.25">
      <c r="A1968" t="s">
        <v>2015</v>
      </c>
      <c r="B1968">
        <v>35</v>
      </c>
      <c r="C1968" t="s">
        <v>29</v>
      </c>
      <c r="D1968" t="s">
        <v>41</v>
      </c>
      <c r="E1968" t="s">
        <v>31</v>
      </c>
      <c r="F1968" t="s">
        <v>42</v>
      </c>
      <c r="G1968">
        <v>5194.41</v>
      </c>
      <c r="H1968">
        <v>3687.68</v>
      </c>
      <c r="I1968">
        <v>34152.29</v>
      </c>
      <c r="J1968" t="s">
        <v>37</v>
      </c>
      <c r="K1968" t="s">
        <v>38</v>
      </c>
      <c r="L1968">
        <v>0</v>
      </c>
      <c r="M1968">
        <v>0</v>
      </c>
      <c r="N1968">
        <v>0</v>
      </c>
      <c r="O1968">
        <v>0</v>
      </c>
      <c r="P1968">
        <v>0</v>
      </c>
      <c r="Q1968">
        <v>800</v>
      </c>
      <c r="R1968">
        <v>0.55000000000000004</v>
      </c>
      <c r="S1968" t="s">
        <v>47</v>
      </c>
      <c r="T1968" s="1">
        <v>45159</v>
      </c>
      <c r="U1968">
        <v>0</v>
      </c>
    </row>
    <row r="1969" spans="1:21" x14ac:dyDescent="0.25">
      <c r="A1969" t="s">
        <v>2016</v>
      </c>
      <c r="B1969">
        <v>68</v>
      </c>
      <c r="C1969" t="s">
        <v>29</v>
      </c>
      <c r="D1969" t="s">
        <v>35</v>
      </c>
      <c r="E1969" t="s">
        <v>31</v>
      </c>
      <c r="F1969" t="s">
        <v>32</v>
      </c>
      <c r="G1969">
        <v>4575.8500000000004</v>
      </c>
      <c r="H1969">
        <v>2938.84</v>
      </c>
      <c r="I1969">
        <v>36433.53</v>
      </c>
      <c r="J1969" t="s">
        <v>37</v>
      </c>
      <c r="K1969" t="s">
        <v>38</v>
      </c>
      <c r="L1969">
        <v>0</v>
      </c>
      <c r="M1969">
        <v>0</v>
      </c>
      <c r="N1969">
        <v>0</v>
      </c>
      <c r="O1969">
        <v>0</v>
      </c>
      <c r="P1969">
        <v>0</v>
      </c>
      <c r="Q1969">
        <v>411</v>
      </c>
      <c r="R1969">
        <v>0.66</v>
      </c>
      <c r="S1969" t="s">
        <v>39</v>
      </c>
      <c r="T1969" s="1">
        <v>45017</v>
      </c>
      <c r="U1969">
        <v>0</v>
      </c>
    </row>
    <row r="1970" spans="1:21" x14ac:dyDescent="0.25">
      <c r="A1970" t="s">
        <v>2017</v>
      </c>
      <c r="B1970">
        <v>33</v>
      </c>
      <c r="C1970" t="s">
        <v>29</v>
      </c>
      <c r="D1970" t="s">
        <v>41</v>
      </c>
      <c r="E1970" t="s">
        <v>31</v>
      </c>
      <c r="F1970" t="s">
        <v>44</v>
      </c>
      <c r="G1970">
        <v>3952.81</v>
      </c>
      <c r="H1970">
        <v>2558.2600000000002</v>
      </c>
      <c r="I1970">
        <v>5292.46</v>
      </c>
      <c r="J1970" t="s">
        <v>37</v>
      </c>
      <c r="K1970" t="s">
        <v>38</v>
      </c>
      <c r="L1970">
        <v>0</v>
      </c>
      <c r="M1970">
        <v>0</v>
      </c>
      <c r="N1970">
        <v>0</v>
      </c>
      <c r="O1970">
        <v>0</v>
      </c>
      <c r="P1970">
        <v>0</v>
      </c>
      <c r="Q1970">
        <v>359</v>
      </c>
      <c r="R1970">
        <v>0.11</v>
      </c>
      <c r="S1970" t="s">
        <v>47</v>
      </c>
      <c r="T1970" s="1">
        <v>44478</v>
      </c>
      <c r="U1970">
        <v>0</v>
      </c>
    </row>
    <row r="1971" spans="1:21" x14ac:dyDescent="0.25">
      <c r="A1971" t="s">
        <v>2018</v>
      </c>
      <c r="B1971">
        <v>64</v>
      </c>
      <c r="C1971" t="s">
        <v>21</v>
      </c>
      <c r="D1971" t="s">
        <v>41</v>
      </c>
      <c r="E1971" t="s">
        <v>31</v>
      </c>
      <c r="F1971" t="s">
        <v>24</v>
      </c>
      <c r="G1971">
        <v>1149.08</v>
      </c>
      <c r="H1971">
        <v>553.83000000000004</v>
      </c>
      <c r="I1971">
        <v>11288.11</v>
      </c>
      <c r="J1971" t="s">
        <v>37</v>
      </c>
      <c r="K1971" t="s">
        <v>38</v>
      </c>
      <c r="L1971">
        <v>0</v>
      </c>
      <c r="M1971">
        <v>0</v>
      </c>
      <c r="N1971">
        <v>0</v>
      </c>
      <c r="O1971">
        <v>0</v>
      </c>
      <c r="P1971">
        <v>0</v>
      </c>
      <c r="Q1971">
        <v>636</v>
      </c>
      <c r="R1971">
        <v>0.82</v>
      </c>
      <c r="S1971" t="s">
        <v>39</v>
      </c>
      <c r="T1971" s="1">
        <v>44689</v>
      </c>
      <c r="U1971">
        <v>0</v>
      </c>
    </row>
    <row r="1972" spans="1:21" x14ac:dyDescent="0.25">
      <c r="A1972" t="s">
        <v>2019</v>
      </c>
      <c r="B1972">
        <v>46</v>
      </c>
      <c r="C1972" t="s">
        <v>29</v>
      </c>
      <c r="D1972" t="s">
        <v>41</v>
      </c>
      <c r="E1972" t="s">
        <v>31</v>
      </c>
      <c r="F1972" t="s">
        <v>36</v>
      </c>
      <c r="G1972">
        <v>6602.74</v>
      </c>
      <c r="H1972">
        <v>5043.8999999999996</v>
      </c>
      <c r="I1972">
        <v>44097.9</v>
      </c>
      <c r="J1972" t="s">
        <v>25</v>
      </c>
      <c r="K1972" t="s">
        <v>26</v>
      </c>
      <c r="L1972">
        <v>141768.48000000001</v>
      </c>
      <c r="M1972">
        <v>240</v>
      </c>
      <c r="N1972">
        <v>1898.29</v>
      </c>
      <c r="O1972">
        <v>15.3</v>
      </c>
      <c r="P1972">
        <v>0.28999999999999998</v>
      </c>
      <c r="Q1972">
        <v>616</v>
      </c>
      <c r="R1972">
        <v>0.56000000000000005</v>
      </c>
      <c r="S1972" t="s">
        <v>27</v>
      </c>
      <c r="T1972" s="1">
        <v>45699</v>
      </c>
      <c r="U1972">
        <v>0</v>
      </c>
    </row>
    <row r="1973" spans="1:21" x14ac:dyDescent="0.25">
      <c r="A1973" t="s">
        <v>2020</v>
      </c>
      <c r="B1973">
        <v>36</v>
      </c>
      <c r="C1973" t="s">
        <v>30</v>
      </c>
      <c r="D1973" t="s">
        <v>35</v>
      </c>
      <c r="E1973" t="s">
        <v>31</v>
      </c>
      <c r="F1973" t="s">
        <v>32</v>
      </c>
      <c r="G1973">
        <v>3622.47</v>
      </c>
      <c r="H1973">
        <v>2613.9899999999998</v>
      </c>
      <c r="I1973">
        <v>20119</v>
      </c>
      <c r="J1973" t="s">
        <v>25</v>
      </c>
      <c r="K1973" t="s">
        <v>45</v>
      </c>
      <c r="L1973">
        <v>222004.74</v>
      </c>
      <c r="M1973">
        <v>360</v>
      </c>
      <c r="N1973">
        <v>1933.5</v>
      </c>
      <c r="O1973">
        <v>9.91</v>
      </c>
      <c r="P1973">
        <v>0.53</v>
      </c>
      <c r="Q1973">
        <v>402</v>
      </c>
      <c r="R1973">
        <v>0.46</v>
      </c>
      <c r="S1973" t="s">
        <v>47</v>
      </c>
      <c r="T1973" s="1">
        <v>45202</v>
      </c>
      <c r="U1973">
        <v>1</v>
      </c>
    </row>
    <row r="1974" spans="1:21" x14ac:dyDescent="0.25">
      <c r="A1974" t="s">
        <v>2021</v>
      </c>
      <c r="B1974">
        <v>42</v>
      </c>
      <c r="C1974" t="s">
        <v>21</v>
      </c>
      <c r="D1974" t="s">
        <v>30</v>
      </c>
      <c r="E1974" t="s">
        <v>31</v>
      </c>
      <c r="F1974" t="s">
        <v>49</v>
      </c>
      <c r="G1974">
        <v>6643.17</v>
      </c>
      <c r="H1974">
        <v>4991.78</v>
      </c>
      <c r="I1974">
        <v>24250.720000000001</v>
      </c>
      <c r="J1974" t="s">
        <v>37</v>
      </c>
      <c r="K1974" t="s">
        <v>38</v>
      </c>
      <c r="L1974">
        <v>0</v>
      </c>
      <c r="M1974">
        <v>0</v>
      </c>
      <c r="N1974">
        <v>0</v>
      </c>
      <c r="O1974">
        <v>0</v>
      </c>
      <c r="P1974">
        <v>0</v>
      </c>
      <c r="Q1974">
        <v>691</v>
      </c>
      <c r="R1974">
        <v>0.3</v>
      </c>
      <c r="S1974" t="s">
        <v>30</v>
      </c>
      <c r="T1974" s="1">
        <v>44858</v>
      </c>
      <c r="U1974">
        <v>0</v>
      </c>
    </row>
    <row r="1975" spans="1:21" x14ac:dyDescent="0.25">
      <c r="A1975" t="s">
        <v>2022</v>
      </c>
      <c r="B1975">
        <v>68</v>
      </c>
      <c r="C1975" t="s">
        <v>21</v>
      </c>
      <c r="D1975" t="s">
        <v>35</v>
      </c>
      <c r="E1975" t="s">
        <v>31</v>
      </c>
      <c r="F1975" t="s">
        <v>23</v>
      </c>
      <c r="G1975">
        <v>5103.0600000000004</v>
      </c>
      <c r="H1975">
        <v>1716.17</v>
      </c>
      <c r="I1975">
        <v>50856.34</v>
      </c>
      <c r="J1975" t="s">
        <v>25</v>
      </c>
      <c r="K1975" t="s">
        <v>26</v>
      </c>
      <c r="L1975">
        <v>141713.95000000001</v>
      </c>
      <c r="M1975">
        <v>360</v>
      </c>
      <c r="N1975">
        <v>1617.64</v>
      </c>
      <c r="O1975">
        <v>13.45</v>
      </c>
      <c r="P1975">
        <v>0.32</v>
      </c>
      <c r="Q1975">
        <v>692</v>
      </c>
      <c r="R1975">
        <v>0.83</v>
      </c>
      <c r="S1975" t="s">
        <v>72</v>
      </c>
      <c r="T1975" s="1">
        <v>45262</v>
      </c>
      <c r="U1975">
        <v>0</v>
      </c>
    </row>
    <row r="1976" spans="1:21" x14ac:dyDescent="0.25">
      <c r="A1976" t="s">
        <v>2023</v>
      </c>
      <c r="B1976">
        <v>39</v>
      </c>
      <c r="C1976" t="s">
        <v>29</v>
      </c>
      <c r="D1976" t="s">
        <v>22</v>
      </c>
      <c r="E1976" t="s">
        <v>51</v>
      </c>
      <c r="F1976" t="s">
        <v>52</v>
      </c>
      <c r="G1976">
        <v>6726.55</v>
      </c>
      <c r="H1976">
        <v>5124.79</v>
      </c>
      <c r="I1976">
        <v>33299.51</v>
      </c>
      <c r="J1976" t="s">
        <v>37</v>
      </c>
      <c r="K1976" t="s">
        <v>38</v>
      </c>
      <c r="L1976">
        <v>0</v>
      </c>
      <c r="M1976">
        <v>0</v>
      </c>
      <c r="N1976">
        <v>0</v>
      </c>
      <c r="O1976">
        <v>0</v>
      </c>
      <c r="P1976">
        <v>0</v>
      </c>
      <c r="Q1976">
        <v>662</v>
      </c>
      <c r="R1976">
        <v>0.41</v>
      </c>
      <c r="S1976" t="s">
        <v>47</v>
      </c>
      <c r="T1976" s="1">
        <v>45679</v>
      </c>
      <c r="U1976">
        <v>0</v>
      </c>
    </row>
    <row r="1977" spans="1:21" x14ac:dyDescent="0.25">
      <c r="A1977" t="s">
        <v>2024</v>
      </c>
      <c r="B1977">
        <v>69</v>
      </c>
      <c r="C1977" t="s">
        <v>21</v>
      </c>
      <c r="D1977" t="s">
        <v>35</v>
      </c>
      <c r="E1977" t="s">
        <v>49</v>
      </c>
      <c r="F1977" t="s">
        <v>52</v>
      </c>
      <c r="G1977">
        <v>2109.48</v>
      </c>
      <c r="H1977">
        <v>680.82</v>
      </c>
      <c r="I1977">
        <v>18454.63</v>
      </c>
      <c r="J1977" t="s">
        <v>25</v>
      </c>
      <c r="K1977" t="s">
        <v>26</v>
      </c>
      <c r="L1977">
        <v>116440.3</v>
      </c>
      <c r="M1977">
        <v>36</v>
      </c>
      <c r="N1977">
        <v>3711.99</v>
      </c>
      <c r="O1977">
        <v>9.17</v>
      </c>
      <c r="P1977">
        <v>1.76</v>
      </c>
      <c r="Q1977">
        <v>846</v>
      </c>
      <c r="R1977">
        <v>0.73</v>
      </c>
      <c r="S1977" t="s">
        <v>30</v>
      </c>
      <c r="T1977" s="1">
        <v>44911</v>
      </c>
      <c r="U1977">
        <v>1</v>
      </c>
    </row>
    <row r="1978" spans="1:21" x14ac:dyDescent="0.25">
      <c r="A1978" t="s">
        <v>2025</v>
      </c>
      <c r="B1978">
        <v>36</v>
      </c>
      <c r="C1978" t="s">
        <v>21</v>
      </c>
      <c r="D1978" t="s">
        <v>35</v>
      </c>
      <c r="E1978" t="s">
        <v>31</v>
      </c>
      <c r="F1978" t="s">
        <v>52</v>
      </c>
      <c r="G1978">
        <v>4106.3599999999997</v>
      </c>
      <c r="H1978">
        <v>2917.73</v>
      </c>
      <c r="I1978">
        <v>43763.77</v>
      </c>
      <c r="J1978" t="s">
        <v>25</v>
      </c>
      <c r="K1978" t="s">
        <v>33</v>
      </c>
      <c r="L1978">
        <v>459653.26</v>
      </c>
      <c r="M1978">
        <v>120</v>
      </c>
      <c r="N1978">
        <v>4459.7</v>
      </c>
      <c r="O1978">
        <v>3.1</v>
      </c>
      <c r="P1978">
        <v>1.0900000000000001</v>
      </c>
      <c r="Q1978">
        <v>444</v>
      </c>
      <c r="R1978">
        <v>0.89</v>
      </c>
      <c r="S1978" t="s">
        <v>30</v>
      </c>
      <c r="T1978" s="1">
        <v>45156</v>
      </c>
      <c r="U1978">
        <v>1</v>
      </c>
    </row>
    <row r="1979" spans="1:21" x14ac:dyDescent="0.25">
      <c r="A1979" t="s">
        <v>2026</v>
      </c>
      <c r="B1979">
        <v>24</v>
      </c>
      <c r="C1979" t="s">
        <v>21</v>
      </c>
      <c r="D1979" t="s">
        <v>35</v>
      </c>
      <c r="E1979" t="s">
        <v>49</v>
      </c>
      <c r="F1979" t="s">
        <v>44</v>
      </c>
      <c r="G1979">
        <v>3380.09</v>
      </c>
      <c r="H1979">
        <v>2959.95</v>
      </c>
      <c r="I1979">
        <v>38728.120000000003</v>
      </c>
      <c r="J1979" t="s">
        <v>37</v>
      </c>
      <c r="K1979" t="s">
        <v>38</v>
      </c>
      <c r="L1979">
        <v>0</v>
      </c>
      <c r="M1979">
        <v>0</v>
      </c>
      <c r="N1979">
        <v>0</v>
      </c>
      <c r="O1979">
        <v>0</v>
      </c>
      <c r="P1979">
        <v>0</v>
      </c>
      <c r="Q1979">
        <v>504</v>
      </c>
      <c r="R1979">
        <v>0.95</v>
      </c>
      <c r="S1979" t="s">
        <v>39</v>
      </c>
      <c r="T1979" s="1">
        <v>44589</v>
      </c>
      <c r="U1979">
        <v>0</v>
      </c>
    </row>
    <row r="1980" spans="1:21" x14ac:dyDescent="0.25">
      <c r="A1980" t="s">
        <v>2027</v>
      </c>
      <c r="B1980">
        <v>40</v>
      </c>
      <c r="C1980" t="s">
        <v>21</v>
      </c>
      <c r="D1980" t="s">
        <v>22</v>
      </c>
      <c r="E1980" t="s">
        <v>31</v>
      </c>
      <c r="F1980" t="s">
        <v>49</v>
      </c>
      <c r="G1980">
        <v>3331.85</v>
      </c>
      <c r="H1980">
        <v>1514.92</v>
      </c>
      <c r="I1980">
        <v>39108.57</v>
      </c>
      <c r="J1980" t="s">
        <v>37</v>
      </c>
      <c r="K1980" t="s">
        <v>38</v>
      </c>
      <c r="L1980">
        <v>0</v>
      </c>
      <c r="M1980">
        <v>0</v>
      </c>
      <c r="N1980">
        <v>0</v>
      </c>
      <c r="O1980">
        <v>0</v>
      </c>
      <c r="P1980">
        <v>0</v>
      </c>
      <c r="Q1980">
        <v>501</v>
      </c>
      <c r="R1980">
        <v>0.98</v>
      </c>
      <c r="S1980" t="s">
        <v>27</v>
      </c>
      <c r="T1980" s="1">
        <v>45654</v>
      </c>
      <c r="U1980">
        <v>0</v>
      </c>
    </row>
    <row r="1981" spans="1:21" x14ac:dyDescent="0.25">
      <c r="A1981" t="s">
        <v>2028</v>
      </c>
      <c r="B1981">
        <v>44</v>
      </c>
      <c r="C1981" t="s">
        <v>29</v>
      </c>
      <c r="D1981" t="s">
        <v>41</v>
      </c>
      <c r="E1981" t="s">
        <v>31</v>
      </c>
      <c r="F1981" t="s">
        <v>63</v>
      </c>
      <c r="G1981">
        <v>3264.83</v>
      </c>
      <c r="H1981">
        <v>1492.95</v>
      </c>
      <c r="I1981">
        <v>17257.25</v>
      </c>
      <c r="J1981" t="s">
        <v>25</v>
      </c>
      <c r="K1981" t="s">
        <v>45</v>
      </c>
      <c r="L1981">
        <v>292136.56</v>
      </c>
      <c r="M1981">
        <v>120</v>
      </c>
      <c r="N1981">
        <v>4032.45</v>
      </c>
      <c r="O1981">
        <v>11.05</v>
      </c>
      <c r="P1981">
        <v>1.24</v>
      </c>
      <c r="Q1981">
        <v>543</v>
      </c>
      <c r="R1981">
        <v>0.44</v>
      </c>
      <c r="S1981" t="s">
        <v>30</v>
      </c>
      <c r="T1981" s="1">
        <v>45646</v>
      </c>
      <c r="U1981">
        <v>1</v>
      </c>
    </row>
    <row r="1982" spans="1:21" x14ac:dyDescent="0.25">
      <c r="A1982" t="s">
        <v>2029</v>
      </c>
      <c r="B1982">
        <v>65</v>
      </c>
      <c r="C1982" t="s">
        <v>21</v>
      </c>
      <c r="D1982" t="s">
        <v>35</v>
      </c>
      <c r="E1982" t="s">
        <v>23</v>
      </c>
      <c r="F1982" t="s">
        <v>24</v>
      </c>
      <c r="G1982">
        <v>8911.32</v>
      </c>
      <c r="H1982">
        <v>3935.42</v>
      </c>
      <c r="I1982">
        <v>52427.25</v>
      </c>
      <c r="J1982" t="s">
        <v>37</v>
      </c>
      <c r="K1982" t="s">
        <v>38</v>
      </c>
      <c r="L1982">
        <v>0</v>
      </c>
      <c r="M1982">
        <v>0</v>
      </c>
      <c r="N1982">
        <v>0</v>
      </c>
      <c r="O1982">
        <v>0</v>
      </c>
      <c r="P1982">
        <v>0</v>
      </c>
      <c r="Q1982">
        <v>644</v>
      </c>
      <c r="R1982">
        <v>0.49</v>
      </c>
      <c r="S1982" t="s">
        <v>27</v>
      </c>
      <c r="T1982" s="1">
        <v>45840</v>
      </c>
      <c r="U1982">
        <v>0</v>
      </c>
    </row>
    <row r="1983" spans="1:21" x14ac:dyDescent="0.25">
      <c r="A1983" t="s">
        <v>2030</v>
      </c>
      <c r="B1983">
        <v>59</v>
      </c>
      <c r="C1983" t="s">
        <v>21</v>
      </c>
      <c r="D1983" t="s">
        <v>41</v>
      </c>
      <c r="E1983" t="s">
        <v>31</v>
      </c>
      <c r="F1983" t="s">
        <v>63</v>
      </c>
      <c r="G1983">
        <v>2602.7199999999998</v>
      </c>
      <c r="H1983">
        <v>1139.33</v>
      </c>
      <c r="I1983">
        <v>23547.360000000001</v>
      </c>
      <c r="J1983" t="s">
        <v>25</v>
      </c>
      <c r="K1983" t="s">
        <v>45</v>
      </c>
      <c r="L1983">
        <v>52312.98</v>
      </c>
      <c r="M1983">
        <v>360</v>
      </c>
      <c r="N1983">
        <v>1037.56</v>
      </c>
      <c r="O1983">
        <v>23.78</v>
      </c>
      <c r="P1983">
        <v>0.4</v>
      </c>
      <c r="Q1983">
        <v>486</v>
      </c>
      <c r="R1983">
        <v>0.75</v>
      </c>
      <c r="S1983" t="s">
        <v>30</v>
      </c>
      <c r="T1983" s="1">
        <v>45618</v>
      </c>
      <c r="U1983">
        <v>0</v>
      </c>
    </row>
    <row r="1984" spans="1:21" x14ac:dyDescent="0.25">
      <c r="A1984" t="s">
        <v>2031</v>
      </c>
      <c r="B1984">
        <v>54</v>
      </c>
      <c r="C1984" t="s">
        <v>21</v>
      </c>
      <c r="D1984" t="s">
        <v>41</v>
      </c>
      <c r="E1984" t="s">
        <v>31</v>
      </c>
      <c r="F1984" t="s">
        <v>63</v>
      </c>
      <c r="G1984">
        <v>1276.27</v>
      </c>
      <c r="H1984">
        <v>447.9</v>
      </c>
      <c r="I1984">
        <v>13276.41</v>
      </c>
      <c r="J1984" t="s">
        <v>37</v>
      </c>
      <c r="K1984" t="s">
        <v>38</v>
      </c>
      <c r="L1984">
        <v>0</v>
      </c>
      <c r="M1984">
        <v>0</v>
      </c>
      <c r="N1984">
        <v>0</v>
      </c>
      <c r="O1984">
        <v>0</v>
      </c>
      <c r="P1984">
        <v>0</v>
      </c>
      <c r="Q1984">
        <v>461</v>
      </c>
      <c r="R1984">
        <v>0.87</v>
      </c>
      <c r="S1984" t="s">
        <v>30</v>
      </c>
      <c r="T1984" s="1">
        <v>44825</v>
      </c>
      <c r="U1984">
        <v>0</v>
      </c>
    </row>
    <row r="1985" spans="1:21" x14ac:dyDescent="0.25">
      <c r="A1985" t="s">
        <v>2032</v>
      </c>
      <c r="B1985">
        <v>32</v>
      </c>
      <c r="C1985" t="s">
        <v>29</v>
      </c>
      <c r="D1985" t="s">
        <v>22</v>
      </c>
      <c r="E1985" t="s">
        <v>51</v>
      </c>
      <c r="F1985" t="s">
        <v>52</v>
      </c>
      <c r="G1985">
        <v>5697.06</v>
      </c>
      <c r="H1985">
        <v>4711.67</v>
      </c>
      <c r="I1985">
        <v>29157.27</v>
      </c>
      <c r="J1985" t="s">
        <v>37</v>
      </c>
      <c r="K1985" t="s">
        <v>38</v>
      </c>
      <c r="L1985">
        <v>0</v>
      </c>
      <c r="M1985">
        <v>0</v>
      </c>
      <c r="N1985">
        <v>0</v>
      </c>
      <c r="O1985">
        <v>0</v>
      </c>
      <c r="P1985">
        <v>0</v>
      </c>
      <c r="Q1985">
        <v>325</v>
      </c>
      <c r="R1985">
        <v>0.43</v>
      </c>
      <c r="S1985" t="s">
        <v>27</v>
      </c>
      <c r="T1985" s="1">
        <v>45614</v>
      </c>
      <c r="U1985">
        <v>0</v>
      </c>
    </row>
    <row r="1986" spans="1:21" x14ac:dyDescent="0.25">
      <c r="A1986" t="s">
        <v>2033</v>
      </c>
      <c r="B1986">
        <v>29</v>
      </c>
      <c r="C1986" t="s">
        <v>21</v>
      </c>
      <c r="D1986" t="s">
        <v>22</v>
      </c>
      <c r="E1986" t="s">
        <v>31</v>
      </c>
      <c r="F1986" t="s">
        <v>32</v>
      </c>
      <c r="G1986">
        <v>4386.04</v>
      </c>
      <c r="H1986">
        <v>2374.66</v>
      </c>
      <c r="I1986">
        <v>29238.15</v>
      </c>
      <c r="J1986" t="s">
        <v>25</v>
      </c>
      <c r="K1986" t="s">
        <v>26</v>
      </c>
      <c r="L1986">
        <v>32534.57</v>
      </c>
      <c r="M1986">
        <v>360</v>
      </c>
      <c r="N1986">
        <v>616.98</v>
      </c>
      <c r="O1986">
        <v>22.73</v>
      </c>
      <c r="P1986">
        <v>0.14000000000000001</v>
      </c>
      <c r="Q1986">
        <v>444</v>
      </c>
      <c r="R1986">
        <v>0.56000000000000005</v>
      </c>
      <c r="S1986" t="s">
        <v>27</v>
      </c>
      <c r="T1986" s="1">
        <v>45496</v>
      </c>
      <c r="U1986">
        <v>0</v>
      </c>
    </row>
    <row r="1987" spans="1:21" x14ac:dyDescent="0.25">
      <c r="A1987" t="s">
        <v>2034</v>
      </c>
      <c r="B1987">
        <v>52</v>
      </c>
      <c r="C1987" t="s">
        <v>21</v>
      </c>
      <c r="D1987" t="s">
        <v>35</v>
      </c>
      <c r="E1987" t="s">
        <v>31</v>
      </c>
      <c r="F1987" t="s">
        <v>36</v>
      </c>
      <c r="G1987">
        <v>4904.92</v>
      </c>
      <c r="H1987">
        <v>3463.98</v>
      </c>
      <c r="I1987">
        <v>15115.74</v>
      </c>
      <c r="J1987" t="s">
        <v>37</v>
      </c>
      <c r="K1987" t="s">
        <v>38</v>
      </c>
      <c r="L1987">
        <v>0</v>
      </c>
      <c r="M1987">
        <v>0</v>
      </c>
      <c r="N1987">
        <v>0</v>
      </c>
      <c r="O1987">
        <v>0</v>
      </c>
      <c r="P1987">
        <v>0</v>
      </c>
      <c r="Q1987">
        <v>596</v>
      </c>
      <c r="R1987">
        <v>0.26</v>
      </c>
      <c r="S1987" t="s">
        <v>39</v>
      </c>
      <c r="T1987" s="1">
        <v>44567</v>
      </c>
      <c r="U1987">
        <v>0</v>
      </c>
    </row>
    <row r="1988" spans="1:21" x14ac:dyDescent="0.25">
      <c r="A1988" t="s">
        <v>2035</v>
      </c>
      <c r="B1988">
        <v>67</v>
      </c>
      <c r="C1988" t="s">
        <v>21</v>
      </c>
      <c r="D1988" t="s">
        <v>35</v>
      </c>
      <c r="E1988" t="s">
        <v>51</v>
      </c>
      <c r="F1988" t="s">
        <v>36</v>
      </c>
      <c r="G1988">
        <v>5142.97</v>
      </c>
      <c r="H1988">
        <v>2397.0300000000002</v>
      </c>
      <c r="I1988">
        <v>40908.050000000003</v>
      </c>
      <c r="J1988" t="s">
        <v>25</v>
      </c>
      <c r="K1988" t="s">
        <v>45</v>
      </c>
      <c r="L1988">
        <v>61014.79</v>
      </c>
      <c r="M1988">
        <v>300</v>
      </c>
      <c r="N1988">
        <v>1166.3900000000001</v>
      </c>
      <c r="O1988">
        <v>22.86</v>
      </c>
      <c r="P1988">
        <v>0.23</v>
      </c>
      <c r="Q1988">
        <v>605</v>
      </c>
      <c r="R1988">
        <v>0.66</v>
      </c>
      <c r="S1988" t="s">
        <v>39</v>
      </c>
      <c r="T1988" s="1">
        <v>44536</v>
      </c>
      <c r="U1988">
        <v>0</v>
      </c>
    </row>
    <row r="1989" spans="1:21" x14ac:dyDescent="0.25">
      <c r="A1989" t="s">
        <v>2036</v>
      </c>
      <c r="B1989">
        <v>28</v>
      </c>
      <c r="C1989" t="s">
        <v>30</v>
      </c>
      <c r="D1989" t="s">
        <v>41</v>
      </c>
      <c r="E1989" t="s">
        <v>31</v>
      </c>
      <c r="F1989" t="s">
        <v>44</v>
      </c>
      <c r="G1989">
        <v>7415.98</v>
      </c>
      <c r="H1989">
        <v>2690.4</v>
      </c>
      <c r="I1989">
        <v>23345.73</v>
      </c>
      <c r="J1989" t="s">
        <v>37</v>
      </c>
      <c r="K1989" t="s">
        <v>38</v>
      </c>
      <c r="L1989">
        <v>0</v>
      </c>
      <c r="M1989">
        <v>0</v>
      </c>
      <c r="N1989">
        <v>0</v>
      </c>
      <c r="O1989">
        <v>0</v>
      </c>
      <c r="P1989">
        <v>0</v>
      </c>
      <c r="Q1989">
        <v>503</v>
      </c>
      <c r="R1989">
        <v>0.26</v>
      </c>
      <c r="S1989" t="s">
        <v>27</v>
      </c>
      <c r="T1989" s="1">
        <v>45117</v>
      </c>
      <c r="U1989">
        <v>0</v>
      </c>
    </row>
    <row r="1990" spans="1:21" x14ac:dyDescent="0.25">
      <c r="A1990" t="s">
        <v>2037</v>
      </c>
      <c r="B1990">
        <v>49</v>
      </c>
      <c r="C1990" t="s">
        <v>29</v>
      </c>
      <c r="D1990" t="s">
        <v>22</v>
      </c>
      <c r="E1990" t="s">
        <v>23</v>
      </c>
      <c r="F1990" t="s">
        <v>44</v>
      </c>
      <c r="G1990">
        <v>4217.17</v>
      </c>
      <c r="H1990">
        <v>3101.65</v>
      </c>
      <c r="I1990">
        <v>49081.919999999998</v>
      </c>
      <c r="J1990" t="s">
        <v>37</v>
      </c>
      <c r="K1990" t="s">
        <v>38</v>
      </c>
      <c r="L1990">
        <v>0</v>
      </c>
      <c r="M1990">
        <v>0</v>
      </c>
      <c r="N1990">
        <v>0</v>
      </c>
      <c r="O1990">
        <v>0</v>
      </c>
      <c r="P1990">
        <v>0</v>
      </c>
      <c r="Q1990">
        <v>369</v>
      </c>
      <c r="R1990">
        <v>0.97</v>
      </c>
      <c r="S1990" t="s">
        <v>47</v>
      </c>
      <c r="T1990" s="1">
        <v>44965</v>
      </c>
      <c r="U1990">
        <v>0</v>
      </c>
    </row>
    <row r="1991" spans="1:21" x14ac:dyDescent="0.25">
      <c r="A1991" t="s">
        <v>2038</v>
      </c>
      <c r="B1991">
        <v>24</v>
      </c>
      <c r="C1991" t="s">
        <v>29</v>
      </c>
      <c r="D1991" t="s">
        <v>41</v>
      </c>
      <c r="E1991" t="s">
        <v>31</v>
      </c>
      <c r="F1991" t="s">
        <v>32</v>
      </c>
      <c r="G1991">
        <v>5370.87</v>
      </c>
      <c r="H1991">
        <v>3033.31</v>
      </c>
      <c r="I1991">
        <v>48582.21</v>
      </c>
      <c r="J1991" t="s">
        <v>37</v>
      </c>
      <c r="K1991" t="s">
        <v>38</v>
      </c>
      <c r="L1991">
        <v>0</v>
      </c>
      <c r="M1991">
        <v>0</v>
      </c>
      <c r="N1991">
        <v>0</v>
      </c>
      <c r="O1991">
        <v>0</v>
      </c>
      <c r="P1991">
        <v>0</v>
      </c>
      <c r="Q1991">
        <v>470</v>
      </c>
      <c r="R1991">
        <v>0.75</v>
      </c>
      <c r="S1991" t="s">
        <v>72</v>
      </c>
      <c r="T1991" s="1">
        <v>44407</v>
      </c>
      <c r="U1991">
        <v>0</v>
      </c>
    </row>
    <row r="1992" spans="1:21" x14ac:dyDescent="0.25">
      <c r="A1992" t="s">
        <v>2039</v>
      </c>
      <c r="B1992">
        <v>59</v>
      </c>
      <c r="C1992" t="s">
        <v>21</v>
      </c>
      <c r="D1992" t="s">
        <v>41</v>
      </c>
      <c r="E1992" t="s">
        <v>51</v>
      </c>
      <c r="F1992" t="s">
        <v>23</v>
      </c>
      <c r="G1992">
        <v>4437.05</v>
      </c>
      <c r="H1992">
        <v>3106.63</v>
      </c>
      <c r="I1992">
        <v>19971.900000000001</v>
      </c>
      <c r="J1992" t="s">
        <v>25</v>
      </c>
      <c r="K1992" t="s">
        <v>26</v>
      </c>
      <c r="L1992">
        <v>52010.21</v>
      </c>
      <c r="M1992">
        <v>36</v>
      </c>
      <c r="N1992">
        <v>2119.42</v>
      </c>
      <c r="O1992">
        <v>26.86</v>
      </c>
      <c r="P1992">
        <v>0.48</v>
      </c>
      <c r="Q1992">
        <v>759</v>
      </c>
      <c r="R1992">
        <v>0.38</v>
      </c>
      <c r="S1992" t="s">
        <v>39</v>
      </c>
      <c r="T1992" s="1">
        <v>45835</v>
      </c>
      <c r="U1992">
        <v>1</v>
      </c>
    </row>
    <row r="1993" spans="1:21" x14ac:dyDescent="0.25">
      <c r="A1993" t="s">
        <v>2040</v>
      </c>
      <c r="B1993">
        <v>40</v>
      </c>
      <c r="C1993" t="s">
        <v>21</v>
      </c>
      <c r="D1993" t="s">
        <v>22</v>
      </c>
      <c r="E1993" t="s">
        <v>23</v>
      </c>
      <c r="F1993" t="s">
        <v>63</v>
      </c>
      <c r="G1993">
        <v>5688.4</v>
      </c>
      <c r="H1993">
        <v>5004.63</v>
      </c>
      <c r="I1993">
        <v>10271.280000000001</v>
      </c>
      <c r="J1993" t="s">
        <v>25</v>
      </c>
      <c r="K1993" t="s">
        <v>45</v>
      </c>
      <c r="L1993">
        <v>52811.19</v>
      </c>
      <c r="M1993">
        <v>24</v>
      </c>
      <c r="N1993">
        <v>2394.29</v>
      </c>
      <c r="O1993">
        <v>8.24</v>
      </c>
      <c r="P1993">
        <v>0.42</v>
      </c>
      <c r="Q1993">
        <v>492</v>
      </c>
      <c r="R1993">
        <v>0.15</v>
      </c>
      <c r="S1993" t="s">
        <v>27</v>
      </c>
      <c r="T1993" s="1">
        <v>44434</v>
      </c>
      <c r="U1993">
        <v>1</v>
      </c>
    </row>
    <row r="1994" spans="1:21" x14ac:dyDescent="0.25">
      <c r="A1994" t="s">
        <v>2041</v>
      </c>
      <c r="B1994">
        <v>44</v>
      </c>
      <c r="C1994" t="s">
        <v>29</v>
      </c>
      <c r="D1994" t="s">
        <v>22</v>
      </c>
      <c r="E1994" t="s">
        <v>49</v>
      </c>
      <c r="F1994" t="s">
        <v>36</v>
      </c>
      <c r="G1994">
        <v>4289.62</v>
      </c>
      <c r="H1994">
        <v>3158.67</v>
      </c>
      <c r="I1994">
        <v>33976.78</v>
      </c>
      <c r="J1994" t="s">
        <v>37</v>
      </c>
      <c r="K1994" t="s">
        <v>38</v>
      </c>
      <c r="L1994">
        <v>0</v>
      </c>
      <c r="M1994">
        <v>0</v>
      </c>
      <c r="N1994">
        <v>0</v>
      </c>
      <c r="O1994">
        <v>0</v>
      </c>
      <c r="P1994">
        <v>0</v>
      </c>
      <c r="Q1994">
        <v>538</v>
      </c>
      <c r="R1994">
        <v>0.66</v>
      </c>
      <c r="S1994" t="s">
        <v>39</v>
      </c>
      <c r="T1994" s="1">
        <v>45339</v>
      </c>
      <c r="U1994">
        <v>0</v>
      </c>
    </row>
    <row r="1995" spans="1:21" x14ac:dyDescent="0.25">
      <c r="A1995" t="s">
        <v>2042</v>
      </c>
      <c r="B1995">
        <v>30</v>
      </c>
      <c r="C1995" t="s">
        <v>29</v>
      </c>
      <c r="D1995" t="s">
        <v>30</v>
      </c>
      <c r="E1995" t="s">
        <v>51</v>
      </c>
      <c r="F1995" t="s">
        <v>44</v>
      </c>
      <c r="G1995">
        <v>3081.46</v>
      </c>
      <c r="H1995">
        <v>2457.9499999999998</v>
      </c>
      <c r="I1995">
        <v>26964.59</v>
      </c>
      <c r="J1995" t="s">
        <v>37</v>
      </c>
      <c r="K1995" t="s">
        <v>38</v>
      </c>
      <c r="L1995">
        <v>0</v>
      </c>
      <c r="M1995">
        <v>0</v>
      </c>
      <c r="N1995">
        <v>0</v>
      </c>
      <c r="O1995">
        <v>0</v>
      </c>
      <c r="P1995">
        <v>0</v>
      </c>
      <c r="Q1995">
        <v>531</v>
      </c>
      <c r="R1995">
        <v>0.73</v>
      </c>
      <c r="S1995" t="s">
        <v>30</v>
      </c>
      <c r="T1995" s="1">
        <v>45727</v>
      </c>
      <c r="U1995">
        <v>0</v>
      </c>
    </row>
    <row r="1996" spans="1:21" x14ac:dyDescent="0.25">
      <c r="A1996" t="s">
        <v>2043</v>
      </c>
      <c r="B1996">
        <v>68</v>
      </c>
      <c r="C1996" t="s">
        <v>21</v>
      </c>
      <c r="D1996" t="s">
        <v>22</v>
      </c>
      <c r="E1996" t="s">
        <v>23</v>
      </c>
      <c r="F1996" t="s">
        <v>42</v>
      </c>
      <c r="G1996">
        <v>3170.94</v>
      </c>
      <c r="H1996">
        <v>1686.53</v>
      </c>
      <c r="I1996">
        <v>10774.5</v>
      </c>
      <c r="J1996" t="s">
        <v>37</v>
      </c>
      <c r="K1996" t="s">
        <v>38</v>
      </c>
      <c r="L1996">
        <v>0</v>
      </c>
      <c r="M1996">
        <v>0</v>
      </c>
      <c r="N1996">
        <v>0</v>
      </c>
      <c r="O1996">
        <v>0</v>
      </c>
      <c r="P1996">
        <v>0</v>
      </c>
      <c r="Q1996">
        <v>685</v>
      </c>
      <c r="R1996">
        <v>0.28000000000000003</v>
      </c>
      <c r="S1996" t="s">
        <v>27</v>
      </c>
      <c r="T1996" s="1">
        <v>45815</v>
      </c>
      <c r="U1996">
        <v>0</v>
      </c>
    </row>
    <row r="1997" spans="1:21" x14ac:dyDescent="0.25">
      <c r="A1997" t="s">
        <v>2044</v>
      </c>
      <c r="B1997">
        <v>50</v>
      </c>
      <c r="C1997" t="s">
        <v>29</v>
      </c>
      <c r="D1997" t="s">
        <v>41</v>
      </c>
      <c r="E1997" t="s">
        <v>51</v>
      </c>
      <c r="F1997" t="s">
        <v>52</v>
      </c>
      <c r="G1997">
        <v>2842.83</v>
      </c>
      <c r="H1997">
        <v>1816.72</v>
      </c>
      <c r="I1997">
        <v>30921.98</v>
      </c>
      <c r="J1997" t="s">
        <v>37</v>
      </c>
      <c r="K1997" t="s">
        <v>38</v>
      </c>
      <c r="L1997">
        <v>0</v>
      </c>
      <c r="M1997">
        <v>0</v>
      </c>
      <c r="N1997">
        <v>0</v>
      </c>
      <c r="O1997">
        <v>0</v>
      </c>
      <c r="P1997">
        <v>0</v>
      </c>
      <c r="Q1997">
        <v>414</v>
      </c>
      <c r="R1997">
        <v>0.91</v>
      </c>
      <c r="S1997" t="s">
        <v>47</v>
      </c>
      <c r="T1997" s="1">
        <v>45142</v>
      </c>
      <c r="U1997">
        <v>0</v>
      </c>
    </row>
    <row r="1998" spans="1:21" x14ac:dyDescent="0.25">
      <c r="A1998" t="s">
        <v>2045</v>
      </c>
      <c r="B1998">
        <v>56</v>
      </c>
      <c r="C1998" t="s">
        <v>21</v>
      </c>
      <c r="D1998" t="s">
        <v>41</v>
      </c>
      <c r="E1998" t="s">
        <v>51</v>
      </c>
      <c r="F1998" t="s">
        <v>49</v>
      </c>
      <c r="G1998">
        <v>4385.93</v>
      </c>
      <c r="H1998">
        <v>1431.09</v>
      </c>
      <c r="I1998">
        <v>15757.91</v>
      </c>
      <c r="J1998" t="s">
        <v>37</v>
      </c>
      <c r="K1998" t="s">
        <v>38</v>
      </c>
      <c r="L1998">
        <v>0</v>
      </c>
      <c r="M1998">
        <v>0</v>
      </c>
      <c r="N1998">
        <v>0</v>
      </c>
      <c r="O1998">
        <v>0</v>
      </c>
      <c r="P1998">
        <v>0</v>
      </c>
      <c r="Q1998">
        <v>687</v>
      </c>
      <c r="R1998">
        <v>0.3</v>
      </c>
      <c r="S1998" t="s">
        <v>39</v>
      </c>
      <c r="T1998" s="1">
        <v>45719</v>
      </c>
      <c r="U1998">
        <v>0</v>
      </c>
    </row>
    <row r="1999" spans="1:21" x14ac:dyDescent="0.25">
      <c r="A1999" t="s">
        <v>2046</v>
      </c>
      <c r="B1999">
        <v>68</v>
      </c>
      <c r="C1999" t="s">
        <v>21</v>
      </c>
      <c r="D1999" t="s">
        <v>41</v>
      </c>
      <c r="E1999" t="s">
        <v>31</v>
      </c>
      <c r="F1999" t="s">
        <v>52</v>
      </c>
      <c r="G1999">
        <v>2555.67</v>
      </c>
      <c r="H1999">
        <v>1260.0999999999999</v>
      </c>
      <c r="I1999">
        <v>17081.97</v>
      </c>
      <c r="J1999" t="s">
        <v>25</v>
      </c>
      <c r="K1999" t="s">
        <v>33</v>
      </c>
      <c r="L1999">
        <v>291881.42</v>
      </c>
      <c r="M1999">
        <v>240</v>
      </c>
      <c r="N1999">
        <v>3046.61</v>
      </c>
      <c r="O1999">
        <v>11.17</v>
      </c>
      <c r="P1999">
        <v>1.19</v>
      </c>
      <c r="Q1999">
        <v>438</v>
      </c>
      <c r="R1999">
        <v>0.56000000000000005</v>
      </c>
      <c r="S1999" t="s">
        <v>72</v>
      </c>
      <c r="T1999" s="1">
        <v>44659</v>
      </c>
      <c r="U1999">
        <v>1</v>
      </c>
    </row>
    <row r="2000" spans="1:21" x14ac:dyDescent="0.25">
      <c r="A2000" t="s">
        <v>2047</v>
      </c>
      <c r="B2000">
        <v>63</v>
      </c>
      <c r="C2000" t="s">
        <v>21</v>
      </c>
      <c r="D2000" t="s">
        <v>35</v>
      </c>
      <c r="E2000" t="s">
        <v>31</v>
      </c>
      <c r="F2000" t="s">
        <v>36</v>
      </c>
      <c r="G2000">
        <v>6577.11</v>
      </c>
      <c r="H2000">
        <v>4950.4399999999996</v>
      </c>
      <c r="I2000">
        <v>22162.78</v>
      </c>
      <c r="J2000" t="s">
        <v>37</v>
      </c>
      <c r="K2000" t="s">
        <v>38</v>
      </c>
      <c r="L2000">
        <v>0</v>
      </c>
      <c r="M2000">
        <v>0</v>
      </c>
      <c r="N2000">
        <v>0</v>
      </c>
      <c r="O2000">
        <v>0</v>
      </c>
      <c r="P2000">
        <v>0</v>
      </c>
      <c r="Q2000">
        <v>390</v>
      </c>
      <c r="R2000">
        <v>0.28000000000000003</v>
      </c>
      <c r="S2000" t="s">
        <v>39</v>
      </c>
      <c r="T2000" s="1">
        <v>45032</v>
      </c>
      <c r="U2000">
        <v>0</v>
      </c>
    </row>
    <row r="2001" spans="1:21" x14ac:dyDescent="0.25">
      <c r="A2001" t="s">
        <v>2048</v>
      </c>
      <c r="B2001">
        <v>55</v>
      </c>
      <c r="C2001" t="s">
        <v>21</v>
      </c>
      <c r="D2001" t="s">
        <v>30</v>
      </c>
      <c r="E2001" t="s">
        <v>23</v>
      </c>
      <c r="F2001" t="s">
        <v>63</v>
      </c>
      <c r="G2001">
        <v>589.55999999999995</v>
      </c>
      <c r="H2001">
        <v>450.73</v>
      </c>
      <c r="I2001">
        <v>952.6</v>
      </c>
      <c r="J2001" t="s">
        <v>37</v>
      </c>
      <c r="K2001" t="s">
        <v>38</v>
      </c>
      <c r="L2001">
        <v>0</v>
      </c>
      <c r="M2001">
        <v>0</v>
      </c>
      <c r="N2001">
        <v>0</v>
      </c>
      <c r="O2001">
        <v>0</v>
      </c>
      <c r="P2001">
        <v>0</v>
      </c>
      <c r="Q2001">
        <v>785</v>
      </c>
      <c r="R2001">
        <v>0.13</v>
      </c>
      <c r="S2001" t="s">
        <v>27</v>
      </c>
      <c r="T2001" s="1">
        <v>44522</v>
      </c>
      <c r="U2001">
        <v>0</v>
      </c>
    </row>
    <row r="2002" spans="1:21" x14ac:dyDescent="0.25">
      <c r="A2002" t="s">
        <v>2049</v>
      </c>
      <c r="B2002">
        <v>41</v>
      </c>
      <c r="C2002" t="s">
        <v>29</v>
      </c>
      <c r="D2002" t="s">
        <v>35</v>
      </c>
      <c r="E2002" t="s">
        <v>51</v>
      </c>
      <c r="F2002" t="s">
        <v>63</v>
      </c>
      <c r="G2002">
        <v>5329.02</v>
      </c>
      <c r="H2002">
        <v>3291.05</v>
      </c>
      <c r="I2002">
        <v>53471.91</v>
      </c>
      <c r="J2002" t="s">
        <v>25</v>
      </c>
      <c r="K2002" t="s">
        <v>45</v>
      </c>
      <c r="L2002">
        <v>29041.85</v>
      </c>
      <c r="M2002">
        <v>180</v>
      </c>
      <c r="N2002">
        <v>632.16</v>
      </c>
      <c r="O2002">
        <v>25.53</v>
      </c>
      <c r="P2002">
        <v>0.12</v>
      </c>
      <c r="Q2002">
        <v>707</v>
      </c>
      <c r="R2002">
        <v>0.84</v>
      </c>
      <c r="S2002" t="s">
        <v>72</v>
      </c>
      <c r="T2002" s="1">
        <v>44710</v>
      </c>
      <c r="U2002">
        <v>0</v>
      </c>
    </row>
    <row r="2003" spans="1:21" x14ac:dyDescent="0.25">
      <c r="A2003" t="s">
        <v>2050</v>
      </c>
      <c r="B2003">
        <v>49</v>
      </c>
      <c r="C2003" t="s">
        <v>29</v>
      </c>
      <c r="D2003" t="s">
        <v>35</v>
      </c>
      <c r="E2003" t="s">
        <v>31</v>
      </c>
      <c r="F2003" t="s">
        <v>42</v>
      </c>
      <c r="G2003">
        <v>7071.32</v>
      </c>
      <c r="H2003">
        <v>5569.67</v>
      </c>
      <c r="I2003">
        <v>24097.37</v>
      </c>
      <c r="J2003" t="s">
        <v>37</v>
      </c>
      <c r="K2003" t="s">
        <v>38</v>
      </c>
      <c r="L2003">
        <v>0</v>
      </c>
      <c r="M2003">
        <v>0</v>
      </c>
      <c r="N2003">
        <v>0</v>
      </c>
      <c r="O2003">
        <v>0</v>
      </c>
      <c r="P2003">
        <v>0</v>
      </c>
      <c r="Q2003">
        <v>585</v>
      </c>
      <c r="R2003">
        <v>0.28000000000000003</v>
      </c>
      <c r="S2003" t="s">
        <v>47</v>
      </c>
      <c r="T2003" s="1">
        <v>44415</v>
      </c>
      <c r="U2003">
        <v>0</v>
      </c>
    </row>
    <row r="2004" spans="1:21" x14ac:dyDescent="0.25">
      <c r="A2004" t="s">
        <v>2051</v>
      </c>
      <c r="B2004">
        <v>39</v>
      </c>
      <c r="C2004" t="s">
        <v>21</v>
      </c>
      <c r="D2004" t="s">
        <v>56</v>
      </c>
      <c r="E2004" t="s">
        <v>51</v>
      </c>
      <c r="F2004" t="s">
        <v>63</v>
      </c>
      <c r="G2004">
        <v>500</v>
      </c>
      <c r="H2004">
        <v>264.18</v>
      </c>
      <c r="I2004">
        <v>930.59</v>
      </c>
      <c r="J2004" t="s">
        <v>37</v>
      </c>
      <c r="K2004" t="s">
        <v>38</v>
      </c>
      <c r="L2004">
        <v>0</v>
      </c>
      <c r="M2004">
        <v>0</v>
      </c>
      <c r="N2004">
        <v>0</v>
      </c>
      <c r="O2004">
        <v>0</v>
      </c>
      <c r="P2004">
        <v>0</v>
      </c>
      <c r="Q2004">
        <v>811</v>
      </c>
      <c r="R2004">
        <v>0.16</v>
      </c>
      <c r="S2004" t="s">
        <v>39</v>
      </c>
      <c r="T2004" s="1">
        <v>45070</v>
      </c>
      <c r="U2004">
        <v>0</v>
      </c>
    </row>
    <row r="2005" spans="1:21" x14ac:dyDescent="0.25">
      <c r="A2005" t="s">
        <v>2052</v>
      </c>
      <c r="B2005">
        <v>52</v>
      </c>
      <c r="C2005" t="s">
        <v>21</v>
      </c>
      <c r="D2005" t="s">
        <v>35</v>
      </c>
      <c r="E2005" t="s">
        <v>31</v>
      </c>
      <c r="F2005" t="s">
        <v>23</v>
      </c>
      <c r="G2005">
        <v>1731.59</v>
      </c>
      <c r="H2005">
        <v>716.35</v>
      </c>
      <c r="I2005">
        <v>19643.8</v>
      </c>
      <c r="J2005" t="s">
        <v>37</v>
      </c>
      <c r="K2005" t="s">
        <v>38</v>
      </c>
      <c r="L2005">
        <v>0</v>
      </c>
      <c r="M2005">
        <v>0</v>
      </c>
      <c r="N2005">
        <v>0</v>
      </c>
      <c r="O2005">
        <v>0</v>
      </c>
      <c r="P2005">
        <v>0</v>
      </c>
      <c r="Q2005">
        <v>547</v>
      </c>
      <c r="R2005">
        <v>0.95</v>
      </c>
      <c r="S2005" t="s">
        <v>72</v>
      </c>
      <c r="T2005" s="1">
        <v>44892</v>
      </c>
      <c r="U2005">
        <v>0</v>
      </c>
    </row>
    <row r="2006" spans="1:21" x14ac:dyDescent="0.25">
      <c r="A2006" t="s">
        <v>2053</v>
      </c>
      <c r="B2006">
        <v>23</v>
      </c>
      <c r="C2006" t="s">
        <v>29</v>
      </c>
      <c r="D2006" t="s">
        <v>35</v>
      </c>
      <c r="E2006" t="s">
        <v>31</v>
      </c>
      <c r="F2006" t="s">
        <v>36</v>
      </c>
      <c r="G2006">
        <v>3189.7</v>
      </c>
      <c r="H2006">
        <v>2167.08</v>
      </c>
      <c r="I2006">
        <v>36727.89</v>
      </c>
      <c r="J2006" t="s">
        <v>37</v>
      </c>
      <c r="K2006" t="s">
        <v>38</v>
      </c>
      <c r="L2006">
        <v>0</v>
      </c>
      <c r="M2006">
        <v>0</v>
      </c>
      <c r="N2006">
        <v>0</v>
      </c>
      <c r="O2006">
        <v>0</v>
      </c>
      <c r="P2006">
        <v>0</v>
      </c>
      <c r="Q2006">
        <v>740</v>
      </c>
      <c r="R2006">
        <v>0.96</v>
      </c>
      <c r="S2006" t="s">
        <v>27</v>
      </c>
      <c r="T2006" s="1">
        <v>44735</v>
      </c>
      <c r="U2006">
        <v>0</v>
      </c>
    </row>
    <row r="2007" spans="1:21" x14ac:dyDescent="0.25">
      <c r="A2007" t="s">
        <v>2054</v>
      </c>
      <c r="B2007">
        <v>55</v>
      </c>
      <c r="C2007" t="s">
        <v>29</v>
      </c>
      <c r="D2007" t="s">
        <v>35</v>
      </c>
      <c r="E2007" t="s">
        <v>31</v>
      </c>
      <c r="F2007" t="s">
        <v>32</v>
      </c>
      <c r="G2007">
        <v>3988.15</v>
      </c>
      <c r="H2007">
        <v>1360.19</v>
      </c>
      <c r="I2007">
        <v>27066.6</v>
      </c>
      <c r="J2007" t="s">
        <v>37</v>
      </c>
      <c r="K2007" t="s">
        <v>38</v>
      </c>
      <c r="L2007">
        <v>0</v>
      </c>
      <c r="M2007">
        <v>0</v>
      </c>
      <c r="N2007">
        <v>0</v>
      </c>
      <c r="O2007">
        <v>0</v>
      </c>
      <c r="P2007">
        <v>0</v>
      </c>
      <c r="Q2007">
        <v>506</v>
      </c>
      <c r="R2007">
        <v>0.56999999999999995</v>
      </c>
      <c r="S2007" t="s">
        <v>30</v>
      </c>
      <c r="T2007" s="1">
        <v>44659</v>
      </c>
      <c r="U2007">
        <v>0</v>
      </c>
    </row>
    <row r="2008" spans="1:21" x14ac:dyDescent="0.25">
      <c r="A2008" t="s">
        <v>2055</v>
      </c>
      <c r="B2008">
        <v>30</v>
      </c>
      <c r="C2008" t="s">
        <v>30</v>
      </c>
      <c r="D2008" t="s">
        <v>35</v>
      </c>
      <c r="E2008" t="s">
        <v>31</v>
      </c>
      <c r="F2008" t="s">
        <v>24</v>
      </c>
      <c r="G2008">
        <v>3979.99</v>
      </c>
      <c r="H2008">
        <v>1268.79</v>
      </c>
      <c r="I2008">
        <v>20434.93</v>
      </c>
      <c r="J2008" t="s">
        <v>25</v>
      </c>
      <c r="K2008" t="s">
        <v>54</v>
      </c>
      <c r="L2008">
        <v>439499.63</v>
      </c>
      <c r="M2008">
        <v>180</v>
      </c>
      <c r="N2008">
        <v>3739.69</v>
      </c>
      <c r="O2008">
        <v>6.13</v>
      </c>
      <c r="P2008">
        <v>0.94</v>
      </c>
      <c r="Q2008">
        <v>430</v>
      </c>
      <c r="R2008">
        <v>0.43</v>
      </c>
      <c r="S2008" t="s">
        <v>39</v>
      </c>
      <c r="T2008" s="1">
        <v>45712</v>
      </c>
      <c r="U2008">
        <v>1</v>
      </c>
    </row>
    <row r="2009" spans="1:21" x14ac:dyDescent="0.25">
      <c r="A2009" t="s">
        <v>2056</v>
      </c>
      <c r="B2009">
        <v>19</v>
      </c>
      <c r="C2009" t="s">
        <v>29</v>
      </c>
      <c r="D2009" t="s">
        <v>22</v>
      </c>
      <c r="E2009" t="s">
        <v>31</v>
      </c>
      <c r="F2009" t="s">
        <v>32</v>
      </c>
      <c r="G2009">
        <v>5392.72</v>
      </c>
      <c r="H2009">
        <v>3642.53</v>
      </c>
      <c r="I2009">
        <v>59179.93</v>
      </c>
      <c r="J2009" t="s">
        <v>37</v>
      </c>
      <c r="K2009" t="s">
        <v>38</v>
      </c>
      <c r="L2009">
        <v>0</v>
      </c>
      <c r="M2009">
        <v>0</v>
      </c>
      <c r="N2009">
        <v>0</v>
      </c>
      <c r="O2009">
        <v>0</v>
      </c>
      <c r="P2009">
        <v>0</v>
      </c>
      <c r="Q2009">
        <v>372</v>
      </c>
      <c r="R2009">
        <v>0.91</v>
      </c>
      <c r="S2009" t="s">
        <v>47</v>
      </c>
      <c r="T2009" s="1">
        <v>44760</v>
      </c>
      <c r="U2009">
        <v>0</v>
      </c>
    </row>
    <row r="2010" spans="1:21" x14ac:dyDescent="0.25">
      <c r="A2010" t="s">
        <v>2057</v>
      </c>
      <c r="B2010">
        <v>67</v>
      </c>
      <c r="C2010" t="s">
        <v>21</v>
      </c>
      <c r="D2010" t="s">
        <v>30</v>
      </c>
      <c r="E2010" t="s">
        <v>51</v>
      </c>
      <c r="F2010" t="s">
        <v>32</v>
      </c>
      <c r="G2010">
        <v>4588.51</v>
      </c>
      <c r="H2010">
        <v>3919.94</v>
      </c>
      <c r="I2010">
        <v>29772.59</v>
      </c>
      <c r="J2010" t="s">
        <v>37</v>
      </c>
      <c r="K2010" t="s">
        <v>38</v>
      </c>
      <c r="L2010">
        <v>0</v>
      </c>
      <c r="M2010">
        <v>0</v>
      </c>
      <c r="N2010">
        <v>0</v>
      </c>
      <c r="O2010">
        <v>0</v>
      </c>
      <c r="P2010">
        <v>0</v>
      </c>
      <c r="Q2010">
        <v>668</v>
      </c>
      <c r="R2010">
        <v>0.54</v>
      </c>
      <c r="S2010" t="s">
        <v>72</v>
      </c>
      <c r="T2010" s="1">
        <v>45627</v>
      </c>
      <c r="U2010">
        <v>0</v>
      </c>
    </row>
    <row r="2011" spans="1:21" x14ac:dyDescent="0.25">
      <c r="A2011" t="s">
        <v>2058</v>
      </c>
      <c r="B2011">
        <v>28</v>
      </c>
      <c r="C2011" t="s">
        <v>21</v>
      </c>
      <c r="D2011" t="s">
        <v>35</v>
      </c>
      <c r="E2011" t="s">
        <v>31</v>
      </c>
      <c r="F2011" t="s">
        <v>63</v>
      </c>
      <c r="G2011">
        <v>6512.13</v>
      </c>
      <c r="H2011">
        <v>4955.42</v>
      </c>
      <c r="I2011">
        <v>51093.2</v>
      </c>
      <c r="J2011" t="s">
        <v>25</v>
      </c>
      <c r="K2011" t="s">
        <v>33</v>
      </c>
      <c r="L2011">
        <v>424932.43</v>
      </c>
      <c r="M2011">
        <v>300</v>
      </c>
      <c r="N2011">
        <v>7170.16</v>
      </c>
      <c r="O2011">
        <v>20.11</v>
      </c>
      <c r="P2011">
        <v>1.1000000000000001</v>
      </c>
      <c r="Q2011">
        <v>377</v>
      </c>
      <c r="R2011">
        <v>0.65</v>
      </c>
      <c r="S2011" t="s">
        <v>30</v>
      </c>
      <c r="T2011" s="1">
        <v>45362</v>
      </c>
      <c r="U2011">
        <v>1</v>
      </c>
    </row>
    <row r="2012" spans="1:21" x14ac:dyDescent="0.25">
      <c r="A2012" t="s">
        <v>2059</v>
      </c>
      <c r="B2012">
        <v>59</v>
      </c>
      <c r="C2012" t="s">
        <v>21</v>
      </c>
      <c r="D2012" t="s">
        <v>22</v>
      </c>
      <c r="E2012" t="s">
        <v>31</v>
      </c>
      <c r="F2012" t="s">
        <v>23</v>
      </c>
      <c r="G2012">
        <v>3639.71</v>
      </c>
      <c r="H2012">
        <v>2163.6799999999998</v>
      </c>
      <c r="I2012">
        <v>28465.4</v>
      </c>
      <c r="J2012" t="s">
        <v>25</v>
      </c>
      <c r="K2012" t="s">
        <v>26</v>
      </c>
      <c r="L2012">
        <v>15423.73</v>
      </c>
      <c r="M2012">
        <v>36</v>
      </c>
      <c r="N2012">
        <v>523.04</v>
      </c>
      <c r="O2012">
        <v>13.45</v>
      </c>
      <c r="P2012">
        <v>0.14000000000000001</v>
      </c>
      <c r="Q2012">
        <v>795</v>
      </c>
      <c r="R2012">
        <v>0.65</v>
      </c>
      <c r="S2012" t="s">
        <v>72</v>
      </c>
      <c r="T2012" s="1">
        <v>44494</v>
      </c>
      <c r="U2012">
        <v>0</v>
      </c>
    </row>
    <row r="2013" spans="1:21" x14ac:dyDescent="0.25">
      <c r="A2013" t="s">
        <v>2060</v>
      </c>
      <c r="B2013">
        <v>33</v>
      </c>
      <c r="C2013" t="s">
        <v>29</v>
      </c>
      <c r="D2013" t="s">
        <v>35</v>
      </c>
      <c r="E2013" t="s">
        <v>31</v>
      </c>
      <c r="F2013" t="s">
        <v>24</v>
      </c>
      <c r="G2013">
        <v>4985.04</v>
      </c>
      <c r="H2013">
        <v>2010.19</v>
      </c>
      <c r="I2013">
        <v>6143.52</v>
      </c>
      <c r="J2013" t="s">
        <v>25</v>
      </c>
      <c r="K2013" t="s">
        <v>33</v>
      </c>
      <c r="L2013">
        <v>205968.67</v>
      </c>
      <c r="M2013">
        <v>360</v>
      </c>
      <c r="N2013">
        <v>4606.72</v>
      </c>
      <c r="O2013">
        <v>26.83</v>
      </c>
      <c r="P2013">
        <v>0.92</v>
      </c>
      <c r="Q2013">
        <v>680</v>
      </c>
      <c r="R2013">
        <v>0.1</v>
      </c>
      <c r="S2013" t="s">
        <v>39</v>
      </c>
      <c r="T2013" s="1">
        <v>44553</v>
      </c>
      <c r="U2013">
        <v>1</v>
      </c>
    </row>
    <row r="2014" spans="1:21" x14ac:dyDescent="0.25">
      <c r="A2014" t="s">
        <v>2061</v>
      </c>
      <c r="B2014">
        <v>61</v>
      </c>
      <c r="C2014" t="s">
        <v>21</v>
      </c>
      <c r="D2014" t="s">
        <v>35</v>
      </c>
      <c r="E2014" t="s">
        <v>31</v>
      </c>
      <c r="F2014" t="s">
        <v>32</v>
      </c>
      <c r="G2014">
        <v>2175.0100000000002</v>
      </c>
      <c r="H2014">
        <v>1758.03</v>
      </c>
      <c r="I2014">
        <v>21233.1</v>
      </c>
      <c r="J2014" t="s">
        <v>25</v>
      </c>
      <c r="K2014" t="s">
        <v>54</v>
      </c>
      <c r="L2014">
        <v>148780.13</v>
      </c>
      <c r="M2014">
        <v>300</v>
      </c>
      <c r="N2014">
        <v>3147.7</v>
      </c>
      <c r="O2014">
        <v>25.34</v>
      </c>
      <c r="P2014">
        <v>1.45</v>
      </c>
      <c r="Q2014">
        <v>638</v>
      </c>
      <c r="R2014">
        <v>0.81</v>
      </c>
      <c r="S2014" t="s">
        <v>39</v>
      </c>
      <c r="T2014" s="1">
        <v>45080</v>
      </c>
      <c r="U2014">
        <v>1</v>
      </c>
    </row>
    <row r="2015" spans="1:21" x14ac:dyDescent="0.25">
      <c r="A2015" t="s">
        <v>2062</v>
      </c>
      <c r="B2015">
        <v>47</v>
      </c>
      <c r="C2015" t="s">
        <v>21</v>
      </c>
      <c r="D2015" t="s">
        <v>41</v>
      </c>
      <c r="E2015" t="s">
        <v>51</v>
      </c>
      <c r="F2015" t="s">
        <v>42</v>
      </c>
      <c r="G2015">
        <v>2549.33</v>
      </c>
      <c r="H2015">
        <v>821.59</v>
      </c>
      <c r="I2015">
        <v>10646.98</v>
      </c>
      <c r="J2015" t="s">
        <v>37</v>
      </c>
      <c r="K2015" t="s">
        <v>38</v>
      </c>
      <c r="L2015">
        <v>0</v>
      </c>
      <c r="M2015">
        <v>0</v>
      </c>
      <c r="N2015">
        <v>0</v>
      </c>
      <c r="O2015">
        <v>0</v>
      </c>
      <c r="P2015">
        <v>0</v>
      </c>
      <c r="Q2015">
        <v>439</v>
      </c>
      <c r="R2015">
        <v>0.35</v>
      </c>
      <c r="S2015" t="s">
        <v>47</v>
      </c>
      <c r="T2015" s="1">
        <v>45181</v>
      </c>
      <c r="U2015">
        <v>0</v>
      </c>
    </row>
    <row r="2016" spans="1:21" x14ac:dyDescent="0.25">
      <c r="A2016" t="s">
        <v>2063</v>
      </c>
      <c r="B2016">
        <v>46</v>
      </c>
      <c r="C2016" t="s">
        <v>21</v>
      </c>
      <c r="D2016" t="s">
        <v>41</v>
      </c>
      <c r="E2016" t="s">
        <v>49</v>
      </c>
      <c r="F2016" t="s">
        <v>63</v>
      </c>
      <c r="G2016">
        <v>4664.2700000000004</v>
      </c>
      <c r="H2016">
        <v>1931.03</v>
      </c>
      <c r="I2016">
        <v>18672.580000000002</v>
      </c>
      <c r="J2016" t="s">
        <v>37</v>
      </c>
      <c r="K2016" t="s">
        <v>38</v>
      </c>
      <c r="L2016">
        <v>0</v>
      </c>
      <c r="M2016">
        <v>0</v>
      </c>
      <c r="N2016">
        <v>0</v>
      </c>
      <c r="O2016">
        <v>0</v>
      </c>
      <c r="P2016">
        <v>0</v>
      </c>
      <c r="Q2016">
        <v>527</v>
      </c>
      <c r="R2016">
        <v>0.33</v>
      </c>
      <c r="S2016" t="s">
        <v>39</v>
      </c>
      <c r="T2016" s="1">
        <v>45270</v>
      </c>
      <c r="U2016">
        <v>0</v>
      </c>
    </row>
    <row r="2017" spans="1:21" x14ac:dyDescent="0.25">
      <c r="A2017" t="s">
        <v>2064</v>
      </c>
      <c r="B2017">
        <v>52</v>
      </c>
      <c r="C2017" t="s">
        <v>29</v>
      </c>
      <c r="D2017" t="s">
        <v>41</v>
      </c>
      <c r="E2017" t="s">
        <v>23</v>
      </c>
      <c r="F2017" t="s">
        <v>23</v>
      </c>
      <c r="G2017">
        <v>891.95</v>
      </c>
      <c r="H2017">
        <v>558.87</v>
      </c>
      <c r="I2017">
        <v>9966.23</v>
      </c>
      <c r="J2017" t="s">
        <v>37</v>
      </c>
      <c r="K2017" t="s">
        <v>38</v>
      </c>
      <c r="L2017">
        <v>0</v>
      </c>
      <c r="M2017">
        <v>0</v>
      </c>
      <c r="N2017">
        <v>0</v>
      </c>
      <c r="O2017">
        <v>0</v>
      </c>
      <c r="P2017">
        <v>0</v>
      </c>
      <c r="Q2017">
        <v>496</v>
      </c>
      <c r="R2017">
        <v>0.93</v>
      </c>
      <c r="S2017" t="s">
        <v>47</v>
      </c>
      <c r="T2017" s="1">
        <v>44639</v>
      </c>
      <c r="U2017">
        <v>0</v>
      </c>
    </row>
    <row r="2018" spans="1:21" x14ac:dyDescent="0.25">
      <c r="A2018" t="s">
        <v>2065</v>
      </c>
      <c r="B2018">
        <v>46</v>
      </c>
      <c r="C2018" t="s">
        <v>29</v>
      </c>
      <c r="D2018" t="s">
        <v>35</v>
      </c>
      <c r="E2018" t="s">
        <v>31</v>
      </c>
      <c r="F2018" t="s">
        <v>32</v>
      </c>
      <c r="G2018">
        <v>4459.3999999999996</v>
      </c>
      <c r="H2018">
        <v>1408.06</v>
      </c>
      <c r="I2018">
        <v>18798.23</v>
      </c>
      <c r="J2018" t="s">
        <v>37</v>
      </c>
      <c r="K2018" t="s">
        <v>38</v>
      </c>
      <c r="L2018">
        <v>0</v>
      </c>
      <c r="M2018">
        <v>0</v>
      </c>
      <c r="N2018">
        <v>0</v>
      </c>
      <c r="O2018">
        <v>0</v>
      </c>
      <c r="P2018">
        <v>0</v>
      </c>
      <c r="Q2018">
        <v>724</v>
      </c>
      <c r="R2018">
        <v>0.35</v>
      </c>
      <c r="S2018" t="s">
        <v>72</v>
      </c>
      <c r="T2018" s="1">
        <v>45084</v>
      </c>
      <c r="U2018">
        <v>0</v>
      </c>
    </row>
    <row r="2019" spans="1:21" x14ac:dyDescent="0.25">
      <c r="A2019" t="s">
        <v>2066</v>
      </c>
      <c r="B2019">
        <v>23</v>
      </c>
      <c r="C2019" t="s">
        <v>21</v>
      </c>
      <c r="D2019" t="s">
        <v>22</v>
      </c>
      <c r="E2019" t="s">
        <v>51</v>
      </c>
      <c r="F2019" t="s">
        <v>24</v>
      </c>
      <c r="G2019">
        <v>2980.96</v>
      </c>
      <c r="H2019">
        <v>1484.26</v>
      </c>
      <c r="I2019">
        <v>34786.32</v>
      </c>
      <c r="J2019" t="s">
        <v>37</v>
      </c>
      <c r="K2019" t="s">
        <v>38</v>
      </c>
      <c r="L2019">
        <v>0</v>
      </c>
      <c r="M2019">
        <v>0</v>
      </c>
      <c r="N2019">
        <v>0</v>
      </c>
      <c r="O2019">
        <v>0</v>
      </c>
      <c r="P2019">
        <v>0</v>
      </c>
      <c r="Q2019">
        <v>395</v>
      </c>
      <c r="R2019">
        <v>0.97</v>
      </c>
      <c r="S2019" t="s">
        <v>27</v>
      </c>
      <c r="T2019" s="1">
        <v>44914</v>
      </c>
      <c r="U2019">
        <v>0</v>
      </c>
    </row>
    <row r="2020" spans="1:21" x14ac:dyDescent="0.25">
      <c r="A2020" t="s">
        <v>2067</v>
      </c>
      <c r="B2020">
        <v>25</v>
      </c>
      <c r="C2020" t="s">
        <v>21</v>
      </c>
      <c r="D2020" t="s">
        <v>35</v>
      </c>
      <c r="E2020" t="s">
        <v>49</v>
      </c>
      <c r="F2020" t="s">
        <v>23</v>
      </c>
      <c r="G2020">
        <v>3887.13</v>
      </c>
      <c r="H2020">
        <v>3062.48</v>
      </c>
      <c r="I2020">
        <v>45519.43</v>
      </c>
      <c r="J2020" t="s">
        <v>37</v>
      </c>
      <c r="K2020" t="s">
        <v>38</v>
      </c>
      <c r="L2020">
        <v>0</v>
      </c>
      <c r="M2020">
        <v>0</v>
      </c>
      <c r="N2020">
        <v>0</v>
      </c>
      <c r="O2020">
        <v>0</v>
      </c>
      <c r="P2020">
        <v>0</v>
      </c>
      <c r="Q2020">
        <v>678</v>
      </c>
      <c r="R2020">
        <v>0.98</v>
      </c>
      <c r="S2020" t="s">
        <v>72</v>
      </c>
      <c r="T2020" s="1">
        <v>44533</v>
      </c>
      <c r="U2020">
        <v>0</v>
      </c>
    </row>
    <row r="2021" spans="1:21" x14ac:dyDescent="0.25">
      <c r="A2021" t="s">
        <v>2068</v>
      </c>
      <c r="B2021">
        <v>52</v>
      </c>
      <c r="C2021" t="s">
        <v>29</v>
      </c>
      <c r="D2021" t="s">
        <v>22</v>
      </c>
      <c r="E2021" t="s">
        <v>31</v>
      </c>
      <c r="F2021" t="s">
        <v>49</v>
      </c>
      <c r="G2021">
        <v>3731.09</v>
      </c>
      <c r="H2021">
        <v>1902.43</v>
      </c>
      <c r="I2021">
        <v>14894.07</v>
      </c>
      <c r="J2021" t="s">
        <v>37</v>
      </c>
      <c r="K2021" t="s">
        <v>38</v>
      </c>
      <c r="L2021">
        <v>0</v>
      </c>
      <c r="M2021">
        <v>0</v>
      </c>
      <c r="N2021">
        <v>0</v>
      </c>
      <c r="O2021">
        <v>0</v>
      </c>
      <c r="P2021">
        <v>0</v>
      </c>
      <c r="Q2021">
        <v>521</v>
      </c>
      <c r="R2021">
        <v>0.33</v>
      </c>
      <c r="S2021" t="s">
        <v>30</v>
      </c>
      <c r="T2021" s="1">
        <v>45119</v>
      </c>
      <c r="U2021">
        <v>0</v>
      </c>
    </row>
    <row r="2022" spans="1:21" x14ac:dyDescent="0.25">
      <c r="A2022" t="s">
        <v>2069</v>
      </c>
      <c r="B2022">
        <v>67</v>
      </c>
      <c r="C2022" t="s">
        <v>29</v>
      </c>
      <c r="D2022" t="s">
        <v>35</v>
      </c>
      <c r="E2022" t="s">
        <v>51</v>
      </c>
      <c r="F2022" t="s">
        <v>63</v>
      </c>
      <c r="G2022">
        <v>6978.64</v>
      </c>
      <c r="H2022">
        <v>6208.84</v>
      </c>
      <c r="I2022">
        <v>63092.7</v>
      </c>
      <c r="J2022" t="s">
        <v>37</v>
      </c>
      <c r="K2022" t="s">
        <v>38</v>
      </c>
      <c r="L2022">
        <v>0</v>
      </c>
      <c r="M2022">
        <v>0</v>
      </c>
      <c r="N2022">
        <v>0</v>
      </c>
      <c r="O2022">
        <v>0</v>
      </c>
      <c r="P2022">
        <v>0</v>
      </c>
      <c r="Q2022">
        <v>732</v>
      </c>
      <c r="R2022">
        <v>0.75</v>
      </c>
      <c r="S2022" t="s">
        <v>72</v>
      </c>
      <c r="T2022" s="1">
        <v>45674</v>
      </c>
      <c r="U2022">
        <v>0</v>
      </c>
    </row>
    <row r="2023" spans="1:21" x14ac:dyDescent="0.25">
      <c r="A2023" t="s">
        <v>2070</v>
      </c>
      <c r="B2023">
        <v>33</v>
      </c>
      <c r="C2023" t="s">
        <v>29</v>
      </c>
      <c r="D2023" t="s">
        <v>22</v>
      </c>
      <c r="E2023" t="s">
        <v>31</v>
      </c>
      <c r="F2023" t="s">
        <v>42</v>
      </c>
      <c r="G2023">
        <v>918.02</v>
      </c>
      <c r="H2023">
        <v>537.25</v>
      </c>
      <c r="I2023">
        <v>5493.58</v>
      </c>
      <c r="J2023" t="s">
        <v>37</v>
      </c>
      <c r="K2023" t="s">
        <v>38</v>
      </c>
      <c r="L2023">
        <v>0</v>
      </c>
      <c r="M2023">
        <v>0</v>
      </c>
      <c r="N2023">
        <v>0</v>
      </c>
      <c r="O2023">
        <v>0</v>
      </c>
      <c r="P2023">
        <v>0</v>
      </c>
      <c r="Q2023">
        <v>617</v>
      </c>
      <c r="R2023">
        <v>0.5</v>
      </c>
      <c r="S2023" t="s">
        <v>27</v>
      </c>
      <c r="T2023" s="1">
        <v>44637</v>
      </c>
      <c r="U2023">
        <v>0</v>
      </c>
    </row>
    <row r="2024" spans="1:21" x14ac:dyDescent="0.25">
      <c r="A2024" t="s">
        <v>2071</v>
      </c>
      <c r="B2024">
        <v>21</v>
      </c>
      <c r="C2024" t="s">
        <v>29</v>
      </c>
      <c r="D2024" t="s">
        <v>56</v>
      </c>
      <c r="E2024" t="s">
        <v>23</v>
      </c>
      <c r="F2024" t="s">
        <v>49</v>
      </c>
      <c r="G2024">
        <v>1398.16</v>
      </c>
      <c r="H2024">
        <v>1142.97</v>
      </c>
      <c r="I2024">
        <v>14626.07</v>
      </c>
      <c r="J2024" t="s">
        <v>37</v>
      </c>
      <c r="K2024" t="s">
        <v>38</v>
      </c>
      <c r="L2024">
        <v>0</v>
      </c>
      <c r="M2024">
        <v>0</v>
      </c>
      <c r="N2024">
        <v>0</v>
      </c>
      <c r="O2024">
        <v>0</v>
      </c>
      <c r="P2024">
        <v>0</v>
      </c>
      <c r="Q2024">
        <v>449</v>
      </c>
      <c r="R2024">
        <v>0.87</v>
      </c>
      <c r="S2024" t="s">
        <v>30</v>
      </c>
      <c r="T2024" s="1">
        <v>45157</v>
      </c>
      <c r="U2024">
        <v>0</v>
      </c>
    </row>
    <row r="2025" spans="1:21" x14ac:dyDescent="0.25">
      <c r="A2025" t="s">
        <v>2072</v>
      </c>
      <c r="B2025">
        <v>56</v>
      </c>
      <c r="C2025" t="s">
        <v>29</v>
      </c>
      <c r="D2025" t="s">
        <v>22</v>
      </c>
      <c r="E2025" t="s">
        <v>51</v>
      </c>
      <c r="F2025" t="s">
        <v>52</v>
      </c>
      <c r="G2025">
        <v>8238.2999999999993</v>
      </c>
      <c r="H2025">
        <v>6788.41</v>
      </c>
      <c r="I2025">
        <v>80730.960000000006</v>
      </c>
      <c r="J2025" t="s">
        <v>37</v>
      </c>
      <c r="K2025" t="s">
        <v>38</v>
      </c>
      <c r="L2025">
        <v>0</v>
      </c>
      <c r="M2025">
        <v>0</v>
      </c>
      <c r="N2025">
        <v>0</v>
      </c>
      <c r="O2025">
        <v>0</v>
      </c>
      <c r="P2025">
        <v>0</v>
      </c>
      <c r="Q2025">
        <v>394</v>
      </c>
      <c r="R2025">
        <v>0.82</v>
      </c>
      <c r="S2025" t="s">
        <v>30</v>
      </c>
      <c r="T2025" s="1">
        <v>44713</v>
      </c>
      <c r="U2025">
        <v>0</v>
      </c>
    </row>
    <row r="2026" spans="1:21" x14ac:dyDescent="0.25">
      <c r="A2026" t="s">
        <v>2073</v>
      </c>
      <c r="B2026">
        <v>19</v>
      </c>
      <c r="C2026" t="s">
        <v>21</v>
      </c>
      <c r="D2026" t="s">
        <v>30</v>
      </c>
      <c r="E2026" t="s">
        <v>31</v>
      </c>
      <c r="F2026" t="s">
        <v>23</v>
      </c>
      <c r="G2026">
        <v>1204</v>
      </c>
      <c r="H2026">
        <v>529.4</v>
      </c>
      <c r="I2026">
        <v>11450.09</v>
      </c>
      <c r="J2026" t="s">
        <v>37</v>
      </c>
      <c r="K2026" t="s">
        <v>38</v>
      </c>
      <c r="L2026">
        <v>0</v>
      </c>
      <c r="M2026">
        <v>0</v>
      </c>
      <c r="N2026">
        <v>0</v>
      </c>
      <c r="O2026">
        <v>0</v>
      </c>
      <c r="P2026">
        <v>0</v>
      </c>
      <c r="Q2026">
        <v>414</v>
      </c>
      <c r="R2026">
        <v>0.79</v>
      </c>
      <c r="S2026" t="s">
        <v>47</v>
      </c>
      <c r="T2026" s="1">
        <v>44407</v>
      </c>
      <c r="U2026">
        <v>0</v>
      </c>
    </row>
    <row r="2027" spans="1:21" x14ac:dyDescent="0.25">
      <c r="A2027" t="s">
        <v>2074</v>
      </c>
      <c r="B2027">
        <v>25</v>
      </c>
      <c r="C2027" t="s">
        <v>29</v>
      </c>
      <c r="D2027" t="s">
        <v>41</v>
      </c>
      <c r="E2027" t="s">
        <v>31</v>
      </c>
      <c r="F2027" t="s">
        <v>23</v>
      </c>
      <c r="G2027">
        <v>7015.13</v>
      </c>
      <c r="H2027">
        <v>2360</v>
      </c>
      <c r="I2027">
        <v>34281.03</v>
      </c>
      <c r="J2027" t="s">
        <v>25</v>
      </c>
      <c r="K2027" t="s">
        <v>54</v>
      </c>
      <c r="L2027">
        <v>261406.44</v>
      </c>
      <c r="M2027">
        <v>36</v>
      </c>
      <c r="N2027">
        <v>9987.2900000000009</v>
      </c>
      <c r="O2027">
        <v>22.03</v>
      </c>
      <c r="P2027">
        <v>1.42</v>
      </c>
      <c r="Q2027">
        <v>756</v>
      </c>
      <c r="R2027">
        <v>0.41</v>
      </c>
      <c r="S2027" t="s">
        <v>72</v>
      </c>
      <c r="T2027" s="1">
        <v>45464</v>
      </c>
      <c r="U2027">
        <v>1</v>
      </c>
    </row>
    <row r="2028" spans="1:21" x14ac:dyDescent="0.25">
      <c r="A2028" t="s">
        <v>2075</v>
      </c>
      <c r="B2028">
        <v>62</v>
      </c>
      <c r="C2028" t="s">
        <v>29</v>
      </c>
      <c r="D2028" t="s">
        <v>35</v>
      </c>
      <c r="E2028" t="s">
        <v>51</v>
      </c>
      <c r="F2028" t="s">
        <v>23</v>
      </c>
      <c r="G2028">
        <v>7282.24</v>
      </c>
      <c r="H2028">
        <v>4675.0200000000004</v>
      </c>
      <c r="I2028">
        <v>20448.09</v>
      </c>
      <c r="J2028" t="s">
        <v>37</v>
      </c>
      <c r="K2028" t="s">
        <v>38</v>
      </c>
      <c r="L2028">
        <v>0</v>
      </c>
      <c r="M2028">
        <v>0</v>
      </c>
      <c r="N2028">
        <v>0</v>
      </c>
      <c r="O2028">
        <v>0</v>
      </c>
      <c r="P2028">
        <v>0</v>
      </c>
      <c r="Q2028">
        <v>850</v>
      </c>
      <c r="R2028">
        <v>0.23</v>
      </c>
      <c r="S2028" t="s">
        <v>27</v>
      </c>
      <c r="T2028" s="1">
        <v>45623</v>
      </c>
      <c r="U2028">
        <v>0</v>
      </c>
    </row>
    <row r="2029" spans="1:21" x14ac:dyDescent="0.25">
      <c r="A2029" t="s">
        <v>2076</v>
      </c>
      <c r="B2029">
        <v>60</v>
      </c>
      <c r="C2029" t="s">
        <v>29</v>
      </c>
      <c r="D2029" t="s">
        <v>41</v>
      </c>
      <c r="E2029" t="s">
        <v>31</v>
      </c>
      <c r="F2029" t="s">
        <v>63</v>
      </c>
      <c r="G2029">
        <v>6455.26</v>
      </c>
      <c r="H2029">
        <v>2445.4299999999998</v>
      </c>
      <c r="I2029">
        <v>10591.13</v>
      </c>
      <c r="J2029" t="s">
        <v>37</v>
      </c>
      <c r="K2029" t="s">
        <v>38</v>
      </c>
      <c r="L2029">
        <v>0</v>
      </c>
      <c r="M2029">
        <v>0</v>
      </c>
      <c r="N2029">
        <v>0</v>
      </c>
      <c r="O2029">
        <v>0</v>
      </c>
      <c r="P2029">
        <v>0</v>
      </c>
      <c r="Q2029">
        <v>357</v>
      </c>
      <c r="R2029">
        <v>0.14000000000000001</v>
      </c>
      <c r="S2029" t="s">
        <v>72</v>
      </c>
      <c r="T2029" s="1">
        <v>45623</v>
      </c>
      <c r="U2029">
        <v>0</v>
      </c>
    </row>
    <row r="2030" spans="1:21" x14ac:dyDescent="0.25">
      <c r="A2030" t="s">
        <v>2077</v>
      </c>
      <c r="B2030">
        <v>48</v>
      </c>
      <c r="C2030" t="s">
        <v>29</v>
      </c>
      <c r="D2030" t="s">
        <v>41</v>
      </c>
      <c r="E2030" t="s">
        <v>31</v>
      </c>
      <c r="F2030" t="s">
        <v>42</v>
      </c>
      <c r="G2030">
        <v>6269.89</v>
      </c>
      <c r="H2030">
        <v>4777.28</v>
      </c>
      <c r="I2030">
        <v>36464.51</v>
      </c>
      <c r="J2030" t="s">
        <v>37</v>
      </c>
      <c r="K2030" t="s">
        <v>38</v>
      </c>
      <c r="L2030">
        <v>0</v>
      </c>
      <c r="M2030">
        <v>0</v>
      </c>
      <c r="N2030">
        <v>0</v>
      </c>
      <c r="O2030">
        <v>0</v>
      </c>
      <c r="P2030">
        <v>0</v>
      </c>
      <c r="Q2030">
        <v>814</v>
      </c>
      <c r="R2030">
        <v>0.48</v>
      </c>
      <c r="S2030" t="s">
        <v>39</v>
      </c>
      <c r="T2030" s="1">
        <v>45544</v>
      </c>
      <c r="U2030">
        <v>0</v>
      </c>
    </row>
    <row r="2031" spans="1:21" x14ac:dyDescent="0.25">
      <c r="A2031" t="s">
        <v>2078</v>
      </c>
      <c r="B2031">
        <v>62</v>
      </c>
      <c r="C2031" t="s">
        <v>21</v>
      </c>
      <c r="D2031" t="s">
        <v>35</v>
      </c>
      <c r="E2031" t="s">
        <v>31</v>
      </c>
      <c r="F2031" t="s">
        <v>52</v>
      </c>
      <c r="G2031">
        <v>2282.3200000000002</v>
      </c>
      <c r="H2031">
        <v>1382.96</v>
      </c>
      <c r="I2031">
        <v>13465.48</v>
      </c>
      <c r="J2031" t="s">
        <v>37</v>
      </c>
      <c r="K2031" t="s">
        <v>38</v>
      </c>
      <c r="L2031">
        <v>0</v>
      </c>
      <c r="M2031">
        <v>0</v>
      </c>
      <c r="N2031">
        <v>0</v>
      </c>
      <c r="O2031">
        <v>0</v>
      </c>
      <c r="P2031">
        <v>0</v>
      </c>
      <c r="Q2031">
        <v>340</v>
      </c>
      <c r="R2031">
        <v>0.49</v>
      </c>
      <c r="S2031" t="s">
        <v>30</v>
      </c>
      <c r="T2031" s="1">
        <v>44978</v>
      </c>
      <c r="U2031">
        <v>0</v>
      </c>
    </row>
    <row r="2032" spans="1:21" x14ac:dyDescent="0.25">
      <c r="A2032" t="s">
        <v>2079</v>
      </c>
      <c r="B2032">
        <v>52</v>
      </c>
      <c r="C2032" t="s">
        <v>29</v>
      </c>
      <c r="D2032" t="s">
        <v>35</v>
      </c>
      <c r="E2032" t="s">
        <v>31</v>
      </c>
      <c r="F2032" t="s">
        <v>42</v>
      </c>
      <c r="G2032">
        <v>3311.6</v>
      </c>
      <c r="H2032">
        <v>2076.98</v>
      </c>
      <c r="I2032">
        <v>33549.75</v>
      </c>
      <c r="J2032" t="s">
        <v>37</v>
      </c>
      <c r="K2032" t="s">
        <v>38</v>
      </c>
      <c r="L2032">
        <v>0</v>
      </c>
      <c r="M2032">
        <v>0</v>
      </c>
      <c r="N2032">
        <v>0</v>
      </c>
      <c r="O2032">
        <v>0</v>
      </c>
      <c r="P2032">
        <v>0</v>
      </c>
      <c r="Q2032">
        <v>591</v>
      </c>
      <c r="R2032">
        <v>0.84</v>
      </c>
      <c r="S2032" t="s">
        <v>30</v>
      </c>
      <c r="T2032" s="1">
        <v>45839</v>
      </c>
      <c r="U2032">
        <v>0</v>
      </c>
    </row>
    <row r="2033" spans="1:21" x14ac:dyDescent="0.25">
      <c r="A2033" t="s">
        <v>2080</v>
      </c>
      <c r="B2033">
        <v>67</v>
      </c>
      <c r="C2033" t="s">
        <v>29</v>
      </c>
      <c r="D2033" t="s">
        <v>22</v>
      </c>
      <c r="E2033" t="s">
        <v>31</v>
      </c>
      <c r="F2033" t="s">
        <v>23</v>
      </c>
      <c r="G2033">
        <v>3533.08</v>
      </c>
      <c r="H2033">
        <v>2939.95</v>
      </c>
      <c r="I2033">
        <v>30642.720000000001</v>
      </c>
      <c r="J2033" t="s">
        <v>37</v>
      </c>
      <c r="K2033" t="s">
        <v>38</v>
      </c>
      <c r="L2033">
        <v>0</v>
      </c>
      <c r="M2033">
        <v>0</v>
      </c>
      <c r="N2033">
        <v>0</v>
      </c>
      <c r="O2033">
        <v>0</v>
      </c>
      <c r="P2033">
        <v>0</v>
      </c>
      <c r="Q2033">
        <v>624</v>
      </c>
      <c r="R2033">
        <v>0.72</v>
      </c>
      <c r="S2033" t="s">
        <v>30</v>
      </c>
      <c r="T2033" s="1">
        <v>45800</v>
      </c>
      <c r="U2033">
        <v>0</v>
      </c>
    </row>
    <row r="2034" spans="1:21" x14ac:dyDescent="0.25">
      <c r="A2034" t="s">
        <v>2081</v>
      </c>
      <c r="B2034">
        <v>63</v>
      </c>
      <c r="C2034" t="s">
        <v>21</v>
      </c>
      <c r="D2034" t="s">
        <v>41</v>
      </c>
      <c r="E2034" t="s">
        <v>31</v>
      </c>
      <c r="F2034" t="s">
        <v>24</v>
      </c>
      <c r="G2034">
        <v>523.04999999999995</v>
      </c>
      <c r="H2034">
        <v>457.09</v>
      </c>
      <c r="I2034">
        <v>3035.19</v>
      </c>
      <c r="J2034" t="s">
        <v>37</v>
      </c>
      <c r="K2034" t="s">
        <v>38</v>
      </c>
      <c r="L2034">
        <v>0</v>
      </c>
      <c r="M2034">
        <v>0</v>
      </c>
      <c r="N2034">
        <v>0</v>
      </c>
      <c r="O2034">
        <v>0</v>
      </c>
      <c r="P2034">
        <v>0</v>
      </c>
      <c r="Q2034">
        <v>761</v>
      </c>
      <c r="R2034">
        <v>0.48</v>
      </c>
      <c r="S2034" t="s">
        <v>72</v>
      </c>
      <c r="T2034" s="1">
        <v>45856</v>
      </c>
      <c r="U2034">
        <v>0</v>
      </c>
    </row>
    <row r="2035" spans="1:21" x14ac:dyDescent="0.25">
      <c r="A2035" t="s">
        <v>2082</v>
      </c>
      <c r="B2035">
        <v>21</v>
      </c>
      <c r="C2035" t="s">
        <v>21</v>
      </c>
      <c r="D2035" t="s">
        <v>56</v>
      </c>
      <c r="E2035" t="s">
        <v>23</v>
      </c>
      <c r="F2035" t="s">
        <v>44</v>
      </c>
      <c r="G2035">
        <v>4473.16</v>
      </c>
      <c r="H2035">
        <v>3582.82</v>
      </c>
      <c r="I2035">
        <v>7664.05</v>
      </c>
      <c r="J2035" t="s">
        <v>25</v>
      </c>
      <c r="K2035" t="s">
        <v>54</v>
      </c>
      <c r="L2035">
        <v>310321.49</v>
      </c>
      <c r="M2035">
        <v>360</v>
      </c>
      <c r="N2035">
        <v>4315.99</v>
      </c>
      <c r="O2035">
        <v>16.57</v>
      </c>
      <c r="P2035">
        <v>0.96</v>
      </c>
      <c r="Q2035">
        <v>850</v>
      </c>
      <c r="R2035">
        <v>0.14000000000000001</v>
      </c>
      <c r="S2035" t="s">
        <v>47</v>
      </c>
      <c r="T2035" s="1">
        <v>45339</v>
      </c>
      <c r="U2035">
        <v>1</v>
      </c>
    </row>
    <row r="2036" spans="1:21" x14ac:dyDescent="0.25">
      <c r="A2036" t="s">
        <v>2083</v>
      </c>
      <c r="B2036">
        <v>56</v>
      </c>
      <c r="C2036" t="s">
        <v>29</v>
      </c>
      <c r="D2036" t="s">
        <v>41</v>
      </c>
      <c r="E2036" t="s">
        <v>31</v>
      </c>
      <c r="F2036" t="s">
        <v>23</v>
      </c>
      <c r="G2036">
        <v>4093.72</v>
      </c>
      <c r="H2036">
        <v>1352.34</v>
      </c>
      <c r="I2036">
        <v>28701.53</v>
      </c>
      <c r="J2036" t="s">
        <v>37</v>
      </c>
      <c r="K2036" t="s">
        <v>38</v>
      </c>
      <c r="L2036">
        <v>0</v>
      </c>
      <c r="M2036">
        <v>0</v>
      </c>
      <c r="N2036">
        <v>0</v>
      </c>
      <c r="O2036">
        <v>0</v>
      </c>
      <c r="P2036">
        <v>0</v>
      </c>
      <c r="Q2036">
        <v>671</v>
      </c>
      <c r="R2036">
        <v>0.57999999999999996</v>
      </c>
      <c r="S2036" t="s">
        <v>27</v>
      </c>
      <c r="T2036" s="1">
        <v>45821</v>
      </c>
      <c r="U2036">
        <v>0</v>
      </c>
    </row>
    <row r="2037" spans="1:21" x14ac:dyDescent="0.25">
      <c r="A2037" t="s">
        <v>2084</v>
      </c>
      <c r="B2037">
        <v>22</v>
      </c>
      <c r="C2037" t="s">
        <v>21</v>
      </c>
      <c r="D2037" t="s">
        <v>22</v>
      </c>
      <c r="E2037" t="s">
        <v>23</v>
      </c>
      <c r="F2037" t="s">
        <v>44</v>
      </c>
      <c r="G2037">
        <v>6440.4</v>
      </c>
      <c r="H2037">
        <v>4814.7299999999996</v>
      </c>
      <c r="I2037">
        <v>47898.33</v>
      </c>
      <c r="J2037" t="s">
        <v>37</v>
      </c>
      <c r="K2037" t="s">
        <v>38</v>
      </c>
      <c r="L2037">
        <v>0</v>
      </c>
      <c r="M2037">
        <v>0</v>
      </c>
      <c r="N2037">
        <v>0</v>
      </c>
      <c r="O2037">
        <v>0</v>
      </c>
      <c r="P2037">
        <v>0</v>
      </c>
      <c r="Q2037">
        <v>335</v>
      </c>
      <c r="R2037">
        <v>0.62</v>
      </c>
      <c r="S2037" t="s">
        <v>72</v>
      </c>
      <c r="T2037" s="1">
        <v>44855</v>
      </c>
      <c r="U2037">
        <v>0</v>
      </c>
    </row>
    <row r="2038" spans="1:21" x14ac:dyDescent="0.25">
      <c r="A2038" t="s">
        <v>2085</v>
      </c>
      <c r="B2038">
        <v>42</v>
      </c>
      <c r="C2038" t="s">
        <v>21</v>
      </c>
      <c r="D2038" t="s">
        <v>35</v>
      </c>
      <c r="E2038" t="s">
        <v>31</v>
      </c>
      <c r="F2038" t="s">
        <v>52</v>
      </c>
      <c r="G2038">
        <v>5233.66</v>
      </c>
      <c r="H2038">
        <v>3382.16</v>
      </c>
      <c r="I2038">
        <v>48598.17</v>
      </c>
      <c r="J2038" t="s">
        <v>37</v>
      </c>
      <c r="K2038" t="s">
        <v>38</v>
      </c>
      <c r="L2038">
        <v>0</v>
      </c>
      <c r="M2038">
        <v>0</v>
      </c>
      <c r="N2038">
        <v>0</v>
      </c>
      <c r="O2038">
        <v>0</v>
      </c>
      <c r="P2038">
        <v>0</v>
      </c>
      <c r="Q2038">
        <v>327</v>
      </c>
      <c r="R2038">
        <v>0.77</v>
      </c>
      <c r="S2038" t="s">
        <v>47</v>
      </c>
      <c r="T2038" s="1">
        <v>45656</v>
      </c>
      <c r="U2038">
        <v>0</v>
      </c>
    </row>
    <row r="2039" spans="1:21" x14ac:dyDescent="0.25">
      <c r="A2039" t="s">
        <v>2086</v>
      </c>
      <c r="B2039">
        <v>63</v>
      </c>
      <c r="C2039" t="s">
        <v>29</v>
      </c>
      <c r="D2039" t="s">
        <v>22</v>
      </c>
      <c r="E2039" t="s">
        <v>51</v>
      </c>
      <c r="F2039" t="s">
        <v>44</v>
      </c>
      <c r="G2039">
        <v>3784.58</v>
      </c>
      <c r="H2039">
        <v>2476.0500000000002</v>
      </c>
      <c r="I2039">
        <v>9642.52</v>
      </c>
      <c r="J2039" t="s">
        <v>37</v>
      </c>
      <c r="K2039" t="s">
        <v>38</v>
      </c>
      <c r="L2039">
        <v>0</v>
      </c>
      <c r="M2039">
        <v>0</v>
      </c>
      <c r="N2039">
        <v>0</v>
      </c>
      <c r="O2039">
        <v>0</v>
      </c>
      <c r="P2039">
        <v>0</v>
      </c>
      <c r="Q2039">
        <v>810</v>
      </c>
      <c r="R2039">
        <v>0.21</v>
      </c>
      <c r="S2039" t="s">
        <v>72</v>
      </c>
      <c r="T2039" s="1">
        <v>44901</v>
      </c>
      <c r="U2039">
        <v>0</v>
      </c>
    </row>
    <row r="2040" spans="1:21" x14ac:dyDescent="0.25">
      <c r="A2040" t="s">
        <v>2087</v>
      </c>
      <c r="B2040">
        <v>62</v>
      </c>
      <c r="C2040" t="s">
        <v>21</v>
      </c>
      <c r="D2040" t="s">
        <v>35</v>
      </c>
      <c r="E2040" t="s">
        <v>51</v>
      </c>
      <c r="F2040" t="s">
        <v>36</v>
      </c>
      <c r="G2040">
        <v>7285.13</v>
      </c>
      <c r="H2040">
        <v>3573.89</v>
      </c>
      <c r="I2040">
        <v>52376.4</v>
      </c>
      <c r="J2040" t="s">
        <v>37</v>
      </c>
      <c r="K2040" t="s">
        <v>38</v>
      </c>
      <c r="L2040">
        <v>0</v>
      </c>
      <c r="M2040">
        <v>0</v>
      </c>
      <c r="N2040">
        <v>0</v>
      </c>
      <c r="O2040">
        <v>0</v>
      </c>
      <c r="P2040">
        <v>0</v>
      </c>
      <c r="Q2040">
        <v>659</v>
      </c>
      <c r="R2040">
        <v>0.6</v>
      </c>
      <c r="S2040" t="s">
        <v>39</v>
      </c>
      <c r="T2040" s="1">
        <v>45372</v>
      </c>
      <c r="U2040">
        <v>0</v>
      </c>
    </row>
    <row r="2041" spans="1:21" x14ac:dyDescent="0.25">
      <c r="A2041" t="s">
        <v>2088</v>
      </c>
      <c r="B2041">
        <v>54</v>
      </c>
      <c r="C2041" t="s">
        <v>21</v>
      </c>
      <c r="D2041" t="s">
        <v>41</v>
      </c>
      <c r="E2041" t="s">
        <v>51</v>
      </c>
      <c r="F2041" t="s">
        <v>24</v>
      </c>
      <c r="G2041">
        <v>3855.42</v>
      </c>
      <c r="H2041">
        <v>2574.85</v>
      </c>
      <c r="I2041">
        <v>44344.39</v>
      </c>
      <c r="J2041" t="s">
        <v>37</v>
      </c>
      <c r="K2041" t="s">
        <v>38</v>
      </c>
      <c r="L2041">
        <v>0</v>
      </c>
      <c r="M2041">
        <v>0</v>
      </c>
      <c r="N2041">
        <v>0</v>
      </c>
      <c r="O2041">
        <v>0</v>
      </c>
      <c r="P2041">
        <v>0</v>
      </c>
      <c r="Q2041">
        <v>314</v>
      </c>
      <c r="R2041">
        <v>0.96</v>
      </c>
      <c r="S2041" t="s">
        <v>39</v>
      </c>
      <c r="T2041" s="1">
        <v>45363</v>
      </c>
      <c r="U2041">
        <v>0</v>
      </c>
    </row>
    <row r="2042" spans="1:21" x14ac:dyDescent="0.25">
      <c r="A2042" t="s">
        <v>2089</v>
      </c>
      <c r="B2042">
        <v>44</v>
      </c>
      <c r="C2042" t="s">
        <v>21</v>
      </c>
      <c r="D2042" t="s">
        <v>22</v>
      </c>
      <c r="E2042" t="s">
        <v>51</v>
      </c>
      <c r="F2042" t="s">
        <v>63</v>
      </c>
      <c r="G2042">
        <v>500</v>
      </c>
      <c r="H2042">
        <v>435.93</v>
      </c>
      <c r="I2042">
        <v>2864.58</v>
      </c>
      <c r="J2042" t="s">
        <v>37</v>
      </c>
      <c r="K2042" t="s">
        <v>38</v>
      </c>
      <c r="L2042">
        <v>0</v>
      </c>
      <c r="M2042">
        <v>0</v>
      </c>
      <c r="N2042">
        <v>0</v>
      </c>
      <c r="O2042">
        <v>0</v>
      </c>
      <c r="P2042">
        <v>0</v>
      </c>
      <c r="Q2042">
        <v>436</v>
      </c>
      <c r="R2042">
        <v>0.48</v>
      </c>
      <c r="S2042" t="s">
        <v>30</v>
      </c>
      <c r="T2042" s="1">
        <v>44671</v>
      </c>
      <c r="U2042">
        <v>0</v>
      </c>
    </row>
    <row r="2043" spans="1:21" x14ac:dyDescent="0.25">
      <c r="A2043" t="s">
        <v>2090</v>
      </c>
      <c r="B2043">
        <v>35</v>
      </c>
      <c r="C2043" t="s">
        <v>21</v>
      </c>
      <c r="D2043" t="s">
        <v>22</v>
      </c>
      <c r="E2043" t="s">
        <v>31</v>
      </c>
      <c r="F2043" t="s">
        <v>44</v>
      </c>
      <c r="G2043">
        <v>2679.8</v>
      </c>
      <c r="H2043">
        <v>2406.09</v>
      </c>
      <c r="I2043">
        <v>18437.84</v>
      </c>
      <c r="J2043" t="s">
        <v>37</v>
      </c>
      <c r="K2043" t="s">
        <v>38</v>
      </c>
      <c r="L2043">
        <v>0</v>
      </c>
      <c r="M2043">
        <v>0</v>
      </c>
      <c r="N2043">
        <v>0</v>
      </c>
      <c r="O2043">
        <v>0</v>
      </c>
      <c r="P2043">
        <v>0</v>
      </c>
      <c r="Q2043">
        <v>749</v>
      </c>
      <c r="R2043">
        <v>0.56999999999999995</v>
      </c>
      <c r="S2043" t="s">
        <v>27</v>
      </c>
      <c r="T2043" s="1">
        <v>44560</v>
      </c>
      <c r="U2043">
        <v>0</v>
      </c>
    </row>
    <row r="2044" spans="1:21" x14ac:dyDescent="0.25">
      <c r="A2044" t="s">
        <v>2091</v>
      </c>
      <c r="B2044">
        <v>52</v>
      </c>
      <c r="C2044" t="s">
        <v>29</v>
      </c>
      <c r="D2044" t="s">
        <v>35</v>
      </c>
      <c r="E2044" t="s">
        <v>31</v>
      </c>
      <c r="F2044" t="s">
        <v>36</v>
      </c>
      <c r="G2044">
        <v>4795.6499999999996</v>
      </c>
      <c r="H2044">
        <v>2571.12</v>
      </c>
      <c r="I2044">
        <v>6281.98</v>
      </c>
      <c r="J2044" t="s">
        <v>25</v>
      </c>
      <c r="K2044" t="s">
        <v>45</v>
      </c>
      <c r="L2044">
        <v>166849.26999999999</v>
      </c>
      <c r="M2044">
        <v>300</v>
      </c>
      <c r="N2044">
        <v>1039.5999999999999</v>
      </c>
      <c r="O2044">
        <v>5.65</v>
      </c>
      <c r="P2044">
        <v>0.22</v>
      </c>
      <c r="Q2044">
        <v>326</v>
      </c>
      <c r="R2044">
        <v>0.11</v>
      </c>
      <c r="S2044" t="s">
        <v>39</v>
      </c>
      <c r="T2044" s="1">
        <v>45501</v>
      </c>
      <c r="U2044">
        <v>0</v>
      </c>
    </row>
    <row r="2045" spans="1:21" x14ac:dyDescent="0.25">
      <c r="A2045" t="s">
        <v>2092</v>
      </c>
      <c r="B2045">
        <v>26</v>
      </c>
      <c r="C2045" t="s">
        <v>29</v>
      </c>
      <c r="D2045" t="s">
        <v>35</v>
      </c>
      <c r="E2045" t="s">
        <v>51</v>
      </c>
      <c r="F2045" t="s">
        <v>32</v>
      </c>
      <c r="G2045">
        <v>6321.74</v>
      </c>
      <c r="H2045">
        <v>2187.35</v>
      </c>
      <c r="I2045">
        <v>46745.82</v>
      </c>
      <c r="J2045" t="s">
        <v>25</v>
      </c>
      <c r="K2045" t="s">
        <v>54</v>
      </c>
      <c r="L2045">
        <v>30020.07</v>
      </c>
      <c r="M2045">
        <v>36</v>
      </c>
      <c r="N2045">
        <v>1184.56</v>
      </c>
      <c r="O2045">
        <v>24.43</v>
      </c>
      <c r="P2045">
        <v>0.19</v>
      </c>
      <c r="Q2045">
        <v>606</v>
      </c>
      <c r="R2045">
        <v>0.62</v>
      </c>
      <c r="S2045" t="s">
        <v>47</v>
      </c>
      <c r="T2045" s="1">
        <v>45788</v>
      </c>
      <c r="U2045">
        <v>0</v>
      </c>
    </row>
    <row r="2046" spans="1:21" x14ac:dyDescent="0.25">
      <c r="A2046" t="s">
        <v>2093</v>
      </c>
      <c r="B2046">
        <v>40</v>
      </c>
      <c r="C2046" t="s">
        <v>29</v>
      </c>
      <c r="D2046" t="s">
        <v>41</v>
      </c>
      <c r="E2046" t="s">
        <v>31</v>
      </c>
      <c r="F2046" t="s">
        <v>23</v>
      </c>
      <c r="G2046">
        <v>5233.1499999999996</v>
      </c>
      <c r="H2046">
        <v>2940.05</v>
      </c>
      <c r="I2046">
        <v>34478.81</v>
      </c>
      <c r="J2046" t="s">
        <v>25</v>
      </c>
      <c r="K2046" t="s">
        <v>33</v>
      </c>
      <c r="L2046">
        <v>43877.99</v>
      </c>
      <c r="M2046">
        <v>36</v>
      </c>
      <c r="N2046">
        <v>1669.37</v>
      </c>
      <c r="O2046">
        <v>21.72</v>
      </c>
      <c r="P2046">
        <v>0.32</v>
      </c>
      <c r="Q2046">
        <v>578</v>
      </c>
      <c r="R2046">
        <v>0.55000000000000004</v>
      </c>
      <c r="S2046" t="s">
        <v>39</v>
      </c>
      <c r="T2046" s="1">
        <v>44611</v>
      </c>
      <c r="U2046">
        <v>0</v>
      </c>
    </row>
    <row r="2047" spans="1:21" x14ac:dyDescent="0.25">
      <c r="A2047" t="s">
        <v>2094</v>
      </c>
      <c r="B2047">
        <v>33</v>
      </c>
      <c r="C2047" t="s">
        <v>21</v>
      </c>
      <c r="D2047" t="s">
        <v>35</v>
      </c>
      <c r="E2047" t="s">
        <v>31</v>
      </c>
      <c r="F2047" t="s">
        <v>63</v>
      </c>
      <c r="G2047">
        <v>5752.06</v>
      </c>
      <c r="H2047">
        <v>3515.44</v>
      </c>
      <c r="I2047">
        <v>19690.63</v>
      </c>
      <c r="J2047" t="s">
        <v>37</v>
      </c>
      <c r="K2047" t="s">
        <v>38</v>
      </c>
      <c r="L2047">
        <v>0</v>
      </c>
      <c r="M2047">
        <v>0</v>
      </c>
      <c r="N2047">
        <v>0</v>
      </c>
      <c r="O2047">
        <v>0</v>
      </c>
      <c r="P2047">
        <v>0</v>
      </c>
      <c r="Q2047">
        <v>365</v>
      </c>
      <c r="R2047">
        <v>0.28999999999999998</v>
      </c>
      <c r="S2047" t="s">
        <v>47</v>
      </c>
      <c r="T2047" s="1">
        <v>44725</v>
      </c>
      <c r="U2047">
        <v>0</v>
      </c>
    </row>
    <row r="2048" spans="1:21" x14ac:dyDescent="0.25">
      <c r="A2048" t="s">
        <v>2095</v>
      </c>
      <c r="B2048">
        <v>25</v>
      </c>
      <c r="C2048" t="s">
        <v>29</v>
      </c>
      <c r="D2048" t="s">
        <v>35</v>
      </c>
      <c r="E2048" t="s">
        <v>51</v>
      </c>
      <c r="F2048" t="s">
        <v>44</v>
      </c>
      <c r="G2048">
        <v>5515.13</v>
      </c>
      <c r="H2048">
        <v>3907.91</v>
      </c>
      <c r="I2048">
        <v>54808.19</v>
      </c>
      <c r="J2048" t="s">
        <v>37</v>
      </c>
      <c r="K2048" t="s">
        <v>38</v>
      </c>
      <c r="L2048">
        <v>0</v>
      </c>
      <c r="M2048">
        <v>0</v>
      </c>
      <c r="N2048">
        <v>0</v>
      </c>
      <c r="O2048">
        <v>0</v>
      </c>
      <c r="P2048">
        <v>0</v>
      </c>
      <c r="Q2048">
        <v>776</v>
      </c>
      <c r="R2048">
        <v>0.83</v>
      </c>
      <c r="S2048" t="s">
        <v>39</v>
      </c>
      <c r="T2048" s="1">
        <v>45569</v>
      </c>
      <c r="U2048">
        <v>0</v>
      </c>
    </row>
    <row r="2049" spans="1:21" x14ac:dyDescent="0.25">
      <c r="A2049" t="s">
        <v>2096</v>
      </c>
      <c r="B2049">
        <v>55</v>
      </c>
      <c r="C2049" t="s">
        <v>30</v>
      </c>
      <c r="D2049" t="s">
        <v>22</v>
      </c>
      <c r="E2049" t="s">
        <v>31</v>
      </c>
      <c r="F2049" t="s">
        <v>32</v>
      </c>
      <c r="G2049">
        <v>5458.17</v>
      </c>
      <c r="H2049">
        <v>3084.08</v>
      </c>
      <c r="I2049">
        <v>14946.52</v>
      </c>
      <c r="J2049" t="s">
        <v>37</v>
      </c>
      <c r="K2049" t="s">
        <v>38</v>
      </c>
      <c r="L2049">
        <v>0</v>
      </c>
      <c r="M2049">
        <v>0</v>
      </c>
      <c r="N2049">
        <v>0</v>
      </c>
      <c r="O2049">
        <v>0</v>
      </c>
      <c r="P2049">
        <v>0</v>
      </c>
      <c r="Q2049">
        <v>602</v>
      </c>
      <c r="R2049">
        <v>0.23</v>
      </c>
      <c r="S2049" t="s">
        <v>39</v>
      </c>
      <c r="T2049" s="1">
        <v>45197</v>
      </c>
      <c r="U2049">
        <v>0</v>
      </c>
    </row>
    <row r="2050" spans="1:21" x14ac:dyDescent="0.25">
      <c r="A2050" t="s">
        <v>2097</v>
      </c>
      <c r="B2050">
        <v>27</v>
      </c>
      <c r="C2050" t="s">
        <v>21</v>
      </c>
      <c r="D2050" t="s">
        <v>35</v>
      </c>
      <c r="E2050" t="s">
        <v>31</v>
      </c>
      <c r="F2050" t="s">
        <v>44</v>
      </c>
      <c r="G2050">
        <v>4086.29</v>
      </c>
      <c r="H2050">
        <v>2753.11</v>
      </c>
      <c r="I2050">
        <v>44035.66</v>
      </c>
      <c r="J2050" t="s">
        <v>25</v>
      </c>
      <c r="K2050" t="s">
        <v>33</v>
      </c>
      <c r="L2050">
        <v>5860.02</v>
      </c>
      <c r="M2050">
        <v>240</v>
      </c>
      <c r="N2050">
        <v>62.53</v>
      </c>
      <c r="O2050">
        <v>11.51</v>
      </c>
      <c r="P2050">
        <v>0.02</v>
      </c>
      <c r="Q2050">
        <v>418</v>
      </c>
      <c r="R2050">
        <v>0.9</v>
      </c>
      <c r="S2050" t="s">
        <v>72</v>
      </c>
      <c r="T2050" s="1">
        <v>45347</v>
      </c>
      <c r="U2050">
        <v>0</v>
      </c>
    </row>
    <row r="2051" spans="1:21" x14ac:dyDescent="0.25">
      <c r="A2051" t="s">
        <v>2098</v>
      </c>
      <c r="B2051">
        <v>41</v>
      </c>
      <c r="C2051" t="s">
        <v>21</v>
      </c>
      <c r="D2051" t="s">
        <v>41</v>
      </c>
      <c r="E2051" t="s">
        <v>51</v>
      </c>
      <c r="F2051" t="s">
        <v>24</v>
      </c>
      <c r="G2051">
        <v>500</v>
      </c>
      <c r="H2051">
        <v>397.62</v>
      </c>
      <c r="I2051">
        <v>3687</v>
      </c>
      <c r="J2051" t="s">
        <v>37</v>
      </c>
      <c r="K2051" t="s">
        <v>38</v>
      </c>
      <c r="L2051">
        <v>0</v>
      </c>
      <c r="M2051">
        <v>0</v>
      </c>
      <c r="N2051">
        <v>0</v>
      </c>
      <c r="O2051">
        <v>0</v>
      </c>
      <c r="P2051">
        <v>0</v>
      </c>
      <c r="Q2051">
        <v>818</v>
      </c>
      <c r="R2051">
        <v>0.61</v>
      </c>
      <c r="S2051" t="s">
        <v>27</v>
      </c>
      <c r="T2051" s="1">
        <v>45123</v>
      </c>
      <c r="U2051">
        <v>0</v>
      </c>
    </row>
    <row r="2052" spans="1:21" x14ac:dyDescent="0.25">
      <c r="A2052" t="s">
        <v>2099</v>
      </c>
      <c r="B2052">
        <v>54</v>
      </c>
      <c r="C2052" t="s">
        <v>21</v>
      </c>
      <c r="D2052" t="s">
        <v>30</v>
      </c>
      <c r="E2052" t="s">
        <v>31</v>
      </c>
      <c r="F2052" t="s">
        <v>36</v>
      </c>
      <c r="G2052">
        <v>6231.98</v>
      </c>
      <c r="H2052">
        <v>1921.89</v>
      </c>
      <c r="I2052">
        <v>34275.31</v>
      </c>
      <c r="J2052" t="s">
        <v>25</v>
      </c>
      <c r="K2052" t="s">
        <v>26</v>
      </c>
      <c r="L2052">
        <v>305916.65000000002</v>
      </c>
      <c r="M2052">
        <v>360</v>
      </c>
      <c r="N2052">
        <v>2608.1</v>
      </c>
      <c r="O2052">
        <v>9.66</v>
      </c>
      <c r="P2052">
        <v>0.42</v>
      </c>
      <c r="Q2052">
        <v>636</v>
      </c>
      <c r="R2052">
        <v>0.46</v>
      </c>
      <c r="S2052" t="s">
        <v>30</v>
      </c>
      <c r="T2052" s="1">
        <v>44841</v>
      </c>
      <c r="U2052">
        <v>1</v>
      </c>
    </row>
    <row r="2053" spans="1:21" x14ac:dyDescent="0.25">
      <c r="A2053" t="s">
        <v>2100</v>
      </c>
      <c r="B2053">
        <v>61</v>
      </c>
      <c r="C2053" t="s">
        <v>29</v>
      </c>
      <c r="D2053" t="s">
        <v>41</v>
      </c>
      <c r="E2053" t="s">
        <v>51</v>
      </c>
      <c r="F2053" t="s">
        <v>32</v>
      </c>
      <c r="G2053">
        <v>6255.1</v>
      </c>
      <c r="H2053">
        <v>2897.03</v>
      </c>
      <c r="I2053">
        <v>44999.93</v>
      </c>
      <c r="J2053" t="s">
        <v>37</v>
      </c>
      <c r="K2053" t="s">
        <v>38</v>
      </c>
      <c r="L2053">
        <v>0</v>
      </c>
      <c r="M2053">
        <v>0</v>
      </c>
      <c r="N2053">
        <v>0</v>
      </c>
      <c r="O2053">
        <v>0</v>
      </c>
      <c r="P2053">
        <v>0</v>
      </c>
      <c r="Q2053">
        <v>313</v>
      </c>
      <c r="R2053">
        <v>0.6</v>
      </c>
      <c r="S2053" t="s">
        <v>27</v>
      </c>
      <c r="T2053" s="1">
        <v>44663</v>
      </c>
      <c r="U2053">
        <v>0</v>
      </c>
    </row>
    <row r="2054" spans="1:21" x14ac:dyDescent="0.25">
      <c r="A2054" t="s">
        <v>2101</v>
      </c>
      <c r="B2054">
        <v>24</v>
      </c>
      <c r="C2054" t="s">
        <v>29</v>
      </c>
      <c r="D2054" t="s">
        <v>35</v>
      </c>
      <c r="E2054" t="s">
        <v>23</v>
      </c>
      <c r="F2054" t="s">
        <v>36</v>
      </c>
      <c r="G2054">
        <v>4620.6099999999997</v>
      </c>
      <c r="H2054">
        <v>2328.4499999999998</v>
      </c>
      <c r="I2054">
        <v>38479.17</v>
      </c>
      <c r="J2054" t="s">
        <v>37</v>
      </c>
      <c r="K2054" t="s">
        <v>38</v>
      </c>
      <c r="L2054">
        <v>0</v>
      </c>
      <c r="M2054">
        <v>0</v>
      </c>
      <c r="N2054">
        <v>0</v>
      </c>
      <c r="O2054">
        <v>0</v>
      </c>
      <c r="P2054">
        <v>0</v>
      </c>
      <c r="Q2054">
        <v>654</v>
      </c>
      <c r="R2054">
        <v>0.69</v>
      </c>
      <c r="S2054" t="s">
        <v>39</v>
      </c>
      <c r="T2054" s="1">
        <v>44435</v>
      </c>
      <c r="U2054">
        <v>0</v>
      </c>
    </row>
    <row r="2055" spans="1:21" x14ac:dyDescent="0.25">
      <c r="A2055" t="s">
        <v>2102</v>
      </c>
      <c r="B2055">
        <v>29</v>
      </c>
      <c r="C2055" t="s">
        <v>29</v>
      </c>
      <c r="D2055" t="s">
        <v>35</v>
      </c>
      <c r="E2055" t="s">
        <v>49</v>
      </c>
      <c r="F2055" t="s">
        <v>23</v>
      </c>
      <c r="G2055">
        <v>2222.27</v>
      </c>
      <c r="H2055">
        <v>1819.94</v>
      </c>
      <c r="I2055">
        <v>2969.76</v>
      </c>
      <c r="J2055" t="s">
        <v>37</v>
      </c>
      <c r="K2055" t="s">
        <v>38</v>
      </c>
      <c r="L2055">
        <v>0</v>
      </c>
      <c r="M2055">
        <v>0</v>
      </c>
      <c r="N2055">
        <v>0</v>
      </c>
      <c r="O2055">
        <v>0</v>
      </c>
      <c r="P2055">
        <v>0</v>
      </c>
      <c r="Q2055">
        <v>604</v>
      </c>
      <c r="R2055">
        <v>0.11</v>
      </c>
      <c r="S2055" t="s">
        <v>39</v>
      </c>
      <c r="T2055" s="1">
        <v>45451</v>
      </c>
      <c r="U2055">
        <v>0</v>
      </c>
    </row>
    <row r="2056" spans="1:21" x14ac:dyDescent="0.25">
      <c r="A2056" t="s">
        <v>2103</v>
      </c>
      <c r="B2056">
        <v>67</v>
      </c>
      <c r="C2056" t="s">
        <v>29</v>
      </c>
      <c r="D2056" t="s">
        <v>41</v>
      </c>
      <c r="E2056" t="s">
        <v>31</v>
      </c>
      <c r="F2056" t="s">
        <v>42</v>
      </c>
      <c r="G2056">
        <v>500</v>
      </c>
      <c r="H2056">
        <v>152.29</v>
      </c>
      <c r="I2056">
        <v>5882.19</v>
      </c>
      <c r="J2056" t="s">
        <v>37</v>
      </c>
      <c r="K2056" t="s">
        <v>38</v>
      </c>
      <c r="L2056">
        <v>0</v>
      </c>
      <c r="M2056">
        <v>0</v>
      </c>
      <c r="N2056">
        <v>0</v>
      </c>
      <c r="O2056">
        <v>0</v>
      </c>
      <c r="P2056">
        <v>0</v>
      </c>
      <c r="Q2056">
        <v>431</v>
      </c>
      <c r="R2056">
        <v>0.98</v>
      </c>
      <c r="S2056" t="s">
        <v>27</v>
      </c>
      <c r="T2056" s="1">
        <v>45088</v>
      </c>
      <c r="U2056">
        <v>0</v>
      </c>
    </row>
    <row r="2057" spans="1:21" x14ac:dyDescent="0.25">
      <c r="A2057" t="s">
        <v>2104</v>
      </c>
      <c r="B2057">
        <v>68</v>
      </c>
      <c r="C2057" t="s">
        <v>29</v>
      </c>
      <c r="D2057" t="s">
        <v>22</v>
      </c>
      <c r="E2057" t="s">
        <v>31</v>
      </c>
      <c r="F2057" t="s">
        <v>42</v>
      </c>
      <c r="G2057">
        <v>5646.75</v>
      </c>
      <c r="H2057">
        <v>3157.62</v>
      </c>
      <c r="I2057">
        <v>54935.45</v>
      </c>
      <c r="J2057" t="s">
        <v>25</v>
      </c>
      <c r="K2057" t="s">
        <v>26</v>
      </c>
      <c r="L2057">
        <v>197868.77</v>
      </c>
      <c r="M2057">
        <v>180</v>
      </c>
      <c r="N2057">
        <v>2533.54</v>
      </c>
      <c r="O2057">
        <v>13.23</v>
      </c>
      <c r="P2057">
        <v>0.45</v>
      </c>
      <c r="Q2057">
        <v>711</v>
      </c>
      <c r="R2057">
        <v>0.81</v>
      </c>
      <c r="S2057" t="s">
        <v>39</v>
      </c>
      <c r="T2057" s="1">
        <v>44521</v>
      </c>
      <c r="U2057">
        <v>1</v>
      </c>
    </row>
    <row r="2058" spans="1:21" x14ac:dyDescent="0.25">
      <c r="A2058" t="s">
        <v>2105</v>
      </c>
      <c r="B2058">
        <v>65</v>
      </c>
      <c r="C2058" t="s">
        <v>29</v>
      </c>
      <c r="D2058" t="s">
        <v>35</v>
      </c>
      <c r="E2058" t="s">
        <v>51</v>
      </c>
      <c r="F2058" t="s">
        <v>23</v>
      </c>
      <c r="G2058">
        <v>3936.88</v>
      </c>
      <c r="H2058">
        <v>1253.4100000000001</v>
      </c>
      <c r="I2058">
        <v>24742.68</v>
      </c>
      <c r="J2058" t="s">
        <v>37</v>
      </c>
      <c r="K2058" t="s">
        <v>38</v>
      </c>
      <c r="L2058">
        <v>0</v>
      </c>
      <c r="M2058">
        <v>0</v>
      </c>
      <c r="N2058">
        <v>0</v>
      </c>
      <c r="O2058">
        <v>0</v>
      </c>
      <c r="P2058">
        <v>0</v>
      </c>
      <c r="Q2058">
        <v>675</v>
      </c>
      <c r="R2058">
        <v>0.52</v>
      </c>
      <c r="S2058" t="s">
        <v>72</v>
      </c>
      <c r="T2058" s="1">
        <v>45541</v>
      </c>
      <c r="U2058">
        <v>0</v>
      </c>
    </row>
    <row r="2059" spans="1:21" x14ac:dyDescent="0.25">
      <c r="A2059" t="s">
        <v>2106</v>
      </c>
      <c r="B2059">
        <v>65</v>
      </c>
      <c r="C2059" t="s">
        <v>29</v>
      </c>
      <c r="D2059" t="s">
        <v>35</v>
      </c>
      <c r="E2059" t="s">
        <v>31</v>
      </c>
      <c r="F2059" t="s">
        <v>42</v>
      </c>
      <c r="G2059">
        <v>500</v>
      </c>
      <c r="H2059">
        <v>351.65</v>
      </c>
      <c r="I2059">
        <v>936.37</v>
      </c>
      <c r="J2059" t="s">
        <v>37</v>
      </c>
      <c r="K2059" t="s">
        <v>38</v>
      </c>
      <c r="L2059">
        <v>0</v>
      </c>
      <c r="M2059">
        <v>0</v>
      </c>
      <c r="N2059">
        <v>0</v>
      </c>
      <c r="O2059">
        <v>0</v>
      </c>
      <c r="P2059">
        <v>0</v>
      </c>
      <c r="Q2059">
        <v>477</v>
      </c>
      <c r="R2059">
        <v>0.16</v>
      </c>
      <c r="S2059" t="s">
        <v>39</v>
      </c>
      <c r="T2059" s="1">
        <v>45682</v>
      </c>
      <c r="U2059">
        <v>0</v>
      </c>
    </row>
    <row r="2060" spans="1:21" x14ac:dyDescent="0.25">
      <c r="A2060" t="s">
        <v>2107</v>
      </c>
      <c r="B2060">
        <v>23</v>
      </c>
      <c r="C2060" t="s">
        <v>29</v>
      </c>
      <c r="D2060" t="s">
        <v>22</v>
      </c>
      <c r="E2060" t="s">
        <v>49</v>
      </c>
      <c r="F2060" t="s">
        <v>36</v>
      </c>
      <c r="G2060">
        <v>6481.08</v>
      </c>
      <c r="H2060">
        <v>4133.7</v>
      </c>
      <c r="I2060">
        <v>46857.95</v>
      </c>
      <c r="J2060" t="s">
        <v>37</v>
      </c>
      <c r="K2060" t="s">
        <v>38</v>
      </c>
      <c r="L2060">
        <v>0</v>
      </c>
      <c r="M2060">
        <v>0</v>
      </c>
      <c r="N2060">
        <v>0</v>
      </c>
      <c r="O2060">
        <v>0</v>
      </c>
      <c r="P2060">
        <v>0</v>
      </c>
      <c r="Q2060">
        <v>323</v>
      </c>
      <c r="R2060">
        <v>0.6</v>
      </c>
      <c r="S2060" t="s">
        <v>27</v>
      </c>
      <c r="T2060" s="1">
        <v>45595</v>
      </c>
      <c r="U2060">
        <v>0</v>
      </c>
    </row>
    <row r="2061" spans="1:21" x14ac:dyDescent="0.25">
      <c r="A2061" t="s">
        <v>2108</v>
      </c>
      <c r="B2061">
        <v>42</v>
      </c>
      <c r="C2061" t="s">
        <v>30</v>
      </c>
      <c r="D2061" t="s">
        <v>22</v>
      </c>
      <c r="E2061" t="s">
        <v>31</v>
      </c>
      <c r="F2061" t="s">
        <v>52</v>
      </c>
      <c r="G2061">
        <v>500</v>
      </c>
      <c r="H2061">
        <v>386.78</v>
      </c>
      <c r="I2061">
        <v>5647.26</v>
      </c>
      <c r="J2061" t="s">
        <v>37</v>
      </c>
      <c r="K2061" t="s">
        <v>38</v>
      </c>
      <c r="L2061">
        <v>0</v>
      </c>
      <c r="M2061">
        <v>0</v>
      </c>
      <c r="N2061">
        <v>0</v>
      </c>
      <c r="O2061">
        <v>0</v>
      </c>
      <c r="P2061">
        <v>0</v>
      </c>
      <c r="Q2061">
        <v>661</v>
      </c>
      <c r="R2061">
        <v>0.94</v>
      </c>
      <c r="S2061" t="s">
        <v>72</v>
      </c>
      <c r="T2061" s="1">
        <v>45165</v>
      </c>
      <c r="U2061">
        <v>0</v>
      </c>
    </row>
    <row r="2062" spans="1:21" x14ac:dyDescent="0.25">
      <c r="A2062" t="s">
        <v>2109</v>
      </c>
      <c r="B2062">
        <v>33</v>
      </c>
      <c r="C2062" t="s">
        <v>21</v>
      </c>
      <c r="D2062" t="s">
        <v>35</v>
      </c>
      <c r="E2062" t="s">
        <v>31</v>
      </c>
      <c r="F2062" t="s">
        <v>49</v>
      </c>
      <c r="G2062">
        <v>2637.45</v>
      </c>
      <c r="H2062">
        <v>2111.8200000000002</v>
      </c>
      <c r="I2062">
        <v>11759.71</v>
      </c>
      <c r="J2062" t="s">
        <v>37</v>
      </c>
      <c r="K2062" t="s">
        <v>38</v>
      </c>
      <c r="L2062">
        <v>0</v>
      </c>
      <c r="M2062">
        <v>0</v>
      </c>
      <c r="N2062">
        <v>0</v>
      </c>
      <c r="O2062">
        <v>0</v>
      </c>
      <c r="P2062">
        <v>0</v>
      </c>
      <c r="Q2062">
        <v>793</v>
      </c>
      <c r="R2062">
        <v>0.37</v>
      </c>
      <c r="S2062" t="s">
        <v>72</v>
      </c>
      <c r="T2062" s="1">
        <v>44405</v>
      </c>
      <c r="U2062">
        <v>0</v>
      </c>
    </row>
    <row r="2063" spans="1:21" x14ac:dyDescent="0.25">
      <c r="A2063" t="s">
        <v>2110</v>
      </c>
      <c r="B2063">
        <v>35</v>
      </c>
      <c r="C2063" t="s">
        <v>21</v>
      </c>
      <c r="D2063" t="s">
        <v>22</v>
      </c>
      <c r="E2063" t="s">
        <v>31</v>
      </c>
      <c r="F2063" t="s">
        <v>23</v>
      </c>
      <c r="G2063">
        <v>4815.24</v>
      </c>
      <c r="H2063">
        <v>3832.98</v>
      </c>
      <c r="I2063">
        <v>48199.75</v>
      </c>
      <c r="J2063" t="s">
        <v>37</v>
      </c>
      <c r="K2063" t="s">
        <v>38</v>
      </c>
      <c r="L2063">
        <v>0</v>
      </c>
      <c r="M2063">
        <v>0</v>
      </c>
      <c r="N2063">
        <v>0</v>
      </c>
      <c r="O2063">
        <v>0</v>
      </c>
      <c r="P2063">
        <v>0</v>
      </c>
      <c r="Q2063">
        <v>689</v>
      </c>
      <c r="R2063">
        <v>0.83</v>
      </c>
      <c r="S2063" t="s">
        <v>47</v>
      </c>
      <c r="T2063" s="1">
        <v>45187</v>
      </c>
      <c r="U2063">
        <v>0</v>
      </c>
    </row>
    <row r="2064" spans="1:21" x14ac:dyDescent="0.25">
      <c r="A2064" t="s">
        <v>2111</v>
      </c>
      <c r="B2064">
        <v>21</v>
      </c>
      <c r="C2064" t="s">
        <v>21</v>
      </c>
      <c r="D2064" t="s">
        <v>35</v>
      </c>
      <c r="E2064" t="s">
        <v>31</v>
      </c>
      <c r="F2064" t="s">
        <v>36</v>
      </c>
      <c r="G2064">
        <v>3311.81</v>
      </c>
      <c r="H2064">
        <v>1076.58</v>
      </c>
      <c r="I2064">
        <v>9640.23</v>
      </c>
      <c r="J2064" t="s">
        <v>25</v>
      </c>
      <c r="K2064" t="s">
        <v>26</v>
      </c>
      <c r="L2064">
        <v>331063.86</v>
      </c>
      <c r="M2064">
        <v>240</v>
      </c>
      <c r="N2064">
        <v>4685.6099999999997</v>
      </c>
      <c r="O2064">
        <v>16.32</v>
      </c>
      <c r="P2064">
        <v>1.41</v>
      </c>
      <c r="Q2064">
        <v>799</v>
      </c>
      <c r="R2064">
        <v>0.24</v>
      </c>
      <c r="S2064" t="s">
        <v>47</v>
      </c>
      <c r="T2064" s="1">
        <v>44507</v>
      </c>
      <c r="U2064">
        <v>1</v>
      </c>
    </row>
    <row r="2065" spans="1:21" x14ac:dyDescent="0.25">
      <c r="A2065" t="s">
        <v>2112</v>
      </c>
      <c r="B2065">
        <v>55</v>
      </c>
      <c r="C2065" t="s">
        <v>21</v>
      </c>
      <c r="D2065" t="s">
        <v>35</v>
      </c>
      <c r="E2065" t="s">
        <v>51</v>
      </c>
      <c r="F2065" t="s">
        <v>32</v>
      </c>
      <c r="G2065">
        <v>590.01</v>
      </c>
      <c r="H2065">
        <v>519.86</v>
      </c>
      <c r="I2065">
        <v>724.86</v>
      </c>
      <c r="J2065" t="s">
        <v>37</v>
      </c>
      <c r="K2065" t="s">
        <v>38</v>
      </c>
      <c r="L2065">
        <v>0</v>
      </c>
      <c r="M2065">
        <v>0</v>
      </c>
      <c r="N2065">
        <v>0</v>
      </c>
      <c r="O2065">
        <v>0</v>
      </c>
      <c r="P2065">
        <v>0</v>
      </c>
      <c r="Q2065">
        <v>843</v>
      </c>
      <c r="R2065">
        <v>0.1</v>
      </c>
      <c r="S2065" t="s">
        <v>30</v>
      </c>
      <c r="T2065" s="1">
        <v>44509</v>
      </c>
      <c r="U2065">
        <v>0</v>
      </c>
    </row>
    <row r="2066" spans="1:21" x14ac:dyDescent="0.25">
      <c r="A2066" t="s">
        <v>2113</v>
      </c>
      <c r="B2066">
        <v>53</v>
      </c>
      <c r="C2066" t="s">
        <v>30</v>
      </c>
      <c r="D2066" t="s">
        <v>35</v>
      </c>
      <c r="E2066" t="s">
        <v>31</v>
      </c>
      <c r="F2066" t="s">
        <v>36</v>
      </c>
      <c r="G2066">
        <v>4204.58</v>
      </c>
      <c r="H2066">
        <v>2579.35</v>
      </c>
      <c r="I2066">
        <v>48867.7</v>
      </c>
      <c r="J2066" t="s">
        <v>37</v>
      </c>
      <c r="K2066" t="s">
        <v>38</v>
      </c>
      <c r="L2066">
        <v>0</v>
      </c>
      <c r="M2066">
        <v>0</v>
      </c>
      <c r="N2066">
        <v>0</v>
      </c>
      <c r="O2066">
        <v>0</v>
      </c>
      <c r="P2066">
        <v>0</v>
      </c>
      <c r="Q2066">
        <v>387</v>
      </c>
      <c r="R2066">
        <v>0.97</v>
      </c>
      <c r="S2066" t="s">
        <v>72</v>
      </c>
      <c r="T2066" s="1">
        <v>45619</v>
      </c>
      <c r="U2066">
        <v>0</v>
      </c>
    </row>
    <row r="2067" spans="1:21" x14ac:dyDescent="0.25">
      <c r="A2067" t="s">
        <v>2114</v>
      </c>
      <c r="B2067">
        <v>52</v>
      </c>
      <c r="C2067" t="s">
        <v>29</v>
      </c>
      <c r="D2067" t="s">
        <v>41</v>
      </c>
      <c r="E2067" t="s">
        <v>31</v>
      </c>
      <c r="F2067" t="s">
        <v>49</v>
      </c>
      <c r="G2067">
        <v>2459.75</v>
      </c>
      <c r="H2067">
        <v>1680.28</v>
      </c>
      <c r="I2067">
        <v>16305.18</v>
      </c>
      <c r="J2067" t="s">
        <v>37</v>
      </c>
      <c r="K2067" t="s">
        <v>38</v>
      </c>
      <c r="L2067">
        <v>0</v>
      </c>
      <c r="M2067">
        <v>0</v>
      </c>
      <c r="N2067">
        <v>0</v>
      </c>
      <c r="O2067">
        <v>0</v>
      </c>
      <c r="P2067">
        <v>0</v>
      </c>
      <c r="Q2067">
        <v>655</v>
      </c>
      <c r="R2067">
        <v>0.55000000000000004</v>
      </c>
      <c r="S2067" t="s">
        <v>39</v>
      </c>
      <c r="T2067" s="1">
        <v>45806</v>
      </c>
      <c r="U2067">
        <v>0</v>
      </c>
    </row>
    <row r="2068" spans="1:21" x14ac:dyDescent="0.25">
      <c r="A2068" t="s">
        <v>2115</v>
      </c>
      <c r="B2068">
        <v>33</v>
      </c>
      <c r="C2068" t="s">
        <v>29</v>
      </c>
      <c r="D2068" t="s">
        <v>41</v>
      </c>
      <c r="E2068" t="s">
        <v>31</v>
      </c>
      <c r="F2068" t="s">
        <v>44</v>
      </c>
      <c r="G2068">
        <v>500</v>
      </c>
      <c r="H2068">
        <v>355.8</v>
      </c>
      <c r="I2068">
        <v>843.93</v>
      </c>
      <c r="J2068" t="s">
        <v>37</v>
      </c>
      <c r="K2068" t="s">
        <v>38</v>
      </c>
      <c r="L2068">
        <v>0</v>
      </c>
      <c r="M2068">
        <v>0</v>
      </c>
      <c r="N2068">
        <v>0</v>
      </c>
      <c r="O2068">
        <v>0</v>
      </c>
      <c r="P2068">
        <v>0</v>
      </c>
      <c r="Q2068">
        <v>607</v>
      </c>
      <c r="R2068">
        <v>0.14000000000000001</v>
      </c>
      <c r="S2068" t="s">
        <v>72</v>
      </c>
      <c r="T2068" s="1">
        <v>45854</v>
      </c>
      <c r="U2068">
        <v>0</v>
      </c>
    </row>
    <row r="2069" spans="1:21" x14ac:dyDescent="0.25">
      <c r="A2069" t="s">
        <v>2116</v>
      </c>
      <c r="B2069">
        <v>41</v>
      </c>
      <c r="C2069" t="s">
        <v>29</v>
      </c>
      <c r="D2069" t="s">
        <v>35</v>
      </c>
      <c r="E2069" t="s">
        <v>31</v>
      </c>
      <c r="F2069" t="s">
        <v>63</v>
      </c>
      <c r="G2069">
        <v>7122.67</v>
      </c>
      <c r="H2069">
        <v>3513.72</v>
      </c>
      <c r="I2069">
        <v>40875.56</v>
      </c>
      <c r="J2069" t="s">
        <v>37</v>
      </c>
      <c r="K2069" t="s">
        <v>38</v>
      </c>
      <c r="L2069">
        <v>0</v>
      </c>
      <c r="M2069">
        <v>0</v>
      </c>
      <c r="N2069">
        <v>0</v>
      </c>
      <c r="O2069">
        <v>0</v>
      </c>
      <c r="P2069">
        <v>0</v>
      </c>
      <c r="Q2069">
        <v>721</v>
      </c>
      <c r="R2069">
        <v>0.48</v>
      </c>
      <c r="S2069" t="s">
        <v>39</v>
      </c>
      <c r="T2069" s="1">
        <v>45391</v>
      </c>
      <c r="U2069">
        <v>0</v>
      </c>
    </row>
    <row r="2070" spans="1:21" x14ac:dyDescent="0.25">
      <c r="A2070" t="s">
        <v>2117</v>
      </c>
      <c r="B2070">
        <v>37</v>
      </c>
      <c r="C2070" t="s">
        <v>29</v>
      </c>
      <c r="D2070" t="s">
        <v>35</v>
      </c>
      <c r="E2070" t="s">
        <v>31</v>
      </c>
      <c r="F2070" t="s">
        <v>23</v>
      </c>
      <c r="G2070">
        <v>3582.88</v>
      </c>
      <c r="H2070">
        <v>2628.53</v>
      </c>
      <c r="I2070">
        <v>29362.55</v>
      </c>
      <c r="J2070" t="s">
        <v>37</v>
      </c>
      <c r="K2070" t="s">
        <v>38</v>
      </c>
      <c r="L2070">
        <v>0</v>
      </c>
      <c r="M2070">
        <v>0</v>
      </c>
      <c r="N2070">
        <v>0</v>
      </c>
      <c r="O2070">
        <v>0</v>
      </c>
      <c r="P2070">
        <v>0</v>
      </c>
      <c r="Q2070">
        <v>714</v>
      </c>
      <c r="R2070">
        <v>0.68</v>
      </c>
      <c r="S2070" t="s">
        <v>27</v>
      </c>
      <c r="T2070" s="1">
        <v>45111</v>
      </c>
      <c r="U2070">
        <v>0</v>
      </c>
    </row>
    <row r="2071" spans="1:21" x14ac:dyDescent="0.25">
      <c r="A2071" t="s">
        <v>2118</v>
      </c>
      <c r="B2071">
        <v>22</v>
      </c>
      <c r="C2071" t="s">
        <v>21</v>
      </c>
      <c r="D2071" t="s">
        <v>41</v>
      </c>
      <c r="E2071" t="s">
        <v>51</v>
      </c>
      <c r="F2071" t="s">
        <v>23</v>
      </c>
      <c r="G2071">
        <v>1932.82</v>
      </c>
      <c r="H2071">
        <v>680.94</v>
      </c>
      <c r="I2071">
        <v>5751.72</v>
      </c>
      <c r="J2071" t="s">
        <v>37</v>
      </c>
      <c r="K2071" t="s">
        <v>38</v>
      </c>
      <c r="L2071">
        <v>0</v>
      </c>
      <c r="M2071">
        <v>0</v>
      </c>
      <c r="N2071">
        <v>0</v>
      </c>
      <c r="O2071">
        <v>0</v>
      </c>
      <c r="P2071">
        <v>0</v>
      </c>
      <c r="Q2071">
        <v>596</v>
      </c>
      <c r="R2071">
        <v>0.25</v>
      </c>
      <c r="S2071" t="s">
        <v>72</v>
      </c>
      <c r="T2071" s="1">
        <v>44840</v>
      </c>
      <c r="U2071">
        <v>0</v>
      </c>
    </row>
    <row r="2072" spans="1:21" x14ac:dyDescent="0.25">
      <c r="A2072" t="s">
        <v>2119</v>
      </c>
      <c r="B2072">
        <v>37</v>
      </c>
      <c r="C2072" t="s">
        <v>29</v>
      </c>
      <c r="D2072" t="s">
        <v>56</v>
      </c>
      <c r="E2072" t="s">
        <v>31</v>
      </c>
      <c r="F2072" t="s">
        <v>23</v>
      </c>
      <c r="G2072">
        <v>6191.72</v>
      </c>
      <c r="H2072">
        <v>5535.88</v>
      </c>
      <c r="I2072">
        <v>23544.57</v>
      </c>
      <c r="J2072" t="s">
        <v>37</v>
      </c>
      <c r="K2072" t="s">
        <v>38</v>
      </c>
      <c r="L2072">
        <v>0</v>
      </c>
      <c r="M2072">
        <v>0</v>
      </c>
      <c r="N2072">
        <v>0</v>
      </c>
      <c r="O2072">
        <v>0</v>
      </c>
      <c r="P2072">
        <v>0</v>
      </c>
      <c r="Q2072">
        <v>519</v>
      </c>
      <c r="R2072">
        <v>0.32</v>
      </c>
      <c r="S2072" t="s">
        <v>27</v>
      </c>
      <c r="T2072" s="1">
        <v>45807</v>
      </c>
      <c r="U2072">
        <v>0</v>
      </c>
    </row>
    <row r="2073" spans="1:21" x14ac:dyDescent="0.25">
      <c r="A2073" t="s">
        <v>2120</v>
      </c>
      <c r="B2073">
        <v>41</v>
      </c>
      <c r="C2073" t="s">
        <v>21</v>
      </c>
      <c r="D2073" t="s">
        <v>22</v>
      </c>
      <c r="E2073" t="s">
        <v>23</v>
      </c>
      <c r="F2073" t="s">
        <v>44</v>
      </c>
      <c r="G2073">
        <v>4528.87</v>
      </c>
      <c r="H2073">
        <v>1674.62</v>
      </c>
      <c r="I2073">
        <v>9107.82</v>
      </c>
      <c r="J2073" t="s">
        <v>37</v>
      </c>
      <c r="K2073" t="s">
        <v>38</v>
      </c>
      <c r="L2073">
        <v>0</v>
      </c>
      <c r="M2073">
        <v>0</v>
      </c>
      <c r="N2073">
        <v>0</v>
      </c>
      <c r="O2073">
        <v>0</v>
      </c>
      <c r="P2073">
        <v>0</v>
      </c>
      <c r="Q2073">
        <v>647</v>
      </c>
      <c r="R2073">
        <v>0.17</v>
      </c>
      <c r="S2073" t="s">
        <v>27</v>
      </c>
      <c r="T2073" s="1">
        <v>45106</v>
      </c>
      <c r="U2073">
        <v>0</v>
      </c>
    </row>
    <row r="2074" spans="1:21" x14ac:dyDescent="0.25">
      <c r="A2074" t="s">
        <v>2121</v>
      </c>
      <c r="B2074">
        <v>62</v>
      </c>
      <c r="C2074" t="s">
        <v>30</v>
      </c>
      <c r="D2074" t="s">
        <v>41</v>
      </c>
      <c r="E2074" t="s">
        <v>31</v>
      </c>
      <c r="F2074" t="s">
        <v>49</v>
      </c>
      <c r="G2074">
        <v>813.05</v>
      </c>
      <c r="H2074">
        <v>373.97</v>
      </c>
      <c r="I2074">
        <v>2140.3200000000002</v>
      </c>
      <c r="J2074" t="s">
        <v>37</v>
      </c>
      <c r="K2074" t="s">
        <v>38</v>
      </c>
      <c r="L2074">
        <v>0</v>
      </c>
      <c r="M2074">
        <v>0</v>
      </c>
      <c r="N2074">
        <v>0</v>
      </c>
      <c r="O2074">
        <v>0</v>
      </c>
      <c r="P2074">
        <v>0</v>
      </c>
      <c r="Q2074">
        <v>472</v>
      </c>
      <c r="R2074">
        <v>0.22</v>
      </c>
      <c r="S2074" t="s">
        <v>27</v>
      </c>
      <c r="T2074" s="1">
        <v>45104</v>
      </c>
      <c r="U2074">
        <v>0</v>
      </c>
    </row>
    <row r="2075" spans="1:21" x14ac:dyDescent="0.25">
      <c r="A2075" t="s">
        <v>2122</v>
      </c>
      <c r="B2075">
        <v>48</v>
      </c>
      <c r="C2075" t="s">
        <v>21</v>
      </c>
      <c r="D2075" t="s">
        <v>35</v>
      </c>
      <c r="E2075" t="s">
        <v>31</v>
      </c>
      <c r="F2075" t="s">
        <v>36</v>
      </c>
      <c r="G2075">
        <v>5185.9799999999996</v>
      </c>
      <c r="H2075">
        <v>1733.88</v>
      </c>
      <c r="I2075">
        <v>52427.53</v>
      </c>
      <c r="J2075" t="s">
        <v>37</v>
      </c>
      <c r="K2075" t="s">
        <v>38</v>
      </c>
      <c r="L2075">
        <v>0</v>
      </c>
      <c r="M2075">
        <v>0</v>
      </c>
      <c r="N2075">
        <v>0</v>
      </c>
      <c r="O2075">
        <v>0</v>
      </c>
      <c r="P2075">
        <v>0</v>
      </c>
      <c r="Q2075">
        <v>475</v>
      </c>
      <c r="R2075">
        <v>0.84</v>
      </c>
      <c r="S2075" t="s">
        <v>30</v>
      </c>
      <c r="T2075" s="1">
        <v>45647</v>
      </c>
      <c r="U2075">
        <v>0</v>
      </c>
    </row>
    <row r="2076" spans="1:21" x14ac:dyDescent="0.25">
      <c r="A2076" t="s">
        <v>2123</v>
      </c>
      <c r="B2076">
        <v>54</v>
      </c>
      <c r="C2076" t="s">
        <v>29</v>
      </c>
      <c r="D2076" t="s">
        <v>35</v>
      </c>
      <c r="E2076" t="s">
        <v>31</v>
      </c>
      <c r="F2076" t="s">
        <v>23</v>
      </c>
      <c r="G2076">
        <v>6472.34</v>
      </c>
      <c r="H2076">
        <v>5795.97</v>
      </c>
      <c r="I2076">
        <v>59182.080000000002</v>
      </c>
      <c r="J2076" t="s">
        <v>37</v>
      </c>
      <c r="K2076" t="s">
        <v>38</v>
      </c>
      <c r="L2076">
        <v>0</v>
      </c>
      <c r="M2076">
        <v>0</v>
      </c>
      <c r="N2076">
        <v>0</v>
      </c>
      <c r="O2076">
        <v>0</v>
      </c>
      <c r="P2076">
        <v>0</v>
      </c>
      <c r="Q2076">
        <v>616</v>
      </c>
      <c r="R2076">
        <v>0.76</v>
      </c>
      <c r="S2076" t="s">
        <v>39</v>
      </c>
      <c r="T2076" s="1">
        <v>45039</v>
      </c>
      <c r="U2076">
        <v>0</v>
      </c>
    </row>
    <row r="2077" spans="1:21" x14ac:dyDescent="0.25">
      <c r="A2077" t="s">
        <v>2124</v>
      </c>
      <c r="B2077">
        <v>30</v>
      </c>
      <c r="C2077" t="s">
        <v>21</v>
      </c>
      <c r="D2077" t="s">
        <v>35</v>
      </c>
      <c r="E2077" t="s">
        <v>51</v>
      </c>
      <c r="F2077" t="s">
        <v>49</v>
      </c>
      <c r="G2077">
        <v>2635.57</v>
      </c>
      <c r="H2077">
        <v>1264.76</v>
      </c>
      <c r="I2077">
        <v>28919.05</v>
      </c>
      <c r="J2077" t="s">
        <v>37</v>
      </c>
      <c r="K2077" t="s">
        <v>38</v>
      </c>
      <c r="L2077">
        <v>0</v>
      </c>
      <c r="M2077">
        <v>0</v>
      </c>
      <c r="N2077">
        <v>0</v>
      </c>
      <c r="O2077">
        <v>0</v>
      </c>
      <c r="P2077">
        <v>0</v>
      </c>
      <c r="Q2077">
        <v>529</v>
      </c>
      <c r="R2077">
        <v>0.91</v>
      </c>
      <c r="S2077" t="s">
        <v>39</v>
      </c>
      <c r="T2077" s="1">
        <v>44594</v>
      </c>
      <c r="U2077">
        <v>0</v>
      </c>
    </row>
    <row r="2078" spans="1:21" x14ac:dyDescent="0.25">
      <c r="A2078" t="s">
        <v>2125</v>
      </c>
      <c r="B2078">
        <v>24</v>
      </c>
      <c r="C2078" t="s">
        <v>21</v>
      </c>
      <c r="D2078" t="s">
        <v>41</v>
      </c>
      <c r="E2078" t="s">
        <v>31</v>
      </c>
      <c r="F2078" t="s">
        <v>52</v>
      </c>
      <c r="G2078">
        <v>5368.35</v>
      </c>
      <c r="H2078">
        <v>1688.87</v>
      </c>
      <c r="I2078">
        <v>45970.78</v>
      </c>
      <c r="J2078" t="s">
        <v>37</v>
      </c>
      <c r="K2078" t="s">
        <v>38</v>
      </c>
      <c r="L2078">
        <v>0</v>
      </c>
      <c r="M2078">
        <v>0</v>
      </c>
      <c r="N2078">
        <v>0</v>
      </c>
      <c r="O2078">
        <v>0</v>
      </c>
      <c r="P2078">
        <v>0</v>
      </c>
      <c r="Q2078">
        <v>804</v>
      </c>
      <c r="R2078">
        <v>0.71</v>
      </c>
      <c r="S2078" t="s">
        <v>47</v>
      </c>
      <c r="T2078" s="1">
        <v>44788</v>
      </c>
      <c r="U2078">
        <v>0</v>
      </c>
    </row>
    <row r="2079" spans="1:21" x14ac:dyDescent="0.25">
      <c r="A2079" t="s">
        <v>2126</v>
      </c>
      <c r="B2079">
        <v>40</v>
      </c>
      <c r="C2079" t="s">
        <v>21</v>
      </c>
      <c r="D2079" t="s">
        <v>35</v>
      </c>
      <c r="E2079" t="s">
        <v>31</v>
      </c>
      <c r="F2079" t="s">
        <v>23</v>
      </c>
      <c r="G2079">
        <v>5829.42</v>
      </c>
      <c r="H2079">
        <v>3785.91</v>
      </c>
      <c r="I2079">
        <v>67659.679999999993</v>
      </c>
      <c r="J2079" t="s">
        <v>25</v>
      </c>
      <c r="K2079" t="s">
        <v>54</v>
      </c>
      <c r="L2079">
        <v>228352.51</v>
      </c>
      <c r="M2079">
        <v>180</v>
      </c>
      <c r="N2079">
        <v>4231.54</v>
      </c>
      <c r="O2079">
        <v>21.3</v>
      </c>
      <c r="P2079">
        <v>0.73</v>
      </c>
      <c r="Q2079">
        <v>506</v>
      </c>
      <c r="R2079">
        <v>0.97</v>
      </c>
      <c r="S2079" t="s">
        <v>27</v>
      </c>
      <c r="T2079" s="1">
        <v>44639</v>
      </c>
      <c r="U2079">
        <v>1</v>
      </c>
    </row>
    <row r="2080" spans="1:21" x14ac:dyDescent="0.25">
      <c r="A2080" t="s">
        <v>2127</v>
      </c>
      <c r="B2080">
        <v>51</v>
      </c>
      <c r="C2080" t="s">
        <v>21</v>
      </c>
      <c r="D2080" t="s">
        <v>41</v>
      </c>
      <c r="E2080" t="s">
        <v>51</v>
      </c>
      <c r="F2080" t="s">
        <v>63</v>
      </c>
      <c r="G2080">
        <v>4699.32</v>
      </c>
      <c r="H2080">
        <v>1955.23</v>
      </c>
      <c r="I2080">
        <v>25080.62</v>
      </c>
      <c r="J2080" t="s">
        <v>37</v>
      </c>
      <c r="K2080" t="s">
        <v>38</v>
      </c>
      <c r="L2080">
        <v>0</v>
      </c>
      <c r="M2080">
        <v>0</v>
      </c>
      <c r="N2080">
        <v>0</v>
      </c>
      <c r="O2080">
        <v>0</v>
      </c>
      <c r="P2080">
        <v>0</v>
      </c>
      <c r="Q2080">
        <v>740</v>
      </c>
      <c r="R2080">
        <v>0.44</v>
      </c>
      <c r="S2080" t="s">
        <v>47</v>
      </c>
      <c r="T2080" s="1">
        <v>45402</v>
      </c>
      <c r="U2080">
        <v>0</v>
      </c>
    </row>
    <row r="2081" spans="1:21" x14ac:dyDescent="0.25">
      <c r="A2081" t="s">
        <v>2128</v>
      </c>
      <c r="B2081">
        <v>22</v>
      </c>
      <c r="C2081" t="s">
        <v>29</v>
      </c>
      <c r="D2081" t="s">
        <v>35</v>
      </c>
      <c r="E2081" t="s">
        <v>51</v>
      </c>
      <c r="F2081" t="s">
        <v>36</v>
      </c>
      <c r="G2081">
        <v>5391.8</v>
      </c>
      <c r="H2081">
        <v>3736.13</v>
      </c>
      <c r="I2081">
        <v>18331.419999999998</v>
      </c>
      <c r="J2081" t="s">
        <v>37</v>
      </c>
      <c r="K2081" t="s">
        <v>38</v>
      </c>
      <c r="L2081">
        <v>0</v>
      </c>
      <c r="M2081">
        <v>0</v>
      </c>
      <c r="N2081">
        <v>0</v>
      </c>
      <c r="O2081">
        <v>0</v>
      </c>
      <c r="P2081">
        <v>0</v>
      </c>
      <c r="Q2081">
        <v>374</v>
      </c>
      <c r="R2081">
        <v>0.28000000000000003</v>
      </c>
      <c r="S2081" t="s">
        <v>72</v>
      </c>
      <c r="T2081" s="1">
        <v>44736</v>
      </c>
      <c r="U2081">
        <v>0</v>
      </c>
    </row>
    <row r="2082" spans="1:21" x14ac:dyDescent="0.25">
      <c r="A2082" t="s">
        <v>2129</v>
      </c>
      <c r="B2082">
        <v>62</v>
      </c>
      <c r="C2082" t="s">
        <v>29</v>
      </c>
      <c r="D2082" t="s">
        <v>30</v>
      </c>
      <c r="E2082" t="s">
        <v>31</v>
      </c>
      <c r="F2082" t="s">
        <v>24</v>
      </c>
      <c r="G2082">
        <v>4226.24</v>
      </c>
      <c r="H2082">
        <v>2317.0500000000002</v>
      </c>
      <c r="I2082">
        <v>18920.3</v>
      </c>
      <c r="J2082" t="s">
        <v>37</v>
      </c>
      <c r="K2082" t="s">
        <v>38</v>
      </c>
      <c r="L2082">
        <v>0</v>
      </c>
      <c r="M2082">
        <v>0</v>
      </c>
      <c r="N2082">
        <v>0</v>
      </c>
      <c r="O2082">
        <v>0</v>
      </c>
      <c r="P2082">
        <v>0</v>
      </c>
      <c r="Q2082">
        <v>776</v>
      </c>
      <c r="R2082">
        <v>0.37</v>
      </c>
      <c r="S2082" t="s">
        <v>30</v>
      </c>
      <c r="T2082" s="1">
        <v>45768</v>
      </c>
      <c r="U2082">
        <v>0</v>
      </c>
    </row>
    <row r="2083" spans="1:21" x14ac:dyDescent="0.25">
      <c r="A2083" t="s">
        <v>2130</v>
      </c>
      <c r="B2083">
        <v>22</v>
      </c>
      <c r="C2083" t="s">
        <v>29</v>
      </c>
      <c r="D2083" t="s">
        <v>41</v>
      </c>
      <c r="E2083" t="s">
        <v>31</v>
      </c>
      <c r="F2083" t="s">
        <v>36</v>
      </c>
      <c r="G2083">
        <v>4188.2700000000004</v>
      </c>
      <c r="H2083">
        <v>3317.7</v>
      </c>
      <c r="I2083">
        <v>17393.53</v>
      </c>
      <c r="J2083" t="s">
        <v>25</v>
      </c>
      <c r="K2083" t="s">
        <v>45</v>
      </c>
      <c r="L2083">
        <v>5367.67</v>
      </c>
      <c r="M2083">
        <v>36</v>
      </c>
      <c r="N2083">
        <v>200.77</v>
      </c>
      <c r="O2083">
        <v>20.47</v>
      </c>
      <c r="P2083">
        <v>0.05</v>
      </c>
      <c r="Q2083">
        <v>777</v>
      </c>
      <c r="R2083">
        <v>0.35</v>
      </c>
      <c r="S2083" t="s">
        <v>72</v>
      </c>
      <c r="T2083" s="1">
        <v>44654</v>
      </c>
      <c r="U2083">
        <v>0</v>
      </c>
    </row>
    <row r="2084" spans="1:21" x14ac:dyDescent="0.25">
      <c r="A2084" t="s">
        <v>2131</v>
      </c>
      <c r="B2084">
        <v>30</v>
      </c>
      <c r="C2084" t="s">
        <v>30</v>
      </c>
      <c r="D2084" t="s">
        <v>35</v>
      </c>
      <c r="E2084" t="s">
        <v>49</v>
      </c>
      <c r="F2084" t="s">
        <v>52</v>
      </c>
      <c r="G2084">
        <v>2359.23</v>
      </c>
      <c r="H2084">
        <v>1764.58</v>
      </c>
      <c r="I2084">
        <v>27357.81</v>
      </c>
      <c r="J2084" t="s">
        <v>37</v>
      </c>
      <c r="K2084" t="s">
        <v>38</v>
      </c>
      <c r="L2084">
        <v>0</v>
      </c>
      <c r="M2084">
        <v>0</v>
      </c>
      <c r="N2084">
        <v>0</v>
      </c>
      <c r="O2084">
        <v>0</v>
      </c>
      <c r="P2084">
        <v>0</v>
      </c>
      <c r="Q2084">
        <v>568</v>
      </c>
      <c r="R2084">
        <v>0.97</v>
      </c>
      <c r="S2084" t="s">
        <v>39</v>
      </c>
      <c r="T2084" s="1">
        <v>45357</v>
      </c>
      <c r="U2084">
        <v>0</v>
      </c>
    </row>
    <row r="2085" spans="1:21" x14ac:dyDescent="0.25">
      <c r="A2085" t="s">
        <v>2132</v>
      </c>
      <c r="B2085">
        <v>26</v>
      </c>
      <c r="C2085" t="s">
        <v>29</v>
      </c>
      <c r="D2085" t="s">
        <v>22</v>
      </c>
      <c r="E2085" t="s">
        <v>49</v>
      </c>
      <c r="F2085" t="s">
        <v>44</v>
      </c>
      <c r="G2085">
        <v>3806.13</v>
      </c>
      <c r="H2085">
        <v>1796.96</v>
      </c>
      <c r="I2085">
        <v>6987.53</v>
      </c>
      <c r="J2085" t="s">
        <v>37</v>
      </c>
      <c r="K2085" t="s">
        <v>38</v>
      </c>
      <c r="L2085">
        <v>0</v>
      </c>
      <c r="M2085">
        <v>0</v>
      </c>
      <c r="N2085">
        <v>0</v>
      </c>
      <c r="O2085">
        <v>0</v>
      </c>
      <c r="P2085">
        <v>0</v>
      </c>
      <c r="Q2085">
        <v>656</v>
      </c>
      <c r="R2085">
        <v>0.15</v>
      </c>
      <c r="S2085" t="s">
        <v>47</v>
      </c>
      <c r="T2085" s="1">
        <v>44937</v>
      </c>
      <c r="U2085">
        <v>0</v>
      </c>
    </row>
    <row r="2086" spans="1:21" x14ac:dyDescent="0.25">
      <c r="A2086" t="s">
        <v>2133</v>
      </c>
      <c r="B2086">
        <v>62</v>
      </c>
      <c r="C2086" t="s">
        <v>21</v>
      </c>
      <c r="D2086" t="s">
        <v>35</v>
      </c>
      <c r="E2086" t="s">
        <v>31</v>
      </c>
      <c r="F2086" t="s">
        <v>23</v>
      </c>
      <c r="G2086">
        <v>6282.93</v>
      </c>
      <c r="H2086">
        <v>2976.63</v>
      </c>
      <c r="I2086">
        <v>66946.240000000005</v>
      </c>
      <c r="J2086" t="s">
        <v>37</v>
      </c>
      <c r="K2086" t="s">
        <v>38</v>
      </c>
      <c r="L2086">
        <v>0</v>
      </c>
      <c r="M2086">
        <v>0</v>
      </c>
      <c r="N2086">
        <v>0</v>
      </c>
      <c r="O2086">
        <v>0</v>
      </c>
      <c r="P2086">
        <v>0</v>
      </c>
      <c r="Q2086">
        <v>384</v>
      </c>
      <c r="R2086">
        <v>0.89</v>
      </c>
      <c r="S2086" t="s">
        <v>72</v>
      </c>
      <c r="T2086" s="1">
        <v>45723</v>
      </c>
      <c r="U2086">
        <v>0</v>
      </c>
    </row>
    <row r="2087" spans="1:21" x14ac:dyDescent="0.25">
      <c r="A2087" t="s">
        <v>2134</v>
      </c>
      <c r="B2087">
        <v>50</v>
      </c>
      <c r="C2087" t="s">
        <v>21</v>
      </c>
      <c r="D2087" t="s">
        <v>35</v>
      </c>
      <c r="E2087" t="s">
        <v>31</v>
      </c>
      <c r="F2087" t="s">
        <v>63</v>
      </c>
      <c r="G2087">
        <v>6454.67</v>
      </c>
      <c r="H2087">
        <v>2264.75</v>
      </c>
      <c r="I2087">
        <v>33444.089999999997</v>
      </c>
      <c r="J2087" t="s">
        <v>37</v>
      </c>
      <c r="K2087" t="s">
        <v>38</v>
      </c>
      <c r="L2087">
        <v>0</v>
      </c>
      <c r="M2087">
        <v>0</v>
      </c>
      <c r="N2087">
        <v>0</v>
      </c>
      <c r="O2087">
        <v>0</v>
      </c>
      <c r="P2087">
        <v>0</v>
      </c>
      <c r="Q2087">
        <v>599</v>
      </c>
      <c r="R2087">
        <v>0.43</v>
      </c>
      <c r="S2087" t="s">
        <v>72</v>
      </c>
      <c r="T2087" s="1">
        <v>45813</v>
      </c>
      <c r="U2087">
        <v>0</v>
      </c>
    </row>
    <row r="2088" spans="1:21" x14ac:dyDescent="0.25">
      <c r="A2088" t="s">
        <v>2135</v>
      </c>
      <c r="B2088">
        <v>20</v>
      </c>
      <c r="C2088" t="s">
        <v>21</v>
      </c>
      <c r="D2088" t="s">
        <v>56</v>
      </c>
      <c r="E2088" t="s">
        <v>31</v>
      </c>
      <c r="F2088" t="s">
        <v>32</v>
      </c>
      <c r="G2088">
        <v>4826.16</v>
      </c>
      <c r="H2088">
        <v>2746.38</v>
      </c>
      <c r="I2088">
        <v>23920.65</v>
      </c>
      <c r="J2088" t="s">
        <v>25</v>
      </c>
      <c r="K2088" t="s">
        <v>33</v>
      </c>
      <c r="L2088">
        <v>77084.88</v>
      </c>
      <c r="M2088">
        <v>60</v>
      </c>
      <c r="N2088">
        <v>1629.87</v>
      </c>
      <c r="O2088">
        <v>9.7899999999999991</v>
      </c>
      <c r="P2088">
        <v>0.34</v>
      </c>
      <c r="Q2088">
        <v>731</v>
      </c>
      <c r="R2088">
        <v>0.41</v>
      </c>
      <c r="S2088" t="s">
        <v>27</v>
      </c>
      <c r="T2088" s="1">
        <v>45852</v>
      </c>
      <c r="U2088">
        <v>0</v>
      </c>
    </row>
    <row r="2089" spans="1:21" x14ac:dyDescent="0.25">
      <c r="A2089" t="s">
        <v>2136</v>
      </c>
      <c r="B2089">
        <v>41</v>
      </c>
      <c r="C2089" t="s">
        <v>29</v>
      </c>
      <c r="D2089" t="s">
        <v>35</v>
      </c>
      <c r="E2089" t="s">
        <v>31</v>
      </c>
      <c r="F2089" t="s">
        <v>49</v>
      </c>
      <c r="G2089">
        <v>4365.2</v>
      </c>
      <c r="H2089">
        <v>2424.67</v>
      </c>
      <c r="I2089">
        <v>11157.08</v>
      </c>
      <c r="J2089" t="s">
        <v>37</v>
      </c>
      <c r="K2089" t="s">
        <v>38</v>
      </c>
      <c r="L2089">
        <v>0</v>
      </c>
      <c r="M2089">
        <v>0</v>
      </c>
      <c r="N2089">
        <v>0</v>
      </c>
      <c r="O2089">
        <v>0</v>
      </c>
      <c r="P2089">
        <v>0</v>
      </c>
      <c r="Q2089">
        <v>763</v>
      </c>
      <c r="R2089">
        <v>0.21</v>
      </c>
      <c r="S2089" t="s">
        <v>27</v>
      </c>
      <c r="T2089" s="1">
        <v>45054</v>
      </c>
      <c r="U2089">
        <v>0</v>
      </c>
    </row>
    <row r="2090" spans="1:21" x14ac:dyDescent="0.25">
      <c r="A2090" t="s">
        <v>2137</v>
      </c>
      <c r="B2090">
        <v>22</v>
      </c>
      <c r="C2090" t="s">
        <v>21</v>
      </c>
      <c r="D2090" t="s">
        <v>30</v>
      </c>
      <c r="E2090" t="s">
        <v>31</v>
      </c>
      <c r="F2090" t="s">
        <v>36</v>
      </c>
      <c r="G2090">
        <v>6791.89</v>
      </c>
      <c r="H2090">
        <v>4740.7</v>
      </c>
      <c r="I2090">
        <v>54086.15</v>
      </c>
      <c r="J2090" t="s">
        <v>25</v>
      </c>
      <c r="K2090" t="s">
        <v>54</v>
      </c>
      <c r="L2090">
        <v>190673.16</v>
      </c>
      <c r="M2090">
        <v>240</v>
      </c>
      <c r="N2090">
        <v>3090.21</v>
      </c>
      <c r="O2090">
        <v>19</v>
      </c>
      <c r="P2090">
        <v>0.45</v>
      </c>
      <c r="Q2090">
        <v>480</v>
      </c>
      <c r="R2090">
        <v>0.66</v>
      </c>
      <c r="S2090" t="s">
        <v>47</v>
      </c>
      <c r="T2090" s="1">
        <v>44920</v>
      </c>
      <c r="U2090">
        <v>1</v>
      </c>
    </row>
    <row r="2091" spans="1:21" x14ac:dyDescent="0.25">
      <c r="A2091" t="s">
        <v>2138</v>
      </c>
      <c r="B2091">
        <v>65</v>
      </c>
      <c r="C2091" t="s">
        <v>29</v>
      </c>
      <c r="D2091" t="s">
        <v>41</v>
      </c>
      <c r="E2091" t="s">
        <v>31</v>
      </c>
      <c r="F2091" t="s">
        <v>63</v>
      </c>
      <c r="G2091">
        <v>3632.38</v>
      </c>
      <c r="H2091">
        <v>2207.36</v>
      </c>
      <c r="I2091">
        <v>33084.53</v>
      </c>
      <c r="J2091" t="s">
        <v>25</v>
      </c>
      <c r="K2091" t="s">
        <v>33</v>
      </c>
      <c r="L2091">
        <v>5142.71</v>
      </c>
      <c r="M2091">
        <v>180</v>
      </c>
      <c r="N2091">
        <v>113.63</v>
      </c>
      <c r="O2091">
        <v>25.95</v>
      </c>
      <c r="P2091">
        <v>0.03</v>
      </c>
      <c r="Q2091">
        <v>590</v>
      </c>
      <c r="R2091">
        <v>0.76</v>
      </c>
      <c r="S2091" t="s">
        <v>47</v>
      </c>
      <c r="T2091" s="1">
        <v>44593</v>
      </c>
      <c r="U2091">
        <v>0</v>
      </c>
    </row>
    <row r="2092" spans="1:21" x14ac:dyDescent="0.25">
      <c r="A2092" t="s">
        <v>2139</v>
      </c>
      <c r="B2092">
        <v>22</v>
      </c>
      <c r="C2092" t="s">
        <v>29</v>
      </c>
      <c r="D2092" t="s">
        <v>41</v>
      </c>
      <c r="E2092" t="s">
        <v>31</v>
      </c>
      <c r="F2092" t="s">
        <v>49</v>
      </c>
      <c r="G2092">
        <v>4594.83</v>
      </c>
      <c r="H2092">
        <v>4000.53</v>
      </c>
      <c r="I2092">
        <v>48545.599999999999</v>
      </c>
      <c r="J2092" t="s">
        <v>25</v>
      </c>
      <c r="K2092" t="s">
        <v>33</v>
      </c>
      <c r="L2092">
        <v>196300.9</v>
      </c>
      <c r="M2092">
        <v>300</v>
      </c>
      <c r="N2092">
        <v>1562.19</v>
      </c>
      <c r="O2092">
        <v>8.36</v>
      </c>
      <c r="P2092">
        <v>0.34</v>
      </c>
      <c r="Q2092">
        <v>807</v>
      </c>
      <c r="R2092">
        <v>0.88</v>
      </c>
      <c r="S2092" t="s">
        <v>27</v>
      </c>
      <c r="T2092" s="1">
        <v>44516</v>
      </c>
      <c r="U2092">
        <v>0</v>
      </c>
    </row>
    <row r="2093" spans="1:21" x14ac:dyDescent="0.25">
      <c r="A2093" t="s">
        <v>2140</v>
      </c>
      <c r="B2093">
        <v>28</v>
      </c>
      <c r="C2093" t="s">
        <v>29</v>
      </c>
      <c r="D2093" t="s">
        <v>35</v>
      </c>
      <c r="E2093" t="s">
        <v>31</v>
      </c>
      <c r="F2093" t="s">
        <v>63</v>
      </c>
      <c r="G2093">
        <v>4121.51</v>
      </c>
      <c r="H2093">
        <v>1753.85</v>
      </c>
      <c r="I2093">
        <v>45840.71</v>
      </c>
      <c r="J2093" t="s">
        <v>37</v>
      </c>
      <c r="K2093" t="s">
        <v>38</v>
      </c>
      <c r="L2093">
        <v>0</v>
      </c>
      <c r="M2093">
        <v>0</v>
      </c>
      <c r="N2093">
        <v>0</v>
      </c>
      <c r="O2093">
        <v>0</v>
      </c>
      <c r="P2093">
        <v>0</v>
      </c>
      <c r="Q2093">
        <v>795</v>
      </c>
      <c r="R2093">
        <v>0.93</v>
      </c>
      <c r="S2093" t="s">
        <v>47</v>
      </c>
      <c r="T2093" s="1">
        <v>44504</v>
      </c>
      <c r="U2093">
        <v>0</v>
      </c>
    </row>
    <row r="2094" spans="1:21" x14ac:dyDescent="0.25">
      <c r="A2094" t="s">
        <v>2141</v>
      </c>
      <c r="B2094">
        <v>46</v>
      </c>
      <c r="C2094" t="s">
        <v>29</v>
      </c>
      <c r="D2094" t="s">
        <v>35</v>
      </c>
      <c r="E2094" t="s">
        <v>23</v>
      </c>
      <c r="F2094" t="s">
        <v>63</v>
      </c>
      <c r="G2094">
        <v>5972.4</v>
      </c>
      <c r="H2094">
        <v>2685.46</v>
      </c>
      <c r="I2094">
        <v>7799.92</v>
      </c>
      <c r="J2094" t="s">
        <v>25</v>
      </c>
      <c r="K2094" t="s">
        <v>33</v>
      </c>
      <c r="L2094">
        <v>12367.89</v>
      </c>
      <c r="M2094">
        <v>240</v>
      </c>
      <c r="N2094">
        <v>98.28</v>
      </c>
      <c r="O2094">
        <v>7.32</v>
      </c>
      <c r="P2094">
        <v>0.02</v>
      </c>
      <c r="Q2094">
        <v>435</v>
      </c>
      <c r="R2094">
        <v>0.11</v>
      </c>
      <c r="S2094" t="s">
        <v>27</v>
      </c>
      <c r="T2094" s="1">
        <v>44459</v>
      </c>
      <c r="U2094">
        <v>0</v>
      </c>
    </row>
    <row r="2095" spans="1:21" x14ac:dyDescent="0.25">
      <c r="A2095" t="s">
        <v>2142</v>
      </c>
      <c r="B2095">
        <v>19</v>
      </c>
      <c r="C2095" t="s">
        <v>29</v>
      </c>
      <c r="D2095" t="s">
        <v>35</v>
      </c>
      <c r="E2095" t="s">
        <v>31</v>
      </c>
      <c r="F2095" t="s">
        <v>23</v>
      </c>
      <c r="G2095">
        <v>5936.04</v>
      </c>
      <c r="H2095">
        <v>4308.2299999999996</v>
      </c>
      <c r="I2095">
        <v>20589.29</v>
      </c>
      <c r="J2095" t="s">
        <v>37</v>
      </c>
      <c r="K2095" t="s">
        <v>38</v>
      </c>
      <c r="L2095">
        <v>0</v>
      </c>
      <c r="M2095">
        <v>0</v>
      </c>
      <c r="N2095">
        <v>0</v>
      </c>
      <c r="O2095">
        <v>0</v>
      </c>
      <c r="P2095">
        <v>0</v>
      </c>
      <c r="Q2095">
        <v>751</v>
      </c>
      <c r="R2095">
        <v>0.28999999999999998</v>
      </c>
      <c r="S2095" t="s">
        <v>72</v>
      </c>
      <c r="T2095" s="1">
        <v>44976</v>
      </c>
      <c r="U2095">
        <v>0</v>
      </c>
    </row>
    <row r="2096" spans="1:21" x14ac:dyDescent="0.25">
      <c r="A2096" t="s">
        <v>2143</v>
      </c>
      <c r="B2096">
        <v>69</v>
      </c>
      <c r="C2096" t="s">
        <v>21</v>
      </c>
      <c r="D2096" t="s">
        <v>30</v>
      </c>
      <c r="E2096" t="s">
        <v>51</v>
      </c>
      <c r="F2096" t="s">
        <v>36</v>
      </c>
      <c r="G2096">
        <v>1274.25</v>
      </c>
      <c r="H2096">
        <v>617.05999999999995</v>
      </c>
      <c r="I2096">
        <v>10872.97</v>
      </c>
      <c r="J2096" t="s">
        <v>25</v>
      </c>
      <c r="K2096" t="s">
        <v>45</v>
      </c>
      <c r="L2096">
        <v>35728.46</v>
      </c>
      <c r="M2096">
        <v>60</v>
      </c>
      <c r="N2096">
        <v>763</v>
      </c>
      <c r="O2096">
        <v>10.220000000000001</v>
      </c>
      <c r="P2096">
        <v>0.6</v>
      </c>
      <c r="Q2096">
        <v>456</v>
      </c>
      <c r="R2096">
        <v>0.71</v>
      </c>
      <c r="S2096" t="s">
        <v>72</v>
      </c>
      <c r="T2096" s="1">
        <v>45840</v>
      </c>
      <c r="U2096">
        <v>1</v>
      </c>
    </row>
    <row r="2097" spans="1:21" x14ac:dyDescent="0.25">
      <c r="A2097" t="s">
        <v>2144</v>
      </c>
      <c r="B2097">
        <v>59</v>
      </c>
      <c r="C2097" t="s">
        <v>30</v>
      </c>
      <c r="D2097" t="s">
        <v>22</v>
      </c>
      <c r="E2097" t="s">
        <v>31</v>
      </c>
      <c r="F2097" t="s">
        <v>32</v>
      </c>
      <c r="G2097">
        <v>6536.67</v>
      </c>
      <c r="H2097">
        <v>4123.29</v>
      </c>
      <c r="I2097">
        <v>19996.62</v>
      </c>
      <c r="J2097" t="s">
        <v>25</v>
      </c>
      <c r="K2097" t="s">
        <v>54</v>
      </c>
      <c r="L2097">
        <v>231189.87</v>
      </c>
      <c r="M2097">
        <v>36</v>
      </c>
      <c r="N2097">
        <v>9696.98</v>
      </c>
      <c r="O2097">
        <v>29.07</v>
      </c>
      <c r="P2097">
        <v>1.48</v>
      </c>
      <c r="Q2097">
        <v>764</v>
      </c>
      <c r="R2097">
        <v>0.25</v>
      </c>
      <c r="S2097" t="s">
        <v>72</v>
      </c>
      <c r="T2097" s="1">
        <v>44883</v>
      </c>
      <c r="U2097">
        <v>1</v>
      </c>
    </row>
    <row r="2098" spans="1:21" x14ac:dyDescent="0.25">
      <c r="A2098" t="s">
        <v>2145</v>
      </c>
      <c r="B2098">
        <v>26</v>
      </c>
      <c r="C2098" t="s">
        <v>29</v>
      </c>
      <c r="D2098" t="s">
        <v>35</v>
      </c>
      <c r="E2098" t="s">
        <v>51</v>
      </c>
      <c r="F2098" t="s">
        <v>24</v>
      </c>
      <c r="G2098">
        <v>3698.32</v>
      </c>
      <c r="H2098">
        <v>2664.27</v>
      </c>
      <c r="I2098">
        <v>12418.12</v>
      </c>
      <c r="J2098" t="s">
        <v>25</v>
      </c>
      <c r="K2098" t="s">
        <v>33</v>
      </c>
      <c r="L2098">
        <v>36849.24</v>
      </c>
      <c r="M2098">
        <v>360</v>
      </c>
      <c r="N2098">
        <v>298.62</v>
      </c>
      <c r="O2098">
        <v>9.08</v>
      </c>
      <c r="P2098">
        <v>0.08</v>
      </c>
      <c r="Q2098">
        <v>554</v>
      </c>
      <c r="R2098">
        <v>0.28000000000000003</v>
      </c>
      <c r="S2098" t="s">
        <v>47</v>
      </c>
      <c r="T2098" s="1">
        <v>44876</v>
      </c>
      <c r="U2098">
        <v>0</v>
      </c>
    </row>
    <row r="2099" spans="1:21" x14ac:dyDescent="0.25">
      <c r="A2099" t="s">
        <v>2146</v>
      </c>
      <c r="B2099">
        <v>18</v>
      </c>
      <c r="C2099" t="s">
        <v>21</v>
      </c>
      <c r="D2099" t="s">
        <v>56</v>
      </c>
      <c r="E2099" t="s">
        <v>31</v>
      </c>
      <c r="F2099" t="s">
        <v>49</v>
      </c>
      <c r="G2099">
        <v>2820.15</v>
      </c>
      <c r="H2099">
        <v>1081.02</v>
      </c>
      <c r="I2099">
        <v>17823.5</v>
      </c>
      <c r="J2099" t="s">
        <v>37</v>
      </c>
      <c r="K2099" t="s">
        <v>38</v>
      </c>
      <c r="L2099">
        <v>0</v>
      </c>
      <c r="M2099">
        <v>0</v>
      </c>
      <c r="N2099">
        <v>0</v>
      </c>
      <c r="O2099">
        <v>0</v>
      </c>
      <c r="P2099">
        <v>0</v>
      </c>
      <c r="Q2099">
        <v>668</v>
      </c>
      <c r="R2099">
        <v>0.53</v>
      </c>
      <c r="S2099" t="s">
        <v>27</v>
      </c>
      <c r="T2099" s="1">
        <v>45759</v>
      </c>
      <c r="U2099">
        <v>0</v>
      </c>
    </row>
    <row r="2100" spans="1:21" x14ac:dyDescent="0.25">
      <c r="A2100" t="s">
        <v>2147</v>
      </c>
      <c r="B2100">
        <v>63</v>
      </c>
      <c r="C2100" t="s">
        <v>30</v>
      </c>
      <c r="D2100" t="s">
        <v>41</v>
      </c>
      <c r="E2100" t="s">
        <v>49</v>
      </c>
      <c r="F2100" t="s">
        <v>44</v>
      </c>
      <c r="G2100">
        <v>6355.95</v>
      </c>
      <c r="H2100">
        <v>4663.83</v>
      </c>
      <c r="I2100">
        <v>60183.78</v>
      </c>
      <c r="J2100" t="s">
        <v>25</v>
      </c>
      <c r="K2100" t="s">
        <v>33</v>
      </c>
      <c r="L2100">
        <v>379396.56</v>
      </c>
      <c r="M2100">
        <v>120</v>
      </c>
      <c r="N2100">
        <v>8665.7999999999993</v>
      </c>
      <c r="O2100">
        <v>25.13</v>
      </c>
      <c r="P2100">
        <v>1.36</v>
      </c>
      <c r="Q2100">
        <v>850</v>
      </c>
      <c r="R2100">
        <v>0.79</v>
      </c>
      <c r="S2100" t="s">
        <v>39</v>
      </c>
      <c r="T2100" s="1">
        <v>45361</v>
      </c>
      <c r="U2100">
        <v>1</v>
      </c>
    </row>
    <row r="2101" spans="1:21" x14ac:dyDescent="0.25">
      <c r="A2101" t="s">
        <v>2148</v>
      </c>
      <c r="B2101">
        <v>37</v>
      </c>
      <c r="C2101" t="s">
        <v>29</v>
      </c>
      <c r="D2101" t="s">
        <v>22</v>
      </c>
      <c r="E2101" t="s">
        <v>31</v>
      </c>
      <c r="F2101" t="s">
        <v>44</v>
      </c>
      <c r="G2101">
        <v>3338.26</v>
      </c>
      <c r="H2101">
        <v>2927.54</v>
      </c>
      <c r="I2101">
        <v>5972.11</v>
      </c>
      <c r="J2101" t="s">
        <v>37</v>
      </c>
      <c r="K2101" t="s">
        <v>38</v>
      </c>
      <c r="L2101">
        <v>0</v>
      </c>
      <c r="M2101">
        <v>0</v>
      </c>
      <c r="N2101">
        <v>0</v>
      </c>
      <c r="O2101">
        <v>0</v>
      </c>
      <c r="P2101">
        <v>0</v>
      </c>
      <c r="Q2101">
        <v>309</v>
      </c>
      <c r="R2101">
        <v>0.15</v>
      </c>
      <c r="S2101" t="s">
        <v>47</v>
      </c>
      <c r="T2101" s="1">
        <v>44573</v>
      </c>
      <c r="U2101">
        <v>0</v>
      </c>
    </row>
    <row r="2102" spans="1:21" x14ac:dyDescent="0.25">
      <c r="A2102" t="s">
        <v>2149</v>
      </c>
      <c r="B2102">
        <v>18</v>
      </c>
      <c r="C2102" t="s">
        <v>21</v>
      </c>
      <c r="D2102" t="s">
        <v>35</v>
      </c>
      <c r="E2102" t="s">
        <v>31</v>
      </c>
      <c r="F2102" t="s">
        <v>49</v>
      </c>
      <c r="G2102">
        <v>4248.34</v>
      </c>
      <c r="H2102">
        <v>2942.08</v>
      </c>
      <c r="I2102">
        <v>28210.23</v>
      </c>
      <c r="J2102" t="s">
        <v>37</v>
      </c>
      <c r="K2102" t="s">
        <v>38</v>
      </c>
      <c r="L2102">
        <v>0</v>
      </c>
      <c r="M2102">
        <v>0</v>
      </c>
      <c r="N2102">
        <v>0</v>
      </c>
      <c r="O2102">
        <v>0</v>
      </c>
      <c r="P2102">
        <v>0</v>
      </c>
      <c r="Q2102">
        <v>389</v>
      </c>
      <c r="R2102">
        <v>0.55000000000000004</v>
      </c>
      <c r="S2102" t="s">
        <v>47</v>
      </c>
      <c r="T2102" s="1">
        <v>45715</v>
      </c>
      <c r="U2102">
        <v>0</v>
      </c>
    </row>
    <row r="2103" spans="1:21" x14ac:dyDescent="0.25">
      <c r="A2103" t="s">
        <v>2150</v>
      </c>
      <c r="B2103">
        <v>57</v>
      </c>
      <c r="C2103" t="s">
        <v>29</v>
      </c>
      <c r="D2103" t="s">
        <v>30</v>
      </c>
      <c r="E2103" t="s">
        <v>31</v>
      </c>
      <c r="F2103" t="s">
        <v>44</v>
      </c>
      <c r="G2103">
        <v>4121.59</v>
      </c>
      <c r="H2103">
        <v>3395.16</v>
      </c>
      <c r="I2103">
        <v>28537.97</v>
      </c>
      <c r="J2103" t="s">
        <v>37</v>
      </c>
      <c r="K2103" t="s">
        <v>38</v>
      </c>
      <c r="L2103">
        <v>0</v>
      </c>
      <c r="M2103">
        <v>0</v>
      </c>
      <c r="N2103">
        <v>0</v>
      </c>
      <c r="O2103">
        <v>0</v>
      </c>
      <c r="P2103">
        <v>0</v>
      </c>
      <c r="Q2103">
        <v>330</v>
      </c>
      <c r="R2103">
        <v>0.57999999999999996</v>
      </c>
      <c r="S2103" t="s">
        <v>47</v>
      </c>
      <c r="T2103" s="1">
        <v>45684</v>
      </c>
      <c r="U2103">
        <v>0</v>
      </c>
    </row>
    <row r="2104" spans="1:21" x14ac:dyDescent="0.25">
      <c r="A2104" t="s">
        <v>2151</v>
      </c>
      <c r="B2104">
        <v>19</v>
      </c>
      <c r="C2104" t="s">
        <v>29</v>
      </c>
      <c r="D2104" t="s">
        <v>41</v>
      </c>
      <c r="E2104" t="s">
        <v>51</v>
      </c>
      <c r="F2104" t="s">
        <v>44</v>
      </c>
      <c r="G2104">
        <v>10464.200000000001</v>
      </c>
      <c r="H2104">
        <v>6827.35</v>
      </c>
      <c r="I2104">
        <v>110773.25</v>
      </c>
      <c r="J2104" t="s">
        <v>25</v>
      </c>
      <c r="K2104" t="s">
        <v>26</v>
      </c>
      <c r="L2104">
        <v>264301.99</v>
      </c>
      <c r="M2104">
        <v>240</v>
      </c>
      <c r="N2104">
        <v>2066.62</v>
      </c>
      <c r="O2104">
        <v>7.11</v>
      </c>
      <c r="P2104">
        <v>0.2</v>
      </c>
      <c r="Q2104">
        <v>842</v>
      </c>
      <c r="R2104">
        <v>0.88</v>
      </c>
      <c r="S2104" t="s">
        <v>39</v>
      </c>
      <c r="T2104" s="1">
        <v>44780</v>
      </c>
      <c r="U2104">
        <v>0</v>
      </c>
    </row>
    <row r="2105" spans="1:21" x14ac:dyDescent="0.25">
      <c r="A2105" t="s">
        <v>2152</v>
      </c>
      <c r="B2105">
        <v>39</v>
      </c>
      <c r="C2105" t="s">
        <v>29</v>
      </c>
      <c r="D2105" t="s">
        <v>41</v>
      </c>
      <c r="E2105" t="s">
        <v>23</v>
      </c>
      <c r="F2105" t="s">
        <v>63</v>
      </c>
      <c r="G2105">
        <v>3888.33</v>
      </c>
      <c r="H2105">
        <v>2236.4299999999998</v>
      </c>
      <c r="I2105">
        <v>40242.800000000003</v>
      </c>
      <c r="J2105" t="s">
        <v>37</v>
      </c>
      <c r="K2105" t="s">
        <v>38</v>
      </c>
      <c r="L2105">
        <v>0</v>
      </c>
      <c r="M2105">
        <v>0</v>
      </c>
      <c r="N2105">
        <v>0</v>
      </c>
      <c r="O2105">
        <v>0</v>
      </c>
      <c r="P2105">
        <v>0</v>
      </c>
      <c r="Q2105">
        <v>674</v>
      </c>
      <c r="R2105">
        <v>0.86</v>
      </c>
      <c r="S2105" t="s">
        <v>27</v>
      </c>
      <c r="T2105" s="1">
        <v>44691</v>
      </c>
      <c r="U2105">
        <v>0</v>
      </c>
    </row>
    <row r="2106" spans="1:21" x14ac:dyDescent="0.25">
      <c r="A2106" t="s">
        <v>2153</v>
      </c>
      <c r="B2106">
        <v>18</v>
      </c>
      <c r="C2106" t="s">
        <v>29</v>
      </c>
      <c r="D2106" t="s">
        <v>41</v>
      </c>
      <c r="E2106" t="s">
        <v>31</v>
      </c>
      <c r="F2106" t="s">
        <v>49</v>
      </c>
      <c r="G2106">
        <v>3547.79</v>
      </c>
      <c r="H2106">
        <v>1702.84</v>
      </c>
      <c r="I2106">
        <v>26332.73</v>
      </c>
      <c r="J2106" t="s">
        <v>37</v>
      </c>
      <c r="K2106" t="s">
        <v>38</v>
      </c>
      <c r="L2106">
        <v>0</v>
      </c>
      <c r="M2106">
        <v>0</v>
      </c>
      <c r="N2106">
        <v>0</v>
      </c>
      <c r="O2106">
        <v>0</v>
      </c>
      <c r="P2106">
        <v>0</v>
      </c>
      <c r="Q2106">
        <v>400</v>
      </c>
      <c r="R2106">
        <v>0.62</v>
      </c>
      <c r="S2106" t="s">
        <v>27</v>
      </c>
      <c r="T2106" s="1">
        <v>45743</v>
      </c>
      <c r="U2106">
        <v>0</v>
      </c>
    </row>
    <row r="2107" spans="1:21" x14ac:dyDescent="0.25">
      <c r="A2107" t="s">
        <v>2154</v>
      </c>
      <c r="B2107">
        <v>26</v>
      </c>
      <c r="C2107" t="s">
        <v>21</v>
      </c>
      <c r="D2107" t="s">
        <v>41</v>
      </c>
      <c r="E2107" t="s">
        <v>51</v>
      </c>
      <c r="F2107" t="s">
        <v>49</v>
      </c>
      <c r="G2107">
        <v>7648.38</v>
      </c>
      <c r="H2107">
        <v>6257.7</v>
      </c>
      <c r="I2107">
        <v>75124.31</v>
      </c>
      <c r="J2107" t="s">
        <v>37</v>
      </c>
      <c r="K2107" t="s">
        <v>38</v>
      </c>
      <c r="L2107">
        <v>0</v>
      </c>
      <c r="M2107">
        <v>0</v>
      </c>
      <c r="N2107">
        <v>0</v>
      </c>
      <c r="O2107">
        <v>0</v>
      </c>
      <c r="P2107">
        <v>0</v>
      </c>
      <c r="Q2107">
        <v>352</v>
      </c>
      <c r="R2107">
        <v>0.82</v>
      </c>
      <c r="S2107" t="s">
        <v>47</v>
      </c>
      <c r="T2107" s="1">
        <v>44412</v>
      </c>
      <c r="U2107">
        <v>0</v>
      </c>
    </row>
    <row r="2108" spans="1:21" x14ac:dyDescent="0.25">
      <c r="A2108" t="s">
        <v>2155</v>
      </c>
      <c r="B2108">
        <v>32</v>
      </c>
      <c r="C2108" t="s">
        <v>29</v>
      </c>
      <c r="D2108" t="s">
        <v>35</v>
      </c>
      <c r="E2108" t="s">
        <v>31</v>
      </c>
      <c r="F2108" t="s">
        <v>52</v>
      </c>
      <c r="G2108">
        <v>500</v>
      </c>
      <c r="H2108">
        <v>267.73</v>
      </c>
      <c r="I2108">
        <v>1951.25</v>
      </c>
      <c r="J2108" t="s">
        <v>37</v>
      </c>
      <c r="K2108" t="s">
        <v>38</v>
      </c>
      <c r="L2108">
        <v>0</v>
      </c>
      <c r="M2108">
        <v>0</v>
      </c>
      <c r="N2108">
        <v>0</v>
      </c>
      <c r="O2108">
        <v>0</v>
      </c>
      <c r="P2108">
        <v>0</v>
      </c>
      <c r="Q2108">
        <v>530</v>
      </c>
      <c r="R2108">
        <v>0.33</v>
      </c>
      <c r="S2108" t="s">
        <v>39</v>
      </c>
      <c r="T2108" s="1">
        <v>45037</v>
      </c>
      <c r="U2108">
        <v>0</v>
      </c>
    </row>
    <row r="2109" spans="1:21" x14ac:dyDescent="0.25">
      <c r="A2109" t="s">
        <v>2156</v>
      </c>
      <c r="B2109">
        <v>35</v>
      </c>
      <c r="C2109" t="s">
        <v>29</v>
      </c>
      <c r="D2109" t="s">
        <v>41</v>
      </c>
      <c r="E2109" t="s">
        <v>31</v>
      </c>
      <c r="F2109" t="s">
        <v>52</v>
      </c>
      <c r="G2109">
        <v>5531.39</v>
      </c>
      <c r="H2109">
        <v>2084.46</v>
      </c>
      <c r="I2109">
        <v>57481.15</v>
      </c>
      <c r="J2109" t="s">
        <v>37</v>
      </c>
      <c r="K2109" t="s">
        <v>38</v>
      </c>
      <c r="L2109">
        <v>0</v>
      </c>
      <c r="M2109">
        <v>0</v>
      </c>
      <c r="N2109">
        <v>0</v>
      </c>
      <c r="O2109">
        <v>0</v>
      </c>
      <c r="P2109">
        <v>0</v>
      </c>
      <c r="Q2109">
        <v>801</v>
      </c>
      <c r="R2109">
        <v>0.87</v>
      </c>
      <c r="S2109" t="s">
        <v>30</v>
      </c>
      <c r="T2109" s="1">
        <v>45808</v>
      </c>
      <c r="U2109">
        <v>0</v>
      </c>
    </row>
    <row r="2110" spans="1:21" x14ac:dyDescent="0.25">
      <c r="A2110" t="s">
        <v>2157</v>
      </c>
      <c r="B2110">
        <v>65</v>
      </c>
      <c r="C2110" t="s">
        <v>29</v>
      </c>
      <c r="D2110" t="s">
        <v>41</v>
      </c>
      <c r="E2110" t="s">
        <v>31</v>
      </c>
      <c r="F2110" t="s">
        <v>52</v>
      </c>
      <c r="G2110">
        <v>6052.47</v>
      </c>
      <c r="H2110">
        <v>3860.3</v>
      </c>
      <c r="I2110">
        <v>9541.02</v>
      </c>
      <c r="J2110" t="s">
        <v>37</v>
      </c>
      <c r="K2110" t="s">
        <v>38</v>
      </c>
      <c r="L2110">
        <v>0</v>
      </c>
      <c r="M2110">
        <v>0</v>
      </c>
      <c r="N2110">
        <v>0</v>
      </c>
      <c r="O2110">
        <v>0</v>
      </c>
      <c r="P2110">
        <v>0</v>
      </c>
      <c r="Q2110">
        <v>832</v>
      </c>
      <c r="R2110">
        <v>0.13</v>
      </c>
      <c r="S2110" t="s">
        <v>30</v>
      </c>
      <c r="T2110" s="1">
        <v>45153</v>
      </c>
      <c r="U2110">
        <v>0</v>
      </c>
    </row>
    <row r="2111" spans="1:21" x14ac:dyDescent="0.25">
      <c r="A2111" t="s">
        <v>2158</v>
      </c>
      <c r="B2111">
        <v>64</v>
      </c>
      <c r="C2111" t="s">
        <v>29</v>
      </c>
      <c r="D2111" t="s">
        <v>30</v>
      </c>
      <c r="E2111" t="s">
        <v>51</v>
      </c>
      <c r="F2111" t="s">
        <v>32</v>
      </c>
      <c r="G2111">
        <v>4160.75</v>
      </c>
      <c r="H2111">
        <v>3481.1</v>
      </c>
      <c r="I2111">
        <v>10856.8</v>
      </c>
      <c r="J2111" t="s">
        <v>37</v>
      </c>
      <c r="K2111" t="s">
        <v>38</v>
      </c>
      <c r="L2111">
        <v>0</v>
      </c>
      <c r="M2111">
        <v>0</v>
      </c>
      <c r="N2111">
        <v>0</v>
      </c>
      <c r="O2111">
        <v>0</v>
      </c>
      <c r="P2111">
        <v>0</v>
      </c>
      <c r="Q2111">
        <v>823</v>
      </c>
      <c r="R2111">
        <v>0.22</v>
      </c>
      <c r="S2111" t="s">
        <v>39</v>
      </c>
      <c r="T2111" s="1">
        <v>44843</v>
      </c>
      <c r="U2111">
        <v>0</v>
      </c>
    </row>
    <row r="2112" spans="1:21" x14ac:dyDescent="0.25">
      <c r="A2112" t="s">
        <v>2159</v>
      </c>
      <c r="B2112">
        <v>52</v>
      </c>
      <c r="C2112" t="s">
        <v>21</v>
      </c>
      <c r="D2112" t="s">
        <v>41</v>
      </c>
      <c r="E2112" t="s">
        <v>31</v>
      </c>
      <c r="F2112" t="s">
        <v>23</v>
      </c>
      <c r="G2112">
        <v>5892.99</v>
      </c>
      <c r="H2112">
        <v>4656.3599999999997</v>
      </c>
      <c r="I2112">
        <v>50300.25</v>
      </c>
      <c r="J2112" t="s">
        <v>37</v>
      </c>
      <c r="K2112" t="s">
        <v>38</v>
      </c>
      <c r="L2112">
        <v>0</v>
      </c>
      <c r="M2112">
        <v>0</v>
      </c>
      <c r="N2112">
        <v>0</v>
      </c>
      <c r="O2112">
        <v>0</v>
      </c>
      <c r="P2112">
        <v>0</v>
      </c>
      <c r="Q2112">
        <v>681</v>
      </c>
      <c r="R2112">
        <v>0.71</v>
      </c>
      <c r="S2112" t="s">
        <v>39</v>
      </c>
      <c r="T2112" s="1">
        <v>45141</v>
      </c>
      <c r="U2112">
        <v>0</v>
      </c>
    </row>
    <row r="2113" spans="1:21" x14ac:dyDescent="0.25">
      <c r="A2113" t="s">
        <v>2160</v>
      </c>
      <c r="B2113">
        <v>29</v>
      </c>
      <c r="C2113" t="s">
        <v>29</v>
      </c>
      <c r="D2113" t="s">
        <v>41</v>
      </c>
      <c r="E2113" t="s">
        <v>51</v>
      </c>
      <c r="F2113" t="s">
        <v>44</v>
      </c>
      <c r="G2113">
        <v>1441.56</v>
      </c>
      <c r="H2113">
        <v>1031.73</v>
      </c>
      <c r="I2113">
        <v>4727.75</v>
      </c>
      <c r="J2113" t="s">
        <v>37</v>
      </c>
      <c r="K2113" t="s">
        <v>38</v>
      </c>
      <c r="L2113">
        <v>0</v>
      </c>
      <c r="M2113">
        <v>0</v>
      </c>
      <c r="N2113">
        <v>0</v>
      </c>
      <c r="O2113">
        <v>0</v>
      </c>
      <c r="P2113">
        <v>0</v>
      </c>
      <c r="Q2113">
        <v>833</v>
      </c>
      <c r="R2113">
        <v>0.27</v>
      </c>
      <c r="S2113" t="s">
        <v>30</v>
      </c>
      <c r="T2113" s="1">
        <v>45083</v>
      </c>
      <c r="U2113">
        <v>0</v>
      </c>
    </row>
    <row r="2114" spans="1:21" x14ac:dyDescent="0.25">
      <c r="A2114" t="s">
        <v>2161</v>
      </c>
      <c r="B2114">
        <v>58</v>
      </c>
      <c r="C2114" t="s">
        <v>21</v>
      </c>
      <c r="D2114" t="s">
        <v>41</v>
      </c>
      <c r="E2114" t="s">
        <v>31</v>
      </c>
      <c r="F2114" t="s">
        <v>44</v>
      </c>
      <c r="G2114">
        <v>2859.84</v>
      </c>
      <c r="H2114">
        <v>2131.9899999999998</v>
      </c>
      <c r="I2114">
        <v>31015.86</v>
      </c>
      <c r="J2114" t="s">
        <v>37</v>
      </c>
      <c r="K2114" t="s">
        <v>38</v>
      </c>
      <c r="L2114">
        <v>0</v>
      </c>
      <c r="M2114">
        <v>0</v>
      </c>
      <c r="N2114">
        <v>0</v>
      </c>
      <c r="O2114">
        <v>0</v>
      </c>
      <c r="P2114">
        <v>0</v>
      </c>
      <c r="Q2114">
        <v>562</v>
      </c>
      <c r="R2114">
        <v>0.9</v>
      </c>
      <c r="S2114" t="s">
        <v>27</v>
      </c>
      <c r="T2114" s="1">
        <v>45049</v>
      </c>
      <c r="U2114">
        <v>0</v>
      </c>
    </row>
    <row r="2115" spans="1:21" x14ac:dyDescent="0.25">
      <c r="A2115" t="s">
        <v>2162</v>
      </c>
      <c r="B2115">
        <v>60</v>
      </c>
      <c r="C2115" t="s">
        <v>21</v>
      </c>
      <c r="D2115" t="s">
        <v>41</v>
      </c>
      <c r="E2115" t="s">
        <v>31</v>
      </c>
      <c r="F2115" t="s">
        <v>49</v>
      </c>
      <c r="G2115">
        <v>4199.7299999999996</v>
      </c>
      <c r="H2115">
        <v>1772.91</v>
      </c>
      <c r="I2115">
        <v>11582.19</v>
      </c>
      <c r="J2115" t="s">
        <v>25</v>
      </c>
      <c r="K2115" t="s">
        <v>26</v>
      </c>
      <c r="L2115">
        <v>92690.95</v>
      </c>
      <c r="M2115">
        <v>36</v>
      </c>
      <c r="N2115">
        <v>3425.39</v>
      </c>
      <c r="O2115">
        <v>19.59</v>
      </c>
      <c r="P2115">
        <v>0.82</v>
      </c>
      <c r="Q2115">
        <v>317</v>
      </c>
      <c r="R2115">
        <v>0.23</v>
      </c>
      <c r="S2115" t="s">
        <v>27</v>
      </c>
      <c r="T2115" s="1">
        <v>45248</v>
      </c>
      <c r="U2115">
        <v>1</v>
      </c>
    </row>
    <row r="2116" spans="1:21" x14ac:dyDescent="0.25">
      <c r="A2116" t="s">
        <v>2163</v>
      </c>
      <c r="B2116">
        <v>30</v>
      </c>
      <c r="C2116" t="s">
        <v>21</v>
      </c>
      <c r="D2116" t="s">
        <v>22</v>
      </c>
      <c r="E2116" t="s">
        <v>23</v>
      </c>
      <c r="F2116" t="s">
        <v>44</v>
      </c>
      <c r="G2116">
        <v>3428.66</v>
      </c>
      <c r="H2116">
        <v>2465.0500000000002</v>
      </c>
      <c r="I2116">
        <v>25790.799999999999</v>
      </c>
      <c r="J2116" t="s">
        <v>37</v>
      </c>
      <c r="K2116" t="s">
        <v>38</v>
      </c>
      <c r="L2116">
        <v>0</v>
      </c>
      <c r="M2116">
        <v>0</v>
      </c>
      <c r="N2116">
        <v>0</v>
      </c>
      <c r="O2116">
        <v>0</v>
      </c>
      <c r="P2116">
        <v>0</v>
      </c>
      <c r="Q2116">
        <v>672</v>
      </c>
      <c r="R2116">
        <v>0.63</v>
      </c>
      <c r="S2116" t="s">
        <v>72</v>
      </c>
      <c r="T2116" s="1">
        <v>45696</v>
      </c>
      <c r="U2116">
        <v>0</v>
      </c>
    </row>
    <row r="2117" spans="1:21" x14ac:dyDescent="0.25">
      <c r="A2117" t="s">
        <v>2164</v>
      </c>
      <c r="B2117">
        <v>59</v>
      </c>
      <c r="C2117" t="s">
        <v>21</v>
      </c>
      <c r="D2117" t="s">
        <v>22</v>
      </c>
      <c r="E2117" t="s">
        <v>31</v>
      </c>
      <c r="F2117" t="s">
        <v>42</v>
      </c>
      <c r="G2117">
        <v>2525.08</v>
      </c>
      <c r="H2117">
        <v>2171.41</v>
      </c>
      <c r="I2117">
        <v>26335</v>
      </c>
      <c r="J2117" t="s">
        <v>37</v>
      </c>
      <c r="K2117" t="s">
        <v>38</v>
      </c>
      <c r="L2117">
        <v>0</v>
      </c>
      <c r="M2117">
        <v>0</v>
      </c>
      <c r="N2117">
        <v>0</v>
      </c>
      <c r="O2117">
        <v>0</v>
      </c>
      <c r="P2117">
        <v>0</v>
      </c>
      <c r="Q2117">
        <v>506</v>
      </c>
      <c r="R2117">
        <v>0.87</v>
      </c>
      <c r="S2117" t="s">
        <v>27</v>
      </c>
      <c r="T2117" s="1">
        <v>45609</v>
      </c>
      <c r="U2117">
        <v>0</v>
      </c>
    </row>
    <row r="2118" spans="1:21" x14ac:dyDescent="0.25">
      <c r="A2118" t="s">
        <v>2165</v>
      </c>
      <c r="B2118">
        <v>64</v>
      </c>
      <c r="C2118" t="s">
        <v>29</v>
      </c>
      <c r="D2118" t="s">
        <v>35</v>
      </c>
      <c r="E2118" t="s">
        <v>31</v>
      </c>
      <c r="F2118" t="s">
        <v>49</v>
      </c>
      <c r="G2118">
        <v>5215.32</v>
      </c>
      <c r="H2118">
        <v>3258.81</v>
      </c>
      <c r="I2118">
        <v>7097.9</v>
      </c>
      <c r="J2118" t="s">
        <v>37</v>
      </c>
      <c r="K2118" t="s">
        <v>38</v>
      </c>
      <c r="L2118">
        <v>0</v>
      </c>
      <c r="M2118">
        <v>0</v>
      </c>
      <c r="N2118">
        <v>0</v>
      </c>
      <c r="O2118">
        <v>0</v>
      </c>
      <c r="P2118">
        <v>0</v>
      </c>
      <c r="Q2118">
        <v>508</v>
      </c>
      <c r="R2118">
        <v>0.11</v>
      </c>
      <c r="S2118" t="s">
        <v>72</v>
      </c>
      <c r="T2118" s="1">
        <v>44855</v>
      </c>
      <c r="U2118">
        <v>0</v>
      </c>
    </row>
    <row r="2119" spans="1:21" x14ac:dyDescent="0.25">
      <c r="A2119" t="s">
        <v>2166</v>
      </c>
      <c r="B2119">
        <v>47</v>
      </c>
      <c r="C2119" t="s">
        <v>21</v>
      </c>
      <c r="D2119" t="s">
        <v>41</v>
      </c>
      <c r="E2119" t="s">
        <v>49</v>
      </c>
      <c r="F2119" t="s">
        <v>63</v>
      </c>
      <c r="G2119">
        <v>6037.43</v>
      </c>
      <c r="H2119">
        <v>4347.17</v>
      </c>
      <c r="I2119">
        <v>9511.99</v>
      </c>
      <c r="J2119" t="s">
        <v>25</v>
      </c>
      <c r="K2119" t="s">
        <v>45</v>
      </c>
      <c r="L2119">
        <v>154402.51</v>
      </c>
      <c r="M2119">
        <v>60</v>
      </c>
      <c r="N2119">
        <v>3482.38</v>
      </c>
      <c r="O2119">
        <v>12.61</v>
      </c>
      <c r="P2119">
        <v>0.57999999999999996</v>
      </c>
      <c r="Q2119">
        <v>318</v>
      </c>
      <c r="R2119">
        <v>0.13</v>
      </c>
      <c r="S2119" t="s">
        <v>72</v>
      </c>
      <c r="T2119" s="1">
        <v>44688</v>
      </c>
      <c r="U2119">
        <v>1</v>
      </c>
    </row>
    <row r="2120" spans="1:21" x14ac:dyDescent="0.25">
      <c r="A2120" t="s">
        <v>2167</v>
      </c>
      <c r="B2120">
        <v>30</v>
      </c>
      <c r="C2120" t="s">
        <v>29</v>
      </c>
      <c r="D2120" t="s">
        <v>56</v>
      </c>
      <c r="E2120" t="s">
        <v>31</v>
      </c>
      <c r="F2120" t="s">
        <v>24</v>
      </c>
      <c r="G2120">
        <v>2488.7199999999998</v>
      </c>
      <c r="H2120">
        <v>1974.58</v>
      </c>
      <c r="I2120">
        <v>21788.32</v>
      </c>
      <c r="J2120" t="s">
        <v>37</v>
      </c>
      <c r="K2120" t="s">
        <v>38</v>
      </c>
      <c r="L2120">
        <v>0</v>
      </c>
      <c r="M2120">
        <v>0</v>
      </c>
      <c r="N2120">
        <v>0</v>
      </c>
      <c r="O2120">
        <v>0</v>
      </c>
      <c r="P2120">
        <v>0</v>
      </c>
      <c r="Q2120">
        <v>781</v>
      </c>
      <c r="R2120">
        <v>0.73</v>
      </c>
      <c r="S2120" t="s">
        <v>27</v>
      </c>
      <c r="T2120" s="1">
        <v>44787</v>
      </c>
      <c r="U2120">
        <v>0</v>
      </c>
    </row>
    <row r="2121" spans="1:21" x14ac:dyDescent="0.25">
      <c r="A2121" t="s">
        <v>2168</v>
      </c>
      <c r="B2121">
        <v>28</v>
      </c>
      <c r="C2121" t="s">
        <v>29</v>
      </c>
      <c r="D2121" t="s">
        <v>41</v>
      </c>
      <c r="E2121" t="s">
        <v>31</v>
      </c>
      <c r="F2121" t="s">
        <v>32</v>
      </c>
      <c r="G2121">
        <v>5816.52</v>
      </c>
      <c r="H2121">
        <v>4252.49</v>
      </c>
      <c r="I2121">
        <v>61048.13</v>
      </c>
      <c r="J2121" t="s">
        <v>37</v>
      </c>
      <c r="K2121" t="s">
        <v>38</v>
      </c>
      <c r="L2121">
        <v>0</v>
      </c>
      <c r="M2121">
        <v>0</v>
      </c>
      <c r="N2121">
        <v>0</v>
      </c>
      <c r="O2121">
        <v>0</v>
      </c>
      <c r="P2121">
        <v>0</v>
      </c>
      <c r="Q2121">
        <v>688</v>
      </c>
      <c r="R2121">
        <v>0.87</v>
      </c>
      <c r="S2121" t="s">
        <v>72</v>
      </c>
      <c r="T2121" s="1">
        <v>45029</v>
      </c>
      <c r="U2121">
        <v>0</v>
      </c>
    </row>
    <row r="2122" spans="1:21" x14ac:dyDescent="0.25">
      <c r="A2122" t="s">
        <v>2169</v>
      </c>
      <c r="B2122">
        <v>24</v>
      </c>
      <c r="C2122" t="s">
        <v>21</v>
      </c>
      <c r="D2122" t="s">
        <v>56</v>
      </c>
      <c r="E2122" t="s">
        <v>31</v>
      </c>
      <c r="F2122" t="s">
        <v>44</v>
      </c>
      <c r="G2122">
        <v>2824.22</v>
      </c>
      <c r="H2122">
        <v>1051.18</v>
      </c>
      <c r="I2122">
        <v>9492.42</v>
      </c>
      <c r="J2122" t="s">
        <v>25</v>
      </c>
      <c r="K2122" t="s">
        <v>33</v>
      </c>
      <c r="L2122">
        <v>223542.78</v>
      </c>
      <c r="M2122">
        <v>240</v>
      </c>
      <c r="N2122">
        <v>4981.03</v>
      </c>
      <c r="O2122">
        <v>26.6</v>
      </c>
      <c r="P2122">
        <v>1.76</v>
      </c>
      <c r="Q2122">
        <v>838</v>
      </c>
      <c r="R2122">
        <v>0.28000000000000003</v>
      </c>
      <c r="S2122" t="s">
        <v>39</v>
      </c>
      <c r="T2122" s="1">
        <v>45671</v>
      </c>
      <c r="U2122">
        <v>1</v>
      </c>
    </row>
    <row r="2123" spans="1:21" x14ac:dyDescent="0.25">
      <c r="A2123" t="s">
        <v>2170</v>
      </c>
      <c r="B2123">
        <v>61</v>
      </c>
      <c r="C2123" t="s">
        <v>29</v>
      </c>
      <c r="D2123" t="s">
        <v>41</v>
      </c>
      <c r="E2123" t="s">
        <v>51</v>
      </c>
      <c r="F2123" t="s">
        <v>24</v>
      </c>
      <c r="G2123">
        <v>2874.75</v>
      </c>
      <c r="H2123">
        <v>1697.79</v>
      </c>
      <c r="I2123">
        <v>5128.1499999999996</v>
      </c>
      <c r="J2123" t="s">
        <v>37</v>
      </c>
      <c r="K2123" t="s">
        <v>38</v>
      </c>
      <c r="L2123">
        <v>0</v>
      </c>
      <c r="M2123">
        <v>0</v>
      </c>
      <c r="N2123">
        <v>0</v>
      </c>
      <c r="O2123">
        <v>0</v>
      </c>
      <c r="P2123">
        <v>0</v>
      </c>
      <c r="Q2123">
        <v>693</v>
      </c>
      <c r="R2123">
        <v>0.15</v>
      </c>
      <c r="S2123" t="s">
        <v>30</v>
      </c>
      <c r="T2123" s="1">
        <v>44719</v>
      </c>
      <c r="U2123">
        <v>0</v>
      </c>
    </row>
    <row r="2124" spans="1:21" x14ac:dyDescent="0.25">
      <c r="A2124" t="s">
        <v>2171</v>
      </c>
      <c r="B2124">
        <v>55</v>
      </c>
      <c r="C2124" t="s">
        <v>29</v>
      </c>
      <c r="D2124" t="s">
        <v>22</v>
      </c>
      <c r="E2124" t="s">
        <v>31</v>
      </c>
      <c r="F2124" t="s">
        <v>44</v>
      </c>
      <c r="G2124">
        <v>3331.7</v>
      </c>
      <c r="H2124">
        <v>1071.9000000000001</v>
      </c>
      <c r="I2124">
        <v>38045.89</v>
      </c>
      <c r="J2124" t="s">
        <v>25</v>
      </c>
      <c r="K2124" t="s">
        <v>45</v>
      </c>
      <c r="L2124">
        <v>263112.93</v>
      </c>
      <c r="M2124">
        <v>120</v>
      </c>
      <c r="N2124">
        <v>3657.22</v>
      </c>
      <c r="O2124">
        <v>11.22</v>
      </c>
      <c r="P2124">
        <v>1.1000000000000001</v>
      </c>
      <c r="Q2124">
        <v>588</v>
      </c>
      <c r="R2124">
        <v>0.95</v>
      </c>
      <c r="S2124" t="s">
        <v>30</v>
      </c>
      <c r="T2124" s="1">
        <v>45016</v>
      </c>
      <c r="U2124">
        <v>1</v>
      </c>
    </row>
    <row r="2125" spans="1:21" x14ac:dyDescent="0.25">
      <c r="A2125" t="s">
        <v>2172</v>
      </c>
      <c r="B2125">
        <v>56</v>
      </c>
      <c r="C2125" t="s">
        <v>29</v>
      </c>
      <c r="D2125" t="s">
        <v>56</v>
      </c>
      <c r="E2125" t="s">
        <v>51</v>
      </c>
      <c r="F2125" t="s">
        <v>49</v>
      </c>
      <c r="G2125">
        <v>6482.21</v>
      </c>
      <c r="H2125">
        <v>2482.9</v>
      </c>
      <c r="I2125">
        <v>65917.72</v>
      </c>
      <c r="J2125" t="s">
        <v>37</v>
      </c>
      <c r="K2125" t="s">
        <v>38</v>
      </c>
      <c r="L2125">
        <v>0</v>
      </c>
      <c r="M2125">
        <v>0</v>
      </c>
      <c r="N2125">
        <v>0</v>
      </c>
      <c r="O2125">
        <v>0</v>
      </c>
      <c r="P2125">
        <v>0</v>
      </c>
      <c r="Q2125">
        <v>402</v>
      </c>
      <c r="R2125">
        <v>0.85</v>
      </c>
      <c r="S2125" t="s">
        <v>72</v>
      </c>
      <c r="T2125" s="1">
        <v>45252</v>
      </c>
      <c r="U2125">
        <v>0</v>
      </c>
    </row>
    <row r="2126" spans="1:21" x14ac:dyDescent="0.25">
      <c r="A2126" t="s">
        <v>2173</v>
      </c>
      <c r="B2126">
        <v>69</v>
      </c>
      <c r="C2126" t="s">
        <v>21</v>
      </c>
      <c r="D2126" t="s">
        <v>35</v>
      </c>
      <c r="E2126" t="s">
        <v>31</v>
      </c>
      <c r="F2126" t="s">
        <v>32</v>
      </c>
      <c r="G2126">
        <v>500</v>
      </c>
      <c r="H2126">
        <v>256.95</v>
      </c>
      <c r="I2126">
        <v>5777.3</v>
      </c>
      <c r="J2126" t="s">
        <v>37</v>
      </c>
      <c r="K2126" t="s">
        <v>38</v>
      </c>
      <c r="L2126">
        <v>0</v>
      </c>
      <c r="M2126">
        <v>0</v>
      </c>
      <c r="N2126">
        <v>0</v>
      </c>
      <c r="O2126">
        <v>0</v>
      </c>
      <c r="P2126">
        <v>0</v>
      </c>
      <c r="Q2126">
        <v>582</v>
      </c>
      <c r="R2126">
        <v>0.96</v>
      </c>
      <c r="S2126" t="s">
        <v>30</v>
      </c>
      <c r="T2126" s="1">
        <v>45144</v>
      </c>
      <c r="U2126">
        <v>0</v>
      </c>
    </row>
    <row r="2127" spans="1:21" x14ac:dyDescent="0.25">
      <c r="A2127" t="s">
        <v>2174</v>
      </c>
      <c r="B2127">
        <v>37</v>
      </c>
      <c r="C2127" t="s">
        <v>21</v>
      </c>
      <c r="D2127" t="s">
        <v>41</v>
      </c>
      <c r="E2127" t="s">
        <v>23</v>
      </c>
      <c r="F2127" t="s">
        <v>32</v>
      </c>
      <c r="G2127">
        <v>7130.46</v>
      </c>
      <c r="H2127">
        <v>4597.13</v>
      </c>
      <c r="I2127">
        <v>27804.38</v>
      </c>
      <c r="J2127" t="s">
        <v>37</v>
      </c>
      <c r="K2127" t="s">
        <v>38</v>
      </c>
      <c r="L2127">
        <v>0</v>
      </c>
      <c r="M2127">
        <v>0</v>
      </c>
      <c r="N2127">
        <v>0</v>
      </c>
      <c r="O2127">
        <v>0</v>
      </c>
      <c r="P2127">
        <v>0</v>
      </c>
      <c r="Q2127">
        <v>387</v>
      </c>
      <c r="R2127">
        <v>0.32</v>
      </c>
      <c r="S2127" t="s">
        <v>72</v>
      </c>
      <c r="T2127" s="1">
        <v>45831</v>
      </c>
      <c r="U2127">
        <v>0</v>
      </c>
    </row>
    <row r="2128" spans="1:21" x14ac:dyDescent="0.25">
      <c r="A2128" t="s">
        <v>2175</v>
      </c>
      <c r="B2128">
        <v>29</v>
      </c>
      <c r="C2128" t="s">
        <v>29</v>
      </c>
      <c r="D2128" t="s">
        <v>22</v>
      </c>
      <c r="E2128" t="s">
        <v>31</v>
      </c>
      <c r="F2128" t="s">
        <v>42</v>
      </c>
      <c r="G2128">
        <v>5900.12</v>
      </c>
      <c r="H2128">
        <v>3528.64</v>
      </c>
      <c r="I2128">
        <v>25027.9</v>
      </c>
      <c r="J2128" t="s">
        <v>25</v>
      </c>
      <c r="K2128" t="s">
        <v>54</v>
      </c>
      <c r="L2128">
        <v>214690.66</v>
      </c>
      <c r="M2128">
        <v>24</v>
      </c>
      <c r="N2128">
        <v>9952.5300000000007</v>
      </c>
      <c r="O2128">
        <v>10.46</v>
      </c>
      <c r="P2128">
        <v>1.69</v>
      </c>
      <c r="Q2128">
        <v>434</v>
      </c>
      <c r="R2128">
        <v>0.35</v>
      </c>
      <c r="S2128" t="s">
        <v>47</v>
      </c>
      <c r="T2128" s="1">
        <v>44808</v>
      </c>
      <c r="U2128">
        <v>1</v>
      </c>
    </row>
    <row r="2129" spans="1:21" x14ac:dyDescent="0.25">
      <c r="A2129" t="s">
        <v>2176</v>
      </c>
      <c r="B2129">
        <v>30</v>
      </c>
      <c r="C2129" t="s">
        <v>21</v>
      </c>
      <c r="D2129" t="s">
        <v>22</v>
      </c>
      <c r="E2129" t="s">
        <v>23</v>
      </c>
      <c r="F2129" t="s">
        <v>36</v>
      </c>
      <c r="G2129">
        <v>6080.5</v>
      </c>
      <c r="H2129">
        <v>4378.8100000000004</v>
      </c>
      <c r="I2129">
        <v>12228.66</v>
      </c>
      <c r="J2129" t="s">
        <v>37</v>
      </c>
      <c r="K2129" t="s">
        <v>38</v>
      </c>
      <c r="L2129">
        <v>0</v>
      </c>
      <c r="M2129">
        <v>0</v>
      </c>
      <c r="N2129">
        <v>0</v>
      </c>
      <c r="O2129">
        <v>0</v>
      </c>
      <c r="P2129">
        <v>0</v>
      </c>
      <c r="Q2129">
        <v>449</v>
      </c>
      <c r="R2129">
        <v>0.17</v>
      </c>
      <c r="S2129" t="s">
        <v>72</v>
      </c>
      <c r="T2129" s="1">
        <v>44581</v>
      </c>
      <c r="U2129">
        <v>0</v>
      </c>
    </row>
    <row r="2130" spans="1:21" x14ac:dyDescent="0.25">
      <c r="A2130" t="s">
        <v>2177</v>
      </c>
      <c r="B2130">
        <v>68</v>
      </c>
      <c r="C2130" t="s">
        <v>29</v>
      </c>
      <c r="D2130" t="s">
        <v>22</v>
      </c>
      <c r="E2130" t="s">
        <v>23</v>
      </c>
      <c r="F2130" t="s">
        <v>32</v>
      </c>
      <c r="G2130">
        <v>3582.39</v>
      </c>
      <c r="H2130">
        <v>1252.74</v>
      </c>
      <c r="I2130">
        <v>23835.91</v>
      </c>
      <c r="J2130" t="s">
        <v>37</v>
      </c>
      <c r="K2130" t="s">
        <v>38</v>
      </c>
      <c r="L2130">
        <v>0</v>
      </c>
      <c r="M2130">
        <v>0</v>
      </c>
      <c r="N2130">
        <v>0</v>
      </c>
      <c r="O2130">
        <v>0</v>
      </c>
      <c r="P2130">
        <v>0</v>
      </c>
      <c r="Q2130">
        <v>307</v>
      </c>
      <c r="R2130">
        <v>0.55000000000000004</v>
      </c>
      <c r="S2130" t="s">
        <v>72</v>
      </c>
      <c r="T2130" s="1">
        <v>45419</v>
      </c>
      <c r="U2130">
        <v>0</v>
      </c>
    </row>
    <row r="2131" spans="1:21" x14ac:dyDescent="0.25">
      <c r="A2131" t="s">
        <v>2178</v>
      </c>
      <c r="B2131">
        <v>51</v>
      </c>
      <c r="C2131" t="s">
        <v>30</v>
      </c>
      <c r="D2131" t="s">
        <v>35</v>
      </c>
      <c r="E2131" t="s">
        <v>31</v>
      </c>
      <c r="F2131" t="s">
        <v>42</v>
      </c>
      <c r="G2131">
        <v>1725.18</v>
      </c>
      <c r="H2131">
        <v>1186.04</v>
      </c>
      <c r="I2131">
        <v>18612.34</v>
      </c>
      <c r="J2131" t="s">
        <v>37</v>
      </c>
      <c r="K2131" t="s">
        <v>38</v>
      </c>
      <c r="L2131">
        <v>0</v>
      </c>
      <c r="M2131">
        <v>0</v>
      </c>
      <c r="N2131">
        <v>0</v>
      </c>
      <c r="O2131">
        <v>0</v>
      </c>
      <c r="P2131">
        <v>0</v>
      </c>
      <c r="Q2131">
        <v>776</v>
      </c>
      <c r="R2131">
        <v>0.9</v>
      </c>
      <c r="S2131" t="s">
        <v>72</v>
      </c>
      <c r="T2131" s="1">
        <v>44895</v>
      </c>
      <c r="U2131">
        <v>0</v>
      </c>
    </row>
    <row r="2132" spans="1:21" x14ac:dyDescent="0.25">
      <c r="A2132" t="s">
        <v>2179</v>
      </c>
      <c r="B2132">
        <v>41</v>
      </c>
      <c r="C2132" t="s">
        <v>21</v>
      </c>
      <c r="D2132" t="s">
        <v>41</v>
      </c>
      <c r="E2132" t="s">
        <v>31</v>
      </c>
      <c r="F2132" t="s">
        <v>52</v>
      </c>
      <c r="G2132">
        <v>920.5</v>
      </c>
      <c r="H2132">
        <v>689.58</v>
      </c>
      <c r="I2132">
        <v>10727.9</v>
      </c>
      <c r="J2132" t="s">
        <v>37</v>
      </c>
      <c r="K2132" t="s">
        <v>38</v>
      </c>
      <c r="L2132">
        <v>0</v>
      </c>
      <c r="M2132">
        <v>0</v>
      </c>
      <c r="N2132">
        <v>0</v>
      </c>
      <c r="O2132">
        <v>0</v>
      </c>
      <c r="P2132">
        <v>0</v>
      </c>
      <c r="Q2132">
        <v>416</v>
      </c>
      <c r="R2132">
        <v>0.97</v>
      </c>
      <c r="S2132" t="s">
        <v>39</v>
      </c>
      <c r="T2132" s="1">
        <v>45621</v>
      </c>
      <c r="U2132">
        <v>0</v>
      </c>
    </row>
    <row r="2133" spans="1:21" x14ac:dyDescent="0.25">
      <c r="A2133" t="s">
        <v>2180</v>
      </c>
      <c r="B2133">
        <v>39</v>
      </c>
      <c r="C2133" t="s">
        <v>29</v>
      </c>
      <c r="D2133" t="s">
        <v>22</v>
      </c>
      <c r="E2133" t="s">
        <v>31</v>
      </c>
      <c r="F2133" t="s">
        <v>52</v>
      </c>
      <c r="G2133">
        <v>500</v>
      </c>
      <c r="H2133">
        <v>282.87</v>
      </c>
      <c r="I2133">
        <v>2535.77</v>
      </c>
      <c r="J2133" t="s">
        <v>37</v>
      </c>
      <c r="K2133" t="s">
        <v>38</v>
      </c>
      <c r="L2133">
        <v>0</v>
      </c>
      <c r="M2133">
        <v>0</v>
      </c>
      <c r="N2133">
        <v>0</v>
      </c>
      <c r="O2133">
        <v>0</v>
      </c>
      <c r="P2133">
        <v>0</v>
      </c>
      <c r="Q2133">
        <v>684</v>
      </c>
      <c r="R2133">
        <v>0.42</v>
      </c>
      <c r="S2133" t="s">
        <v>30</v>
      </c>
      <c r="T2133" s="1">
        <v>45094</v>
      </c>
      <c r="U2133">
        <v>0</v>
      </c>
    </row>
    <row r="2134" spans="1:21" x14ac:dyDescent="0.25">
      <c r="A2134" t="s">
        <v>2181</v>
      </c>
      <c r="B2134">
        <v>56</v>
      </c>
      <c r="C2134" t="s">
        <v>29</v>
      </c>
      <c r="D2134" t="s">
        <v>35</v>
      </c>
      <c r="E2134" t="s">
        <v>31</v>
      </c>
      <c r="F2134" t="s">
        <v>42</v>
      </c>
      <c r="G2134">
        <v>2242.39</v>
      </c>
      <c r="H2134">
        <v>1444.77</v>
      </c>
      <c r="I2134">
        <v>22803.22</v>
      </c>
      <c r="J2134" t="s">
        <v>25</v>
      </c>
      <c r="K2134" t="s">
        <v>45</v>
      </c>
      <c r="L2134">
        <v>26270.43</v>
      </c>
      <c r="M2134">
        <v>300</v>
      </c>
      <c r="N2134">
        <v>456.07</v>
      </c>
      <c r="O2134">
        <v>20.71</v>
      </c>
      <c r="P2134">
        <v>0.2</v>
      </c>
      <c r="Q2134">
        <v>502</v>
      </c>
      <c r="R2134">
        <v>0.85</v>
      </c>
      <c r="S2134" t="s">
        <v>47</v>
      </c>
      <c r="T2134" s="1">
        <v>44679</v>
      </c>
      <c r="U2134">
        <v>0</v>
      </c>
    </row>
    <row r="2135" spans="1:21" x14ac:dyDescent="0.25">
      <c r="A2135" t="s">
        <v>2182</v>
      </c>
      <c r="B2135">
        <v>24</v>
      </c>
      <c r="C2135" t="s">
        <v>29</v>
      </c>
      <c r="D2135" t="s">
        <v>35</v>
      </c>
      <c r="E2135" t="s">
        <v>49</v>
      </c>
      <c r="F2135" t="s">
        <v>52</v>
      </c>
      <c r="G2135">
        <v>3817.57</v>
      </c>
      <c r="H2135">
        <v>2875.55</v>
      </c>
      <c r="I2135">
        <v>20624.439999999999</v>
      </c>
      <c r="J2135" t="s">
        <v>37</v>
      </c>
      <c r="K2135" t="s">
        <v>38</v>
      </c>
      <c r="L2135">
        <v>0</v>
      </c>
      <c r="M2135">
        <v>0</v>
      </c>
      <c r="N2135">
        <v>0</v>
      </c>
      <c r="O2135">
        <v>0</v>
      </c>
      <c r="P2135">
        <v>0</v>
      </c>
      <c r="Q2135">
        <v>687</v>
      </c>
      <c r="R2135">
        <v>0.45</v>
      </c>
      <c r="S2135" t="s">
        <v>72</v>
      </c>
      <c r="T2135" s="1">
        <v>45622</v>
      </c>
      <c r="U2135">
        <v>0</v>
      </c>
    </row>
    <row r="2136" spans="1:21" x14ac:dyDescent="0.25">
      <c r="A2136" t="s">
        <v>2183</v>
      </c>
      <c r="B2136">
        <v>61</v>
      </c>
      <c r="C2136" t="s">
        <v>29</v>
      </c>
      <c r="D2136" t="s">
        <v>41</v>
      </c>
      <c r="E2136" t="s">
        <v>31</v>
      </c>
      <c r="F2136" t="s">
        <v>32</v>
      </c>
      <c r="G2136">
        <v>5574.04</v>
      </c>
      <c r="H2136">
        <v>2131.0700000000002</v>
      </c>
      <c r="I2136">
        <v>58553.39</v>
      </c>
      <c r="J2136" t="s">
        <v>37</v>
      </c>
      <c r="K2136" t="s">
        <v>38</v>
      </c>
      <c r="L2136">
        <v>0</v>
      </c>
      <c r="M2136">
        <v>0</v>
      </c>
      <c r="N2136">
        <v>0</v>
      </c>
      <c r="O2136">
        <v>0</v>
      </c>
      <c r="P2136">
        <v>0</v>
      </c>
      <c r="Q2136">
        <v>575</v>
      </c>
      <c r="R2136">
        <v>0.88</v>
      </c>
      <c r="S2136" t="s">
        <v>27</v>
      </c>
      <c r="T2136" s="1">
        <v>45115</v>
      </c>
      <c r="U2136">
        <v>0</v>
      </c>
    </row>
    <row r="2137" spans="1:21" x14ac:dyDescent="0.25">
      <c r="A2137" t="s">
        <v>2184</v>
      </c>
      <c r="B2137">
        <v>27</v>
      </c>
      <c r="C2137" t="s">
        <v>29</v>
      </c>
      <c r="D2137" t="s">
        <v>41</v>
      </c>
      <c r="E2137" t="s">
        <v>31</v>
      </c>
      <c r="F2137" t="s">
        <v>44</v>
      </c>
      <c r="G2137">
        <v>3652.05</v>
      </c>
      <c r="H2137">
        <v>1761.46</v>
      </c>
      <c r="I2137">
        <v>35198.33</v>
      </c>
      <c r="J2137" t="s">
        <v>37</v>
      </c>
      <c r="K2137" t="s">
        <v>38</v>
      </c>
      <c r="L2137">
        <v>0</v>
      </c>
      <c r="M2137">
        <v>0</v>
      </c>
      <c r="N2137">
        <v>0</v>
      </c>
      <c r="O2137">
        <v>0</v>
      </c>
      <c r="P2137">
        <v>0</v>
      </c>
      <c r="Q2137">
        <v>647</v>
      </c>
      <c r="R2137">
        <v>0.8</v>
      </c>
      <c r="S2137" t="s">
        <v>27</v>
      </c>
      <c r="T2137" s="1">
        <v>45480</v>
      </c>
      <c r="U2137">
        <v>0</v>
      </c>
    </row>
    <row r="2138" spans="1:21" x14ac:dyDescent="0.25">
      <c r="A2138" t="s">
        <v>2185</v>
      </c>
      <c r="B2138">
        <v>32</v>
      </c>
      <c r="C2138" t="s">
        <v>29</v>
      </c>
      <c r="D2138" t="s">
        <v>35</v>
      </c>
      <c r="E2138" t="s">
        <v>49</v>
      </c>
      <c r="F2138" t="s">
        <v>42</v>
      </c>
      <c r="G2138">
        <v>3627.65</v>
      </c>
      <c r="H2138">
        <v>2622.46</v>
      </c>
      <c r="I2138">
        <v>38730.480000000003</v>
      </c>
      <c r="J2138" t="s">
        <v>37</v>
      </c>
      <c r="K2138" t="s">
        <v>38</v>
      </c>
      <c r="L2138">
        <v>0</v>
      </c>
      <c r="M2138">
        <v>0</v>
      </c>
      <c r="N2138">
        <v>0</v>
      </c>
      <c r="O2138">
        <v>0</v>
      </c>
      <c r="P2138">
        <v>0</v>
      </c>
      <c r="Q2138">
        <v>331</v>
      </c>
      <c r="R2138">
        <v>0.89</v>
      </c>
      <c r="S2138" t="s">
        <v>72</v>
      </c>
      <c r="T2138" s="1">
        <v>45203</v>
      </c>
      <c r="U2138">
        <v>0</v>
      </c>
    </row>
    <row r="2139" spans="1:21" x14ac:dyDescent="0.25">
      <c r="A2139" t="s">
        <v>2186</v>
      </c>
      <c r="B2139">
        <v>25</v>
      </c>
      <c r="C2139" t="s">
        <v>29</v>
      </c>
      <c r="D2139" t="s">
        <v>22</v>
      </c>
      <c r="E2139" t="s">
        <v>31</v>
      </c>
      <c r="F2139" t="s">
        <v>23</v>
      </c>
      <c r="G2139">
        <v>8329.01</v>
      </c>
      <c r="H2139">
        <v>7143.39</v>
      </c>
      <c r="I2139">
        <v>85215.85</v>
      </c>
      <c r="J2139" t="s">
        <v>37</v>
      </c>
      <c r="K2139" t="s">
        <v>38</v>
      </c>
      <c r="L2139">
        <v>0</v>
      </c>
      <c r="M2139">
        <v>0</v>
      </c>
      <c r="N2139">
        <v>0</v>
      </c>
      <c r="O2139">
        <v>0</v>
      </c>
      <c r="P2139">
        <v>0</v>
      </c>
      <c r="Q2139">
        <v>552</v>
      </c>
      <c r="R2139">
        <v>0.85</v>
      </c>
      <c r="S2139" t="s">
        <v>72</v>
      </c>
      <c r="T2139" s="1">
        <v>45517</v>
      </c>
      <c r="U2139">
        <v>0</v>
      </c>
    </row>
    <row r="2140" spans="1:21" x14ac:dyDescent="0.25">
      <c r="A2140" t="s">
        <v>2187</v>
      </c>
      <c r="B2140">
        <v>62</v>
      </c>
      <c r="C2140" t="s">
        <v>21</v>
      </c>
      <c r="D2140" t="s">
        <v>41</v>
      </c>
      <c r="E2140" t="s">
        <v>51</v>
      </c>
      <c r="F2140" t="s">
        <v>32</v>
      </c>
      <c r="G2140">
        <v>4755.13</v>
      </c>
      <c r="H2140">
        <v>1844.99</v>
      </c>
      <c r="I2140">
        <v>12249.95</v>
      </c>
      <c r="J2140" t="s">
        <v>25</v>
      </c>
      <c r="K2140" t="s">
        <v>33</v>
      </c>
      <c r="L2140">
        <v>153888.1</v>
      </c>
      <c r="M2140">
        <v>300</v>
      </c>
      <c r="N2140">
        <v>3126.4</v>
      </c>
      <c r="O2140">
        <v>24.32</v>
      </c>
      <c r="P2140">
        <v>0.66</v>
      </c>
      <c r="Q2140">
        <v>615</v>
      </c>
      <c r="R2140">
        <v>0.21</v>
      </c>
      <c r="S2140" t="s">
        <v>47</v>
      </c>
      <c r="T2140" s="1">
        <v>45025</v>
      </c>
      <c r="U2140">
        <v>1</v>
      </c>
    </row>
    <row r="2141" spans="1:21" x14ac:dyDescent="0.25">
      <c r="A2141" t="s">
        <v>2188</v>
      </c>
      <c r="B2141">
        <v>20</v>
      </c>
      <c r="C2141" t="s">
        <v>21</v>
      </c>
      <c r="D2141" t="s">
        <v>22</v>
      </c>
      <c r="E2141" t="s">
        <v>31</v>
      </c>
      <c r="F2141" t="s">
        <v>23</v>
      </c>
      <c r="G2141">
        <v>5743.77</v>
      </c>
      <c r="H2141">
        <v>2544.08</v>
      </c>
      <c r="I2141">
        <v>60280.66</v>
      </c>
      <c r="J2141" t="s">
        <v>37</v>
      </c>
      <c r="K2141" t="s">
        <v>38</v>
      </c>
      <c r="L2141">
        <v>0</v>
      </c>
      <c r="M2141">
        <v>0</v>
      </c>
      <c r="N2141">
        <v>0</v>
      </c>
      <c r="O2141">
        <v>0</v>
      </c>
      <c r="P2141">
        <v>0</v>
      </c>
      <c r="Q2141">
        <v>337</v>
      </c>
      <c r="R2141">
        <v>0.87</v>
      </c>
      <c r="S2141" t="s">
        <v>47</v>
      </c>
      <c r="T2141" s="1">
        <v>45008</v>
      </c>
      <c r="U2141">
        <v>0</v>
      </c>
    </row>
    <row r="2142" spans="1:21" x14ac:dyDescent="0.25">
      <c r="A2142" t="s">
        <v>2189</v>
      </c>
      <c r="B2142">
        <v>50</v>
      </c>
      <c r="C2142" t="s">
        <v>21</v>
      </c>
      <c r="D2142" t="s">
        <v>41</v>
      </c>
      <c r="E2142" t="s">
        <v>31</v>
      </c>
      <c r="F2142" t="s">
        <v>49</v>
      </c>
      <c r="G2142">
        <v>2804.41</v>
      </c>
      <c r="H2142">
        <v>1898.85</v>
      </c>
      <c r="I2142">
        <v>3609.72</v>
      </c>
      <c r="J2142" t="s">
        <v>37</v>
      </c>
      <c r="K2142" t="s">
        <v>38</v>
      </c>
      <c r="L2142">
        <v>0</v>
      </c>
      <c r="M2142">
        <v>0</v>
      </c>
      <c r="N2142">
        <v>0</v>
      </c>
      <c r="O2142">
        <v>0</v>
      </c>
      <c r="P2142">
        <v>0</v>
      </c>
      <c r="Q2142">
        <v>475</v>
      </c>
      <c r="R2142">
        <v>0.11</v>
      </c>
      <c r="S2142" t="s">
        <v>47</v>
      </c>
      <c r="T2142" s="1">
        <v>45787</v>
      </c>
      <c r="U2142">
        <v>0</v>
      </c>
    </row>
    <row r="2143" spans="1:21" x14ac:dyDescent="0.25">
      <c r="A2143" t="s">
        <v>2190</v>
      </c>
      <c r="B2143">
        <v>51</v>
      </c>
      <c r="C2143" t="s">
        <v>21</v>
      </c>
      <c r="D2143" t="s">
        <v>41</v>
      </c>
      <c r="E2143" t="s">
        <v>23</v>
      </c>
      <c r="F2143" t="s">
        <v>32</v>
      </c>
      <c r="G2143">
        <v>6658.36</v>
      </c>
      <c r="H2143">
        <v>4012.58</v>
      </c>
      <c r="I2143">
        <v>14088.42</v>
      </c>
      <c r="J2143" t="s">
        <v>37</v>
      </c>
      <c r="K2143" t="s">
        <v>38</v>
      </c>
      <c r="L2143">
        <v>0</v>
      </c>
      <c r="M2143">
        <v>0</v>
      </c>
      <c r="N2143">
        <v>0</v>
      </c>
      <c r="O2143">
        <v>0</v>
      </c>
      <c r="P2143">
        <v>0</v>
      </c>
      <c r="Q2143">
        <v>495</v>
      </c>
      <c r="R2143">
        <v>0.18</v>
      </c>
      <c r="S2143" t="s">
        <v>27</v>
      </c>
      <c r="T2143" s="1">
        <v>44756</v>
      </c>
      <c r="U2143">
        <v>0</v>
      </c>
    </row>
    <row r="2144" spans="1:21" x14ac:dyDescent="0.25">
      <c r="A2144" t="s">
        <v>2191</v>
      </c>
      <c r="B2144">
        <v>33</v>
      </c>
      <c r="C2144" t="s">
        <v>21</v>
      </c>
      <c r="D2144" t="s">
        <v>22</v>
      </c>
      <c r="E2144" t="s">
        <v>49</v>
      </c>
      <c r="F2144" t="s">
        <v>63</v>
      </c>
      <c r="G2144">
        <v>3173.64</v>
      </c>
      <c r="H2144">
        <v>1837.04</v>
      </c>
      <c r="I2144">
        <v>22376.13</v>
      </c>
      <c r="J2144" t="s">
        <v>37</v>
      </c>
      <c r="K2144" t="s">
        <v>38</v>
      </c>
      <c r="L2144">
        <v>0</v>
      </c>
      <c r="M2144">
        <v>0</v>
      </c>
      <c r="N2144">
        <v>0</v>
      </c>
      <c r="O2144">
        <v>0</v>
      </c>
      <c r="P2144">
        <v>0</v>
      </c>
      <c r="Q2144">
        <v>413</v>
      </c>
      <c r="R2144">
        <v>0.59</v>
      </c>
      <c r="S2144" t="s">
        <v>27</v>
      </c>
      <c r="T2144" s="1">
        <v>44792</v>
      </c>
      <c r="U2144">
        <v>0</v>
      </c>
    </row>
    <row r="2145" spans="1:21" x14ac:dyDescent="0.25">
      <c r="A2145" t="s">
        <v>2192</v>
      </c>
      <c r="B2145">
        <v>30</v>
      </c>
      <c r="C2145" t="s">
        <v>21</v>
      </c>
      <c r="D2145" t="s">
        <v>22</v>
      </c>
      <c r="E2145" t="s">
        <v>51</v>
      </c>
      <c r="F2145" t="s">
        <v>52</v>
      </c>
      <c r="G2145">
        <v>5588.33</v>
      </c>
      <c r="H2145">
        <v>3609.16</v>
      </c>
      <c r="I2145">
        <v>19603.689999999999</v>
      </c>
      <c r="J2145" t="s">
        <v>37</v>
      </c>
      <c r="K2145" t="s">
        <v>38</v>
      </c>
      <c r="L2145">
        <v>0</v>
      </c>
      <c r="M2145">
        <v>0</v>
      </c>
      <c r="N2145">
        <v>0</v>
      </c>
      <c r="O2145">
        <v>0</v>
      </c>
      <c r="P2145">
        <v>0</v>
      </c>
      <c r="Q2145">
        <v>442</v>
      </c>
      <c r="R2145">
        <v>0.28999999999999998</v>
      </c>
      <c r="S2145" t="s">
        <v>27</v>
      </c>
      <c r="T2145" s="1">
        <v>45235</v>
      </c>
      <c r="U2145">
        <v>0</v>
      </c>
    </row>
    <row r="2146" spans="1:21" x14ac:dyDescent="0.25">
      <c r="A2146" t="s">
        <v>2193</v>
      </c>
      <c r="B2146">
        <v>53</v>
      </c>
      <c r="C2146" t="s">
        <v>21</v>
      </c>
      <c r="D2146" t="s">
        <v>22</v>
      </c>
      <c r="E2146" t="s">
        <v>51</v>
      </c>
      <c r="F2146" t="s">
        <v>24</v>
      </c>
      <c r="G2146">
        <v>7440.84</v>
      </c>
      <c r="H2146">
        <v>2734.12</v>
      </c>
      <c r="I2146">
        <v>35917.93</v>
      </c>
      <c r="J2146" t="s">
        <v>37</v>
      </c>
      <c r="K2146" t="s">
        <v>38</v>
      </c>
      <c r="L2146">
        <v>0</v>
      </c>
      <c r="M2146">
        <v>0</v>
      </c>
      <c r="N2146">
        <v>0</v>
      </c>
      <c r="O2146">
        <v>0</v>
      </c>
      <c r="P2146">
        <v>0</v>
      </c>
      <c r="Q2146">
        <v>692</v>
      </c>
      <c r="R2146">
        <v>0.4</v>
      </c>
      <c r="S2146" t="s">
        <v>30</v>
      </c>
      <c r="T2146" s="1">
        <v>44415</v>
      </c>
      <c r="U2146">
        <v>0</v>
      </c>
    </row>
    <row r="2147" spans="1:21" x14ac:dyDescent="0.25">
      <c r="A2147" t="s">
        <v>2194</v>
      </c>
      <c r="B2147">
        <v>30</v>
      </c>
      <c r="C2147" t="s">
        <v>29</v>
      </c>
      <c r="D2147" t="s">
        <v>35</v>
      </c>
      <c r="E2147" t="s">
        <v>31</v>
      </c>
      <c r="F2147" t="s">
        <v>32</v>
      </c>
      <c r="G2147">
        <v>4418.47</v>
      </c>
      <c r="H2147">
        <v>1933.89</v>
      </c>
      <c r="I2147">
        <v>49988.72</v>
      </c>
      <c r="J2147" t="s">
        <v>37</v>
      </c>
      <c r="K2147" t="s">
        <v>38</v>
      </c>
      <c r="L2147">
        <v>0</v>
      </c>
      <c r="M2147">
        <v>0</v>
      </c>
      <c r="N2147">
        <v>0</v>
      </c>
      <c r="O2147">
        <v>0</v>
      </c>
      <c r="P2147">
        <v>0</v>
      </c>
      <c r="Q2147">
        <v>579</v>
      </c>
      <c r="R2147">
        <v>0.94</v>
      </c>
      <c r="S2147" t="s">
        <v>47</v>
      </c>
      <c r="T2147" s="1">
        <v>45632</v>
      </c>
      <c r="U2147">
        <v>0</v>
      </c>
    </row>
    <row r="2148" spans="1:21" x14ac:dyDescent="0.25">
      <c r="A2148" t="s">
        <v>2195</v>
      </c>
      <c r="B2148">
        <v>19</v>
      </c>
      <c r="C2148" t="s">
        <v>21</v>
      </c>
      <c r="D2148" t="s">
        <v>41</v>
      </c>
      <c r="E2148" t="s">
        <v>31</v>
      </c>
      <c r="F2148" t="s">
        <v>42</v>
      </c>
      <c r="G2148">
        <v>1996.3</v>
      </c>
      <c r="H2148">
        <v>692.32</v>
      </c>
      <c r="I2148">
        <v>14346.72</v>
      </c>
      <c r="J2148" t="s">
        <v>37</v>
      </c>
      <c r="K2148" t="s">
        <v>38</v>
      </c>
      <c r="L2148">
        <v>0</v>
      </c>
      <c r="M2148">
        <v>0</v>
      </c>
      <c r="N2148">
        <v>0</v>
      </c>
      <c r="O2148">
        <v>0</v>
      </c>
      <c r="P2148">
        <v>0</v>
      </c>
      <c r="Q2148">
        <v>579</v>
      </c>
      <c r="R2148">
        <v>0.6</v>
      </c>
      <c r="S2148" t="s">
        <v>39</v>
      </c>
      <c r="T2148" s="1">
        <v>45127</v>
      </c>
      <c r="U2148">
        <v>0</v>
      </c>
    </row>
    <row r="2149" spans="1:21" x14ac:dyDescent="0.25">
      <c r="A2149" t="s">
        <v>2196</v>
      </c>
      <c r="B2149">
        <v>65</v>
      </c>
      <c r="C2149" t="s">
        <v>21</v>
      </c>
      <c r="D2149" t="s">
        <v>41</v>
      </c>
      <c r="E2149" t="s">
        <v>31</v>
      </c>
      <c r="F2149" t="s">
        <v>52</v>
      </c>
      <c r="G2149">
        <v>5852.84</v>
      </c>
      <c r="H2149">
        <v>2395.44</v>
      </c>
      <c r="I2149">
        <v>16177.09</v>
      </c>
      <c r="J2149" t="s">
        <v>37</v>
      </c>
      <c r="K2149" t="s">
        <v>38</v>
      </c>
      <c r="L2149">
        <v>0</v>
      </c>
      <c r="M2149">
        <v>0</v>
      </c>
      <c r="N2149">
        <v>0</v>
      </c>
      <c r="O2149">
        <v>0</v>
      </c>
      <c r="P2149">
        <v>0</v>
      </c>
      <c r="Q2149">
        <v>650</v>
      </c>
      <c r="R2149">
        <v>0.23</v>
      </c>
      <c r="S2149" t="s">
        <v>39</v>
      </c>
      <c r="T2149" s="1">
        <v>44636</v>
      </c>
      <c r="U2149">
        <v>0</v>
      </c>
    </row>
    <row r="2150" spans="1:21" x14ac:dyDescent="0.25">
      <c r="A2150" t="s">
        <v>2197</v>
      </c>
      <c r="B2150">
        <v>23</v>
      </c>
      <c r="C2150" t="s">
        <v>29</v>
      </c>
      <c r="D2150" t="s">
        <v>41</v>
      </c>
      <c r="E2150" t="s">
        <v>51</v>
      </c>
      <c r="F2150" t="s">
        <v>49</v>
      </c>
      <c r="G2150">
        <v>3724.11</v>
      </c>
      <c r="H2150">
        <v>1457.64</v>
      </c>
      <c r="I2150">
        <v>35634.480000000003</v>
      </c>
      <c r="J2150" t="s">
        <v>37</v>
      </c>
      <c r="K2150" t="s">
        <v>38</v>
      </c>
      <c r="L2150">
        <v>0</v>
      </c>
      <c r="M2150">
        <v>0</v>
      </c>
      <c r="N2150">
        <v>0</v>
      </c>
      <c r="O2150">
        <v>0</v>
      </c>
      <c r="P2150">
        <v>0</v>
      </c>
      <c r="Q2150">
        <v>813</v>
      </c>
      <c r="R2150">
        <v>0.8</v>
      </c>
      <c r="S2150" t="s">
        <v>72</v>
      </c>
      <c r="T2150" s="1">
        <v>45063</v>
      </c>
      <c r="U2150">
        <v>0</v>
      </c>
    </row>
    <row r="2151" spans="1:21" x14ac:dyDescent="0.25">
      <c r="A2151" t="s">
        <v>2198</v>
      </c>
      <c r="B2151">
        <v>37</v>
      </c>
      <c r="C2151" t="s">
        <v>21</v>
      </c>
      <c r="D2151" t="s">
        <v>41</v>
      </c>
      <c r="E2151" t="s">
        <v>31</v>
      </c>
      <c r="F2151" t="s">
        <v>52</v>
      </c>
      <c r="G2151">
        <v>6087.48</v>
      </c>
      <c r="H2151">
        <v>3162.83</v>
      </c>
      <c r="I2151">
        <v>31050.42</v>
      </c>
      <c r="J2151" t="s">
        <v>37</v>
      </c>
      <c r="K2151" t="s">
        <v>38</v>
      </c>
      <c r="L2151">
        <v>0</v>
      </c>
      <c r="M2151">
        <v>0</v>
      </c>
      <c r="N2151">
        <v>0</v>
      </c>
      <c r="O2151">
        <v>0</v>
      </c>
      <c r="P2151">
        <v>0</v>
      </c>
      <c r="Q2151">
        <v>471</v>
      </c>
      <c r="R2151">
        <v>0.43</v>
      </c>
      <c r="S2151" t="s">
        <v>27</v>
      </c>
      <c r="T2151" s="1">
        <v>45084</v>
      </c>
      <c r="U2151">
        <v>0</v>
      </c>
    </row>
    <row r="2152" spans="1:21" x14ac:dyDescent="0.25">
      <c r="A2152" t="s">
        <v>2199</v>
      </c>
      <c r="B2152">
        <v>66</v>
      </c>
      <c r="C2152" t="s">
        <v>21</v>
      </c>
      <c r="D2152" t="s">
        <v>22</v>
      </c>
      <c r="E2152" t="s">
        <v>31</v>
      </c>
      <c r="F2152" t="s">
        <v>32</v>
      </c>
      <c r="G2152">
        <v>4298.92</v>
      </c>
      <c r="H2152">
        <v>1475.51</v>
      </c>
      <c r="I2152">
        <v>33770.629999999997</v>
      </c>
      <c r="J2152" t="s">
        <v>37</v>
      </c>
      <c r="K2152" t="s">
        <v>38</v>
      </c>
      <c r="L2152">
        <v>0</v>
      </c>
      <c r="M2152">
        <v>0</v>
      </c>
      <c r="N2152">
        <v>0</v>
      </c>
      <c r="O2152">
        <v>0</v>
      </c>
      <c r="P2152">
        <v>0</v>
      </c>
      <c r="Q2152">
        <v>730</v>
      </c>
      <c r="R2152">
        <v>0.65</v>
      </c>
      <c r="S2152" t="s">
        <v>72</v>
      </c>
      <c r="T2152" s="1">
        <v>45201</v>
      </c>
      <c r="U2152">
        <v>0</v>
      </c>
    </row>
    <row r="2153" spans="1:21" x14ac:dyDescent="0.25">
      <c r="A2153" t="s">
        <v>2200</v>
      </c>
      <c r="B2153">
        <v>42</v>
      </c>
      <c r="C2153" t="s">
        <v>29</v>
      </c>
      <c r="D2153" t="s">
        <v>41</v>
      </c>
      <c r="E2153" t="s">
        <v>31</v>
      </c>
      <c r="F2153" t="s">
        <v>23</v>
      </c>
      <c r="G2153">
        <v>1689.15</v>
      </c>
      <c r="H2153">
        <v>609.1</v>
      </c>
      <c r="I2153">
        <v>7235.83</v>
      </c>
      <c r="J2153" t="s">
        <v>37</v>
      </c>
      <c r="K2153" t="s">
        <v>38</v>
      </c>
      <c r="L2153">
        <v>0</v>
      </c>
      <c r="M2153">
        <v>0</v>
      </c>
      <c r="N2153">
        <v>0</v>
      </c>
      <c r="O2153">
        <v>0</v>
      </c>
      <c r="P2153">
        <v>0</v>
      </c>
      <c r="Q2153">
        <v>624</v>
      </c>
      <c r="R2153">
        <v>0.36</v>
      </c>
      <c r="S2153" t="s">
        <v>30</v>
      </c>
      <c r="T2153" s="1">
        <v>45299</v>
      </c>
      <c r="U2153">
        <v>0</v>
      </c>
    </row>
    <row r="2154" spans="1:21" x14ac:dyDescent="0.25">
      <c r="A2154" t="s">
        <v>2201</v>
      </c>
      <c r="B2154">
        <v>27</v>
      </c>
      <c r="C2154" t="s">
        <v>29</v>
      </c>
      <c r="D2154" t="s">
        <v>30</v>
      </c>
      <c r="E2154" t="s">
        <v>51</v>
      </c>
      <c r="F2154" t="s">
        <v>24</v>
      </c>
      <c r="G2154">
        <v>500</v>
      </c>
      <c r="H2154">
        <v>370.98</v>
      </c>
      <c r="I2154">
        <v>1967.42</v>
      </c>
      <c r="J2154" t="s">
        <v>37</v>
      </c>
      <c r="K2154" t="s">
        <v>38</v>
      </c>
      <c r="L2154">
        <v>0</v>
      </c>
      <c r="M2154">
        <v>0</v>
      </c>
      <c r="N2154">
        <v>0</v>
      </c>
      <c r="O2154">
        <v>0</v>
      </c>
      <c r="P2154">
        <v>0</v>
      </c>
      <c r="Q2154">
        <v>671</v>
      </c>
      <c r="R2154">
        <v>0.33</v>
      </c>
      <c r="S2154" t="s">
        <v>27</v>
      </c>
      <c r="T2154" s="1">
        <v>45554</v>
      </c>
      <c r="U2154">
        <v>0</v>
      </c>
    </row>
    <row r="2155" spans="1:21" x14ac:dyDescent="0.25">
      <c r="A2155" t="s">
        <v>2202</v>
      </c>
      <c r="B2155">
        <v>63</v>
      </c>
      <c r="C2155" t="s">
        <v>21</v>
      </c>
      <c r="D2155" t="s">
        <v>41</v>
      </c>
      <c r="E2155" t="s">
        <v>49</v>
      </c>
      <c r="F2155" t="s">
        <v>44</v>
      </c>
      <c r="G2155">
        <v>6623</v>
      </c>
      <c r="H2155">
        <v>3080.05</v>
      </c>
      <c r="I2155">
        <v>24287.85</v>
      </c>
      <c r="J2155" t="s">
        <v>37</v>
      </c>
      <c r="K2155" t="s">
        <v>38</v>
      </c>
      <c r="L2155">
        <v>0</v>
      </c>
      <c r="M2155">
        <v>0</v>
      </c>
      <c r="N2155">
        <v>0</v>
      </c>
      <c r="O2155">
        <v>0</v>
      </c>
      <c r="P2155">
        <v>0</v>
      </c>
      <c r="Q2155">
        <v>309</v>
      </c>
      <c r="R2155">
        <v>0.31</v>
      </c>
      <c r="S2155" t="s">
        <v>72</v>
      </c>
      <c r="T2155" s="1">
        <v>45424</v>
      </c>
      <c r="U2155">
        <v>0</v>
      </c>
    </row>
    <row r="2156" spans="1:21" x14ac:dyDescent="0.25">
      <c r="A2156" t="s">
        <v>2203</v>
      </c>
      <c r="B2156">
        <v>59</v>
      </c>
      <c r="C2156" t="s">
        <v>29</v>
      </c>
      <c r="D2156" t="s">
        <v>41</v>
      </c>
      <c r="E2156" t="s">
        <v>31</v>
      </c>
      <c r="F2156" t="s">
        <v>63</v>
      </c>
      <c r="G2156">
        <v>500</v>
      </c>
      <c r="H2156">
        <v>273</v>
      </c>
      <c r="I2156">
        <v>1586.65</v>
      </c>
      <c r="J2156" t="s">
        <v>37</v>
      </c>
      <c r="K2156" t="s">
        <v>38</v>
      </c>
      <c r="L2156">
        <v>0</v>
      </c>
      <c r="M2156">
        <v>0</v>
      </c>
      <c r="N2156">
        <v>0</v>
      </c>
      <c r="O2156">
        <v>0</v>
      </c>
      <c r="P2156">
        <v>0</v>
      </c>
      <c r="Q2156">
        <v>723</v>
      </c>
      <c r="R2156">
        <v>0.26</v>
      </c>
      <c r="S2156" t="s">
        <v>30</v>
      </c>
      <c r="T2156" s="1">
        <v>44604</v>
      </c>
      <c r="U2156">
        <v>0</v>
      </c>
    </row>
    <row r="2157" spans="1:21" x14ac:dyDescent="0.25">
      <c r="A2157" t="s">
        <v>2204</v>
      </c>
      <c r="B2157">
        <v>24</v>
      </c>
      <c r="C2157" t="s">
        <v>29</v>
      </c>
      <c r="D2157" t="s">
        <v>22</v>
      </c>
      <c r="E2157" t="s">
        <v>23</v>
      </c>
      <c r="F2157" t="s">
        <v>52</v>
      </c>
      <c r="G2157">
        <v>2592.27</v>
      </c>
      <c r="H2157">
        <v>860.09</v>
      </c>
      <c r="I2157">
        <v>21727.79</v>
      </c>
      <c r="J2157" t="s">
        <v>37</v>
      </c>
      <c r="K2157" t="s">
        <v>38</v>
      </c>
      <c r="L2157">
        <v>0</v>
      </c>
      <c r="M2157">
        <v>0</v>
      </c>
      <c r="N2157">
        <v>0</v>
      </c>
      <c r="O2157">
        <v>0</v>
      </c>
      <c r="P2157">
        <v>0</v>
      </c>
      <c r="Q2157">
        <v>336</v>
      </c>
      <c r="R2157">
        <v>0.7</v>
      </c>
      <c r="S2157" t="s">
        <v>39</v>
      </c>
      <c r="T2157" s="1">
        <v>45243</v>
      </c>
      <c r="U2157">
        <v>0</v>
      </c>
    </row>
    <row r="2158" spans="1:21" x14ac:dyDescent="0.25">
      <c r="A2158" t="s">
        <v>2205</v>
      </c>
      <c r="B2158">
        <v>60</v>
      </c>
      <c r="C2158" t="s">
        <v>21</v>
      </c>
      <c r="D2158" t="s">
        <v>30</v>
      </c>
      <c r="E2158" t="s">
        <v>31</v>
      </c>
      <c r="F2158" t="s">
        <v>49</v>
      </c>
      <c r="G2158">
        <v>5579.29</v>
      </c>
      <c r="H2158">
        <v>2176.64</v>
      </c>
      <c r="I2158">
        <v>34633.1</v>
      </c>
      <c r="J2158" t="s">
        <v>37</v>
      </c>
      <c r="K2158" t="s">
        <v>38</v>
      </c>
      <c r="L2158">
        <v>0</v>
      </c>
      <c r="M2158">
        <v>0</v>
      </c>
      <c r="N2158">
        <v>0</v>
      </c>
      <c r="O2158">
        <v>0</v>
      </c>
      <c r="P2158">
        <v>0</v>
      </c>
      <c r="Q2158">
        <v>406</v>
      </c>
      <c r="R2158">
        <v>0.52</v>
      </c>
      <c r="S2158" t="s">
        <v>39</v>
      </c>
      <c r="T2158" s="1">
        <v>45593</v>
      </c>
      <c r="U2158">
        <v>0</v>
      </c>
    </row>
    <row r="2159" spans="1:21" x14ac:dyDescent="0.25">
      <c r="A2159" t="s">
        <v>2206</v>
      </c>
      <c r="B2159">
        <v>28</v>
      </c>
      <c r="C2159" t="s">
        <v>29</v>
      </c>
      <c r="D2159" t="s">
        <v>35</v>
      </c>
      <c r="E2159" t="s">
        <v>51</v>
      </c>
      <c r="F2159" t="s">
        <v>63</v>
      </c>
      <c r="G2159">
        <v>3447.88</v>
      </c>
      <c r="H2159">
        <v>1419.98</v>
      </c>
      <c r="I2159">
        <v>27706.59</v>
      </c>
      <c r="J2159" t="s">
        <v>37</v>
      </c>
      <c r="K2159" t="s">
        <v>38</v>
      </c>
      <c r="L2159">
        <v>0</v>
      </c>
      <c r="M2159">
        <v>0</v>
      </c>
      <c r="N2159">
        <v>0</v>
      </c>
      <c r="O2159">
        <v>0</v>
      </c>
      <c r="P2159">
        <v>0</v>
      </c>
      <c r="Q2159">
        <v>811</v>
      </c>
      <c r="R2159">
        <v>0.67</v>
      </c>
      <c r="S2159" t="s">
        <v>39</v>
      </c>
      <c r="T2159" s="1">
        <v>45777</v>
      </c>
      <c r="U2159">
        <v>0</v>
      </c>
    </row>
    <row r="2160" spans="1:21" x14ac:dyDescent="0.25">
      <c r="A2160" t="s">
        <v>2207</v>
      </c>
      <c r="B2160">
        <v>29</v>
      </c>
      <c r="C2160" t="s">
        <v>21</v>
      </c>
      <c r="D2160" t="s">
        <v>35</v>
      </c>
      <c r="E2160" t="s">
        <v>51</v>
      </c>
      <c r="F2160" t="s">
        <v>63</v>
      </c>
      <c r="G2160">
        <v>4507.62</v>
      </c>
      <c r="H2160">
        <v>2784.68</v>
      </c>
      <c r="I2160">
        <v>43986.48</v>
      </c>
      <c r="J2160" t="s">
        <v>37</v>
      </c>
      <c r="K2160" t="s">
        <v>38</v>
      </c>
      <c r="L2160">
        <v>0</v>
      </c>
      <c r="M2160">
        <v>0</v>
      </c>
      <c r="N2160">
        <v>0</v>
      </c>
      <c r="O2160">
        <v>0</v>
      </c>
      <c r="P2160">
        <v>0</v>
      </c>
      <c r="Q2160">
        <v>773</v>
      </c>
      <c r="R2160">
        <v>0.81</v>
      </c>
      <c r="S2160" t="s">
        <v>30</v>
      </c>
      <c r="T2160" s="1">
        <v>45753</v>
      </c>
      <c r="U2160">
        <v>0</v>
      </c>
    </row>
    <row r="2161" spans="1:21" x14ac:dyDescent="0.25">
      <c r="A2161" t="s">
        <v>2208</v>
      </c>
      <c r="B2161">
        <v>66</v>
      </c>
      <c r="C2161" t="s">
        <v>21</v>
      </c>
      <c r="D2161" t="s">
        <v>56</v>
      </c>
      <c r="E2161" t="s">
        <v>51</v>
      </c>
      <c r="F2161" t="s">
        <v>36</v>
      </c>
      <c r="G2161">
        <v>2029.85</v>
      </c>
      <c r="H2161">
        <v>977.82</v>
      </c>
      <c r="I2161">
        <v>5077.91</v>
      </c>
      <c r="J2161" t="s">
        <v>37</v>
      </c>
      <c r="K2161" t="s">
        <v>38</v>
      </c>
      <c r="L2161">
        <v>0</v>
      </c>
      <c r="M2161">
        <v>0</v>
      </c>
      <c r="N2161">
        <v>0</v>
      </c>
      <c r="O2161">
        <v>0</v>
      </c>
      <c r="P2161">
        <v>0</v>
      </c>
      <c r="Q2161">
        <v>570</v>
      </c>
      <c r="R2161">
        <v>0.21</v>
      </c>
      <c r="S2161" t="s">
        <v>39</v>
      </c>
      <c r="T2161" s="1">
        <v>44662</v>
      </c>
      <c r="U2161">
        <v>0</v>
      </c>
    </row>
    <row r="2162" spans="1:21" x14ac:dyDescent="0.25">
      <c r="A2162" t="s">
        <v>2209</v>
      </c>
      <c r="B2162">
        <v>20</v>
      </c>
      <c r="C2162" t="s">
        <v>29</v>
      </c>
      <c r="D2162" t="s">
        <v>41</v>
      </c>
      <c r="E2162" t="s">
        <v>49</v>
      </c>
      <c r="F2162" t="s">
        <v>44</v>
      </c>
      <c r="G2162">
        <v>1438.76</v>
      </c>
      <c r="H2162">
        <v>881.11</v>
      </c>
      <c r="I2162">
        <v>12526.74</v>
      </c>
      <c r="J2162" t="s">
        <v>37</v>
      </c>
      <c r="K2162" t="s">
        <v>38</v>
      </c>
      <c r="L2162">
        <v>0</v>
      </c>
      <c r="M2162">
        <v>0</v>
      </c>
      <c r="N2162">
        <v>0</v>
      </c>
      <c r="O2162">
        <v>0</v>
      </c>
      <c r="P2162">
        <v>0</v>
      </c>
      <c r="Q2162">
        <v>752</v>
      </c>
      <c r="R2162">
        <v>0.73</v>
      </c>
      <c r="S2162" t="s">
        <v>47</v>
      </c>
      <c r="T2162" s="1">
        <v>44452</v>
      </c>
      <c r="U2162">
        <v>0</v>
      </c>
    </row>
    <row r="2163" spans="1:21" x14ac:dyDescent="0.25">
      <c r="A2163" t="s">
        <v>2210</v>
      </c>
      <c r="B2163">
        <v>46</v>
      </c>
      <c r="C2163" t="s">
        <v>29</v>
      </c>
      <c r="D2163" t="s">
        <v>41</v>
      </c>
      <c r="E2163" t="s">
        <v>31</v>
      </c>
      <c r="F2163" t="s">
        <v>23</v>
      </c>
      <c r="G2163">
        <v>5602.36</v>
      </c>
      <c r="H2163">
        <v>3953.93</v>
      </c>
      <c r="I2163">
        <v>51378.34</v>
      </c>
      <c r="J2163" t="s">
        <v>25</v>
      </c>
      <c r="K2163" t="s">
        <v>45</v>
      </c>
      <c r="L2163">
        <v>294467.05</v>
      </c>
      <c r="M2163">
        <v>180</v>
      </c>
      <c r="N2163">
        <v>4983.46</v>
      </c>
      <c r="O2163">
        <v>19.13</v>
      </c>
      <c r="P2163">
        <v>0.89</v>
      </c>
      <c r="Q2163">
        <v>411</v>
      </c>
      <c r="R2163">
        <v>0.76</v>
      </c>
      <c r="S2163" t="s">
        <v>72</v>
      </c>
      <c r="T2163" s="1">
        <v>44565</v>
      </c>
      <c r="U2163">
        <v>1</v>
      </c>
    </row>
    <row r="2164" spans="1:21" x14ac:dyDescent="0.25">
      <c r="A2164" t="s">
        <v>2211</v>
      </c>
      <c r="B2164">
        <v>60</v>
      </c>
      <c r="C2164" t="s">
        <v>29</v>
      </c>
      <c r="D2164" t="s">
        <v>35</v>
      </c>
      <c r="E2164" t="s">
        <v>31</v>
      </c>
      <c r="F2164" t="s">
        <v>36</v>
      </c>
      <c r="G2164">
        <v>5265.77</v>
      </c>
      <c r="H2164">
        <v>2642.09</v>
      </c>
      <c r="I2164">
        <v>33549.800000000003</v>
      </c>
      <c r="J2164" t="s">
        <v>25</v>
      </c>
      <c r="K2164" t="s">
        <v>33</v>
      </c>
      <c r="L2164">
        <v>305474.96000000002</v>
      </c>
      <c r="M2164">
        <v>300</v>
      </c>
      <c r="N2164">
        <v>5852.13</v>
      </c>
      <c r="O2164">
        <v>22.91</v>
      </c>
      <c r="P2164">
        <v>1.1100000000000001</v>
      </c>
      <c r="Q2164">
        <v>512</v>
      </c>
      <c r="R2164">
        <v>0.53</v>
      </c>
      <c r="S2164" t="s">
        <v>30</v>
      </c>
      <c r="T2164" s="1">
        <v>45535</v>
      </c>
      <c r="U2164">
        <v>1</v>
      </c>
    </row>
    <row r="2165" spans="1:21" x14ac:dyDescent="0.25">
      <c r="A2165" t="s">
        <v>2212</v>
      </c>
      <c r="B2165">
        <v>56</v>
      </c>
      <c r="C2165" t="s">
        <v>30</v>
      </c>
      <c r="D2165" t="s">
        <v>30</v>
      </c>
      <c r="E2165" t="s">
        <v>31</v>
      </c>
      <c r="F2165" t="s">
        <v>42</v>
      </c>
      <c r="G2165">
        <v>4404.91</v>
      </c>
      <c r="H2165">
        <v>2556.3200000000002</v>
      </c>
      <c r="I2165">
        <v>39552.870000000003</v>
      </c>
      <c r="J2165" t="s">
        <v>25</v>
      </c>
      <c r="K2165" t="s">
        <v>45</v>
      </c>
      <c r="L2165">
        <v>271629.06</v>
      </c>
      <c r="M2165">
        <v>60</v>
      </c>
      <c r="N2165">
        <v>5987.48</v>
      </c>
      <c r="O2165">
        <v>11.6</v>
      </c>
      <c r="P2165">
        <v>1.36</v>
      </c>
      <c r="Q2165">
        <v>724</v>
      </c>
      <c r="R2165">
        <v>0.75</v>
      </c>
      <c r="S2165" t="s">
        <v>27</v>
      </c>
      <c r="T2165" s="1">
        <v>44787</v>
      </c>
      <c r="U2165">
        <v>1</v>
      </c>
    </row>
    <row r="2166" spans="1:21" x14ac:dyDescent="0.25">
      <c r="A2166" t="s">
        <v>2213</v>
      </c>
      <c r="B2166">
        <v>52</v>
      </c>
      <c r="C2166" t="s">
        <v>29</v>
      </c>
      <c r="D2166" t="s">
        <v>35</v>
      </c>
      <c r="E2166" t="s">
        <v>49</v>
      </c>
      <c r="F2166" t="s">
        <v>36</v>
      </c>
      <c r="G2166">
        <v>5320.06</v>
      </c>
      <c r="H2166">
        <v>4119.47</v>
      </c>
      <c r="I2166">
        <v>58100.32</v>
      </c>
      <c r="J2166" t="s">
        <v>37</v>
      </c>
      <c r="K2166" t="s">
        <v>38</v>
      </c>
      <c r="L2166">
        <v>0</v>
      </c>
      <c r="M2166">
        <v>0</v>
      </c>
      <c r="N2166">
        <v>0</v>
      </c>
      <c r="O2166">
        <v>0</v>
      </c>
      <c r="P2166">
        <v>0</v>
      </c>
      <c r="Q2166">
        <v>627</v>
      </c>
      <c r="R2166">
        <v>0.91</v>
      </c>
      <c r="S2166" t="s">
        <v>72</v>
      </c>
      <c r="T2166" s="1">
        <v>45842</v>
      </c>
      <c r="U2166">
        <v>0</v>
      </c>
    </row>
    <row r="2167" spans="1:21" x14ac:dyDescent="0.25">
      <c r="A2167" t="s">
        <v>2214</v>
      </c>
      <c r="B2167">
        <v>38</v>
      </c>
      <c r="C2167" t="s">
        <v>21</v>
      </c>
      <c r="D2167" t="s">
        <v>22</v>
      </c>
      <c r="E2167" t="s">
        <v>51</v>
      </c>
      <c r="F2167" t="s">
        <v>23</v>
      </c>
      <c r="G2167">
        <v>5941.64</v>
      </c>
      <c r="H2167">
        <v>5196.76</v>
      </c>
      <c r="I2167">
        <v>53024.73</v>
      </c>
      <c r="J2167" t="s">
        <v>37</v>
      </c>
      <c r="K2167" t="s">
        <v>38</v>
      </c>
      <c r="L2167">
        <v>0</v>
      </c>
      <c r="M2167">
        <v>0</v>
      </c>
      <c r="N2167">
        <v>0</v>
      </c>
      <c r="O2167">
        <v>0</v>
      </c>
      <c r="P2167">
        <v>0</v>
      </c>
      <c r="Q2167">
        <v>410</v>
      </c>
      <c r="R2167">
        <v>0.74</v>
      </c>
      <c r="S2167" t="s">
        <v>30</v>
      </c>
      <c r="T2167" s="1">
        <v>45229</v>
      </c>
      <c r="U2167">
        <v>0</v>
      </c>
    </row>
    <row r="2168" spans="1:21" x14ac:dyDescent="0.25">
      <c r="A2168" t="s">
        <v>2215</v>
      </c>
      <c r="B2168">
        <v>59</v>
      </c>
      <c r="C2168" t="s">
        <v>21</v>
      </c>
      <c r="D2168" t="s">
        <v>22</v>
      </c>
      <c r="E2168" t="s">
        <v>23</v>
      </c>
      <c r="F2168" t="s">
        <v>23</v>
      </c>
      <c r="G2168">
        <v>2895.99</v>
      </c>
      <c r="H2168">
        <v>1930.82</v>
      </c>
      <c r="I2168">
        <v>18989.990000000002</v>
      </c>
      <c r="J2168" t="s">
        <v>37</v>
      </c>
      <c r="K2168" t="s">
        <v>38</v>
      </c>
      <c r="L2168">
        <v>0</v>
      </c>
      <c r="M2168">
        <v>0</v>
      </c>
      <c r="N2168">
        <v>0</v>
      </c>
      <c r="O2168">
        <v>0</v>
      </c>
      <c r="P2168">
        <v>0</v>
      </c>
      <c r="Q2168">
        <v>438</v>
      </c>
      <c r="R2168">
        <v>0.55000000000000004</v>
      </c>
      <c r="S2168" t="s">
        <v>30</v>
      </c>
      <c r="T2168" s="1">
        <v>45133</v>
      </c>
      <c r="U2168">
        <v>0</v>
      </c>
    </row>
    <row r="2169" spans="1:21" x14ac:dyDescent="0.25">
      <c r="A2169" t="s">
        <v>2216</v>
      </c>
      <c r="B2169">
        <v>46</v>
      </c>
      <c r="C2169" t="s">
        <v>21</v>
      </c>
      <c r="D2169" t="s">
        <v>35</v>
      </c>
      <c r="E2169" t="s">
        <v>51</v>
      </c>
      <c r="F2169" t="s">
        <v>32</v>
      </c>
      <c r="G2169">
        <v>4677.96</v>
      </c>
      <c r="H2169">
        <v>3361.01</v>
      </c>
      <c r="I2169">
        <v>48523.91</v>
      </c>
      <c r="J2169" t="s">
        <v>25</v>
      </c>
      <c r="K2169" t="s">
        <v>54</v>
      </c>
      <c r="L2169">
        <v>322511.59000000003</v>
      </c>
      <c r="M2169">
        <v>180</v>
      </c>
      <c r="N2169">
        <v>5581.04</v>
      </c>
      <c r="O2169">
        <v>19.649999999999999</v>
      </c>
      <c r="P2169">
        <v>1.19</v>
      </c>
      <c r="Q2169">
        <v>495</v>
      </c>
      <c r="R2169">
        <v>0.86</v>
      </c>
      <c r="S2169" t="s">
        <v>30</v>
      </c>
      <c r="T2169" s="1">
        <v>44548</v>
      </c>
      <c r="U2169">
        <v>1</v>
      </c>
    </row>
    <row r="2170" spans="1:21" x14ac:dyDescent="0.25">
      <c r="A2170" t="s">
        <v>2217</v>
      </c>
      <c r="B2170">
        <v>22</v>
      </c>
      <c r="C2170" t="s">
        <v>21</v>
      </c>
      <c r="D2170" t="s">
        <v>35</v>
      </c>
      <c r="E2170" t="s">
        <v>31</v>
      </c>
      <c r="F2170" t="s">
        <v>44</v>
      </c>
      <c r="G2170">
        <v>4419.37</v>
      </c>
      <c r="H2170">
        <v>2802.69</v>
      </c>
      <c r="I2170">
        <v>12933.59</v>
      </c>
      <c r="J2170" t="s">
        <v>37</v>
      </c>
      <c r="K2170" t="s">
        <v>38</v>
      </c>
      <c r="L2170">
        <v>0</v>
      </c>
      <c r="M2170">
        <v>0</v>
      </c>
      <c r="N2170">
        <v>0</v>
      </c>
      <c r="O2170">
        <v>0</v>
      </c>
      <c r="P2170">
        <v>0</v>
      </c>
      <c r="Q2170">
        <v>521</v>
      </c>
      <c r="R2170">
        <v>0.24</v>
      </c>
      <c r="S2170" t="s">
        <v>39</v>
      </c>
      <c r="T2170" s="1">
        <v>45371</v>
      </c>
      <c r="U2170">
        <v>0</v>
      </c>
    </row>
    <row r="2171" spans="1:21" x14ac:dyDescent="0.25">
      <c r="A2171" t="s">
        <v>2218</v>
      </c>
      <c r="B2171">
        <v>64</v>
      </c>
      <c r="C2171" t="s">
        <v>21</v>
      </c>
      <c r="D2171" t="s">
        <v>41</v>
      </c>
      <c r="E2171" t="s">
        <v>51</v>
      </c>
      <c r="F2171" t="s">
        <v>44</v>
      </c>
      <c r="G2171">
        <v>6764.16</v>
      </c>
      <c r="H2171">
        <v>2442.44</v>
      </c>
      <c r="I2171">
        <v>41814.36</v>
      </c>
      <c r="J2171" t="s">
        <v>25</v>
      </c>
      <c r="K2171" t="s">
        <v>45</v>
      </c>
      <c r="L2171">
        <v>317914.57</v>
      </c>
      <c r="M2171">
        <v>300</v>
      </c>
      <c r="N2171">
        <v>2132.6999999999998</v>
      </c>
      <c r="O2171">
        <v>6.43</v>
      </c>
      <c r="P2171">
        <v>0.32</v>
      </c>
      <c r="Q2171">
        <v>737</v>
      </c>
      <c r="R2171">
        <v>0.52</v>
      </c>
      <c r="S2171" t="s">
        <v>39</v>
      </c>
      <c r="T2171" s="1">
        <v>45271</v>
      </c>
      <c r="U2171">
        <v>0</v>
      </c>
    </row>
    <row r="2172" spans="1:21" x14ac:dyDescent="0.25">
      <c r="A2172" t="s">
        <v>2219</v>
      </c>
      <c r="B2172">
        <v>18</v>
      </c>
      <c r="C2172" t="s">
        <v>29</v>
      </c>
      <c r="D2172" t="s">
        <v>41</v>
      </c>
      <c r="E2172" t="s">
        <v>31</v>
      </c>
      <c r="F2172" t="s">
        <v>32</v>
      </c>
      <c r="G2172">
        <v>5183.1000000000004</v>
      </c>
      <c r="H2172">
        <v>3547.58</v>
      </c>
      <c r="I2172">
        <v>8362.98</v>
      </c>
      <c r="J2172" t="s">
        <v>37</v>
      </c>
      <c r="K2172" t="s">
        <v>38</v>
      </c>
      <c r="L2172">
        <v>0</v>
      </c>
      <c r="M2172">
        <v>0</v>
      </c>
      <c r="N2172">
        <v>0</v>
      </c>
      <c r="O2172">
        <v>0</v>
      </c>
      <c r="P2172">
        <v>0</v>
      </c>
      <c r="Q2172">
        <v>730</v>
      </c>
      <c r="R2172">
        <v>0.13</v>
      </c>
      <c r="S2172" t="s">
        <v>30</v>
      </c>
      <c r="T2172" s="1">
        <v>45623</v>
      </c>
      <c r="U2172">
        <v>0</v>
      </c>
    </row>
    <row r="2173" spans="1:21" x14ac:dyDescent="0.25">
      <c r="A2173" t="s">
        <v>2220</v>
      </c>
      <c r="B2173">
        <v>38</v>
      </c>
      <c r="C2173" t="s">
        <v>21</v>
      </c>
      <c r="D2173" t="s">
        <v>41</v>
      </c>
      <c r="E2173" t="s">
        <v>51</v>
      </c>
      <c r="F2173" t="s">
        <v>24</v>
      </c>
      <c r="G2173">
        <v>1925.76</v>
      </c>
      <c r="H2173">
        <v>1469.51</v>
      </c>
      <c r="I2173">
        <v>15190.31</v>
      </c>
      <c r="J2173" t="s">
        <v>37</v>
      </c>
      <c r="K2173" t="s">
        <v>38</v>
      </c>
      <c r="L2173">
        <v>0</v>
      </c>
      <c r="M2173">
        <v>0</v>
      </c>
      <c r="N2173">
        <v>0</v>
      </c>
      <c r="O2173">
        <v>0</v>
      </c>
      <c r="P2173">
        <v>0</v>
      </c>
      <c r="Q2173">
        <v>406</v>
      </c>
      <c r="R2173">
        <v>0.66</v>
      </c>
      <c r="S2173" t="s">
        <v>47</v>
      </c>
      <c r="T2173" s="1">
        <v>45640</v>
      </c>
      <c r="U2173">
        <v>0</v>
      </c>
    </row>
    <row r="2174" spans="1:21" x14ac:dyDescent="0.25">
      <c r="A2174" t="s">
        <v>2221</v>
      </c>
      <c r="B2174">
        <v>40</v>
      </c>
      <c r="C2174" t="s">
        <v>29</v>
      </c>
      <c r="D2174" t="s">
        <v>22</v>
      </c>
      <c r="E2174" t="s">
        <v>31</v>
      </c>
      <c r="F2174" t="s">
        <v>52</v>
      </c>
      <c r="G2174">
        <v>4747.9799999999996</v>
      </c>
      <c r="H2174">
        <v>2646.31</v>
      </c>
      <c r="I2174">
        <v>56022.67</v>
      </c>
      <c r="J2174" t="s">
        <v>25</v>
      </c>
      <c r="K2174" t="s">
        <v>54</v>
      </c>
      <c r="L2174">
        <v>173234.78</v>
      </c>
      <c r="M2174">
        <v>360</v>
      </c>
      <c r="N2174">
        <v>919.4</v>
      </c>
      <c r="O2174">
        <v>4.9000000000000004</v>
      </c>
      <c r="P2174">
        <v>0.19</v>
      </c>
      <c r="Q2174">
        <v>813</v>
      </c>
      <c r="R2174">
        <v>0.98</v>
      </c>
      <c r="S2174" t="s">
        <v>39</v>
      </c>
      <c r="T2174" s="1">
        <v>45269</v>
      </c>
      <c r="U2174">
        <v>0</v>
      </c>
    </row>
    <row r="2175" spans="1:21" x14ac:dyDescent="0.25">
      <c r="A2175" t="s">
        <v>2222</v>
      </c>
      <c r="B2175">
        <v>20</v>
      </c>
      <c r="C2175" t="s">
        <v>21</v>
      </c>
      <c r="D2175" t="s">
        <v>22</v>
      </c>
      <c r="E2175" t="s">
        <v>49</v>
      </c>
      <c r="F2175" t="s">
        <v>36</v>
      </c>
      <c r="G2175">
        <v>2135.9499999999998</v>
      </c>
      <c r="H2175">
        <v>1768</v>
      </c>
      <c r="I2175">
        <v>17855.009999999998</v>
      </c>
      <c r="J2175" t="s">
        <v>37</v>
      </c>
      <c r="K2175" t="s">
        <v>38</v>
      </c>
      <c r="L2175">
        <v>0</v>
      </c>
      <c r="M2175">
        <v>0</v>
      </c>
      <c r="N2175">
        <v>0</v>
      </c>
      <c r="O2175">
        <v>0</v>
      </c>
      <c r="P2175">
        <v>0</v>
      </c>
      <c r="Q2175">
        <v>632</v>
      </c>
      <c r="R2175">
        <v>0.7</v>
      </c>
      <c r="S2175" t="s">
        <v>30</v>
      </c>
      <c r="T2175" s="1">
        <v>45304</v>
      </c>
      <c r="U2175">
        <v>0</v>
      </c>
    </row>
    <row r="2176" spans="1:21" x14ac:dyDescent="0.25">
      <c r="A2176" t="s">
        <v>2223</v>
      </c>
      <c r="B2176">
        <v>54</v>
      </c>
      <c r="C2176" t="s">
        <v>29</v>
      </c>
      <c r="D2176" t="s">
        <v>22</v>
      </c>
      <c r="E2176" t="s">
        <v>31</v>
      </c>
      <c r="F2176" t="s">
        <v>52</v>
      </c>
      <c r="G2176">
        <v>3186.43</v>
      </c>
      <c r="H2176">
        <v>1336.83</v>
      </c>
      <c r="I2176">
        <v>14608.86</v>
      </c>
      <c r="J2176" t="s">
        <v>37</v>
      </c>
      <c r="K2176" t="s">
        <v>38</v>
      </c>
      <c r="L2176">
        <v>0</v>
      </c>
      <c r="M2176">
        <v>0</v>
      </c>
      <c r="N2176">
        <v>0</v>
      </c>
      <c r="O2176">
        <v>0</v>
      </c>
      <c r="P2176">
        <v>0</v>
      </c>
      <c r="Q2176">
        <v>552</v>
      </c>
      <c r="R2176">
        <v>0.38</v>
      </c>
      <c r="S2176" t="s">
        <v>39</v>
      </c>
      <c r="T2176" s="1">
        <v>45295</v>
      </c>
      <c r="U2176">
        <v>0</v>
      </c>
    </row>
    <row r="2177" spans="1:21" x14ac:dyDescent="0.25">
      <c r="A2177" t="s">
        <v>2224</v>
      </c>
      <c r="B2177">
        <v>28</v>
      </c>
      <c r="C2177" t="s">
        <v>21</v>
      </c>
      <c r="D2177" t="s">
        <v>41</v>
      </c>
      <c r="E2177" t="s">
        <v>31</v>
      </c>
      <c r="F2177" t="s">
        <v>42</v>
      </c>
      <c r="G2177">
        <v>1709.5</v>
      </c>
      <c r="H2177">
        <v>665.01</v>
      </c>
      <c r="I2177">
        <v>2686.02</v>
      </c>
      <c r="J2177" t="s">
        <v>37</v>
      </c>
      <c r="K2177" t="s">
        <v>38</v>
      </c>
      <c r="L2177">
        <v>0</v>
      </c>
      <c r="M2177">
        <v>0</v>
      </c>
      <c r="N2177">
        <v>0</v>
      </c>
      <c r="O2177">
        <v>0</v>
      </c>
      <c r="P2177">
        <v>0</v>
      </c>
      <c r="Q2177">
        <v>439</v>
      </c>
      <c r="R2177">
        <v>0.13</v>
      </c>
      <c r="S2177" t="s">
        <v>39</v>
      </c>
      <c r="T2177" s="1">
        <v>44721</v>
      </c>
      <c r="U2177">
        <v>0</v>
      </c>
    </row>
    <row r="2178" spans="1:21" x14ac:dyDescent="0.25">
      <c r="A2178" t="s">
        <v>2225</v>
      </c>
      <c r="B2178">
        <v>22</v>
      </c>
      <c r="C2178" t="s">
        <v>21</v>
      </c>
      <c r="D2178" t="s">
        <v>22</v>
      </c>
      <c r="E2178" t="s">
        <v>31</v>
      </c>
      <c r="F2178" t="s">
        <v>52</v>
      </c>
      <c r="G2178">
        <v>1487.98</v>
      </c>
      <c r="H2178">
        <v>741.9</v>
      </c>
      <c r="I2178">
        <v>10530.52</v>
      </c>
      <c r="J2178" t="s">
        <v>37</v>
      </c>
      <c r="K2178" t="s">
        <v>38</v>
      </c>
      <c r="L2178">
        <v>0</v>
      </c>
      <c r="M2178">
        <v>0</v>
      </c>
      <c r="N2178">
        <v>0</v>
      </c>
      <c r="O2178">
        <v>0</v>
      </c>
      <c r="P2178">
        <v>0</v>
      </c>
      <c r="Q2178">
        <v>723</v>
      </c>
      <c r="R2178">
        <v>0.59</v>
      </c>
      <c r="S2178" t="s">
        <v>27</v>
      </c>
      <c r="T2178" s="1">
        <v>45704</v>
      </c>
      <c r="U2178">
        <v>0</v>
      </c>
    </row>
    <row r="2179" spans="1:21" x14ac:dyDescent="0.25">
      <c r="A2179" t="s">
        <v>2226</v>
      </c>
      <c r="B2179">
        <v>48</v>
      </c>
      <c r="C2179" t="s">
        <v>29</v>
      </c>
      <c r="D2179" t="s">
        <v>56</v>
      </c>
      <c r="E2179" t="s">
        <v>31</v>
      </c>
      <c r="F2179" t="s">
        <v>32</v>
      </c>
      <c r="G2179">
        <v>5919.97</v>
      </c>
      <c r="H2179">
        <v>2472.34</v>
      </c>
      <c r="I2179">
        <v>24373.87</v>
      </c>
      <c r="J2179" t="s">
        <v>25</v>
      </c>
      <c r="K2179" t="s">
        <v>33</v>
      </c>
      <c r="L2179">
        <v>162480.75</v>
      </c>
      <c r="M2179">
        <v>300</v>
      </c>
      <c r="N2179">
        <v>3731.72</v>
      </c>
      <c r="O2179">
        <v>27.53</v>
      </c>
      <c r="P2179">
        <v>0.63</v>
      </c>
      <c r="Q2179">
        <v>778</v>
      </c>
      <c r="R2179">
        <v>0.34</v>
      </c>
      <c r="S2179" t="s">
        <v>39</v>
      </c>
      <c r="T2179" s="1">
        <v>45762</v>
      </c>
      <c r="U2179">
        <v>1</v>
      </c>
    </row>
    <row r="2180" spans="1:21" x14ac:dyDescent="0.25">
      <c r="A2180" t="s">
        <v>2227</v>
      </c>
      <c r="B2180">
        <v>66</v>
      </c>
      <c r="C2180" t="s">
        <v>21</v>
      </c>
      <c r="D2180" t="s">
        <v>30</v>
      </c>
      <c r="E2180" t="s">
        <v>49</v>
      </c>
      <c r="F2180" t="s">
        <v>23</v>
      </c>
      <c r="G2180">
        <v>4923.2</v>
      </c>
      <c r="H2180">
        <v>2079.2399999999998</v>
      </c>
      <c r="I2180">
        <v>34672.6</v>
      </c>
      <c r="J2180" t="s">
        <v>25</v>
      </c>
      <c r="K2180" t="s">
        <v>33</v>
      </c>
      <c r="L2180">
        <v>371173.53</v>
      </c>
      <c r="M2180">
        <v>300</v>
      </c>
      <c r="N2180">
        <v>6154.85</v>
      </c>
      <c r="O2180">
        <v>19.75</v>
      </c>
      <c r="P2180">
        <v>1.25</v>
      </c>
      <c r="Q2180">
        <v>805</v>
      </c>
      <c r="R2180">
        <v>0.59</v>
      </c>
      <c r="S2180" t="s">
        <v>27</v>
      </c>
      <c r="T2180" s="1">
        <v>45060</v>
      </c>
      <c r="U2180">
        <v>1</v>
      </c>
    </row>
    <row r="2181" spans="1:21" x14ac:dyDescent="0.25">
      <c r="A2181" t="s">
        <v>2228</v>
      </c>
      <c r="B2181">
        <v>52</v>
      </c>
      <c r="C2181" t="s">
        <v>29</v>
      </c>
      <c r="D2181" t="s">
        <v>56</v>
      </c>
      <c r="E2181" t="s">
        <v>51</v>
      </c>
      <c r="F2181" t="s">
        <v>63</v>
      </c>
      <c r="G2181">
        <v>3121.47</v>
      </c>
      <c r="H2181">
        <v>2015.69</v>
      </c>
      <c r="I2181">
        <v>17131.240000000002</v>
      </c>
      <c r="J2181" t="s">
        <v>37</v>
      </c>
      <c r="K2181" t="s">
        <v>38</v>
      </c>
      <c r="L2181">
        <v>0</v>
      </c>
      <c r="M2181">
        <v>0</v>
      </c>
      <c r="N2181">
        <v>0</v>
      </c>
      <c r="O2181">
        <v>0</v>
      </c>
      <c r="P2181">
        <v>0</v>
      </c>
      <c r="Q2181">
        <v>491</v>
      </c>
      <c r="R2181">
        <v>0.46</v>
      </c>
      <c r="S2181" t="s">
        <v>30</v>
      </c>
      <c r="T2181" s="1">
        <v>45814</v>
      </c>
      <c r="U2181">
        <v>0</v>
      </c>
    </row>
    <row r="2182" spans="1:21" x14ac:dyDescent="0.25">
      <c r="A2182" t="s">
        <v>2229</v>
      </c>
      <c r="B2182">
        <v>59</v>
      </c>
      <c r="C2182" t="s">
        <v>29</v>
      </c>
      <c r="D2182" t="s">
        <v>41</v>
      </c>
      <c r="E2182" t="s">
        <v>31</v>
      </c>
      <c r="F2182" t="s">
        <v>32</v>
      </c>
      <c r="G2182">
        <v>3351.91</v>
      </c>
      <c r="H2182">
        <v>2922.24</v>
      </c>
      <c r="I2182">
        <v>35071.339999999997</v>
      </c>
      <c r="J2182" t="s">
        <v>37</v>
      </c>
      <c r="K2182" t="s">
        <v>38</v>
      </c>
      <c r="L2182">
        <v>0</v>
      </c>
      <c r="M2182">
        <v>0</v>
      </c>
      <c r="N2182">
        <v>0</v>
      </c>
      <c r="O2182">
        <v>0</v>
      </c>
      <c r="P2182">
        <v>0</v>
      </c>
      <c r="Q2182">
        <v>616</v>
      </c>
      <c r="R2182">
        <v>0.87</v>
      </c>
      <c r="S2182" t="s">
        <v>39</v>
      </c>
      <c r="T2182" s="1">
        <v>45381</v>
      </c>
      <c r="U2182">
        <v>0</v>
      </c>
    </row>
    <row r="2183" spans="1:21" x14ac:dyDescent="0.25">
      <c r="A2183" t="s">
        <v>2230</v>
      </c>
      <c r="B2183">
        <v>31</v>
      </c>
      <c r="C2183" t="s">
        <v>29</v>
      </c>
      <c r="D2183" t="s">
        <v>41</v>
      </c>
      <c r="E2183" t="s">
        <v>51</v>
      </c>
      <c r="F2183" t="s">
        <v>63</v>
      </c>
      <c r="G2183">
        <v>7212.73</v>
      </c>
      <c r="H2183">
        <v>3573.59</v>
      </c>
      <c r="I2183">
        <v>46770.33</v>
      </c>
      <c r="J2183" t="s">
        <v>25</v>
      </c>
      <c r="K2183" t="s">
        <v>45</v>
      </c>
      <c r="L2183">
        <v>3754.77</v>
      </c>
      <c r="M2183">
        <v>120</v>
      </c>
      <c r="N2183">
        <v>49.89</v>
      </c>
      <c r="O2183">
        <v>10.130000000000001</v>
      </c>
      <c r="P2183">
        <v>0.01</v>
      </c>
      <c r="Q2183">
        <v>457</v>
      </c>
      <c r="R2183">
        <v>0.54</v>
      </c>
      <c r="S2183" t="s">
        <v>39</v>
      </c>
      <c r="T2183" s="1">
        <v>44992</v>
      </c>
      <c r="U2183">
        <v>0</v>
      </c>
    </row>
    <row r="2184" spans="1:21" x14ac:dyDescent="0.25">
      <c r="A2184" t="s">
        <v>2231</v>
      </c>
      <c r="B2184">
        <v>30</v>
      </c>
      <c r="C2184" t="s">
        <v>29</v>
      </c>
      <c r="D2184" t="s">
        <v>41</v>
      </c>
      <c r="E2184" t="s">
        <v>51</v>
      </c>
      <c r="F2184" t="s">
        <v>24</v>
      </c>
      <c r="G2184">
        <v>3208.73</v>
      </c>
      <c r="H2184">
        <v>1722.51</v>
      </c>
      <c r="I2184">
        <v>36209.25</v>
      </c>
      <c r="J2184" t="s">
        <v>37</v>
      </c>
      <c r="K2184" t="s">
        <v>38</v>
      </c>
      <c r="L2184">
        <v>0</v>
      </c>
      <c r="M2184">
        <v>0</v>
      </c>
      <c r="N2184">
        <v>0</v>
      </c>
      <c r="O2184">
        <v>0</v>
      </c>
      <c r="P2184">
        <v>0</v>
      </c>
      <c r="Q2184">
        <v>480</v>
      </c>
      <c r="R2184">
        <v>0.94</v>
      </c>
      <c r="S2184" t="s">
        <v>27</v>
      </c>
      <c r="T2184" s="1">
        <v>44905</v>
      </c>
      <c r="U2184">
        <v>0</v>
      </c>
    </row>
    <row r="2185" spans="1:21" x14ac:dyDescent="0.25">
      <c r="A2185" t="s">
        <v>2232</v>
      </c>
      <c r="B2185">
        <v>30</v>
      </c>
      <c r="C2185" t="s">
        <v>21</v>
      </c>
      <c r="D2185" t="s">
        <v>41</v>
      </c>
      <c r="E2185" t="s">
        <v>31</v>
      </c>
      <c r="F2185" t="s">
        <v>24</v>
      </c>
      <c r="G2185">
        <v>1488.03</v>
      </c>
      <c r="H2185">
        <v>918.16</v>
      </c>
      <c r="I2185">
        <v>16783.79</v>
      </c>
      <c r="J2185" t="s">
        <v>37</v>
      </c>
      <c r="K2185" t="s">
        <v>38</v>
      </c>
      <c r="L2185">
        <v>0</v>
      </c>
      <c r="M2185">
        <v>0</v>
      </c>
      <c r="N2185">
        <v>0</v>
      </c>
      <c r="O2185">
        <v>0</v>
      </c>
      <c r="P2185">
        <v>0</v>
      </c>
      <c r="Q2185">
        <v>628</v>
      </c>
      <c r="R2185">
        <v>0.94</v>
      </c>
      <c r="S2185" t="s">
        <v>30</v>
      </c>
      <c r="T2185" s="1">
        <v>44575</v>
      </c>
      <c r="U2185">
        <v>0</v>
      </c>
    </row>
    <row r="2186" spans="1:21" x14ac:dyDescent="0.25">
      <c r="A2186" t="s">
        <v>2233</v>
      </c>
      <c r="B2186">
        <v>47</v>
      </c>
      <c r="C2186" t="s">
        <v>29</v>
      </c>
      <c r="D2186" t="s">
        <v>41</v>
      </c>
      <c r="E2186" t="s">
        <v>31</v>
      </c>
      <c r="F2186" t="s">
        <v>52</v>
      </c>
      <c r="G2186">
        <v>3969.58</v>
      </c>
      <c r="H2186">
        <v>1835.39</v>
      </c>
      <c r="I2186">
        <v>41245.870000000003</v>
      </c>
      <c r="J2186" t="s">
        <v>37</v>
      </c>
      <c r="K2186" t="s">
        <v>38</v>
      </c>
      <c r="L2186">
        <v>0</v>
      </c>
      <c r="M2186">
        <v>0</v>
      </c>
      <c r="N2186">
        <v>0</v>
      </c>
      <c r="O2186">
        <v>0</v>
      </c>
      <c r="P2186">
        <v>0</v>
      </c>
      <c r="Q2186">
        <v>490</v>
      </c>
      <c r="R2186">
        <v>0.87</v>
      </c>
      <c r="S2186" t="s">
        <v>27</v>
      </c>
      <c r="T2186" s="1">
        <v>45076</v>
      </c>
      <c r="U2186">
        <v>0</v>
      </c>
    </row>
    <row r="2187" spans="1:21" x14ac:dyDescent="0.25">
      <c r="A2187" t="s">
        <v>2234</v>
      </c>
      <c r="B2187">
        <v>32</v>
      </c>
      <c r="C2187" t="s">
        <v>21</v>
      </c>
      <c r="D2187" t="s">
        <v>35</v>
      </c>
      <c r="E2187" t="s">
        <v>51</v>
      </c>
      <c r="F2187" t="s">
        <v>52</v>
      </c>
      <c r="G2187">
        <v>3883.28</v>
      </c>
      <c r="H2187">
        <v>2946.88</v>
      </c>
      <c r="I2187">
        <v>6553.82</v>
      </c>
      <c r="J2187" t="s">
        <v>25</v>
      </c>
      <c r="K2187" t="s">
        <v>45</v>
      </c>
      <c r="L2187">
        <v>93858.93</v>
      </c>
      <c r="M2187">
        <v>240</v>
      </c>
      <c r="N2187">
        <v>1971.64</v>
      </c>
      <c r="O2187">
        <v>25.03</v>
      </c>
      <c r="P2187">
        <v>0.51</v>
      </c>
      <c r="Q2187">
        <v>448</v>
      </c>
      <c r="R2187">
        <v>0.14000000000000001</v>
      </c>
      <c r="S2187" t="s">
        <v>27</v>
      </c>
      <c r="T2187" s="1">
        <v>44607</v>
      </c>
      <c r="U2187">
        <v>1</v>
      </c>
    </row>
    <row r="2188" spans="1:21" x14ac:dyDescent="0.25">
      <c r="A2188" t="s">
        <v>2235</v>
      </c>
      <c r="B2188">
        <v>65</v>
      </c>
      <c r="C2188" t="s">
        <v>29</v>
      </c>
      <c r="D2188" t="s">
        <v>35</v>
      </c>
      <c r="E2188" t="s">
        <v>31</v>
      </c>
      <c r="F2188" t="s">
        <v>32</v>
      </c>
      <c r="G2188">
        <v>5667.87</v>
      </c>
      <c r="H2188">
        <v>2290.69</v>
      </c>
      <c r="I2188">
        <v>24855.88</v>
      </c>
      <c r="J2188" t="s">
        <v>37</v>
      </c>
      <c r="K2188" t="s">
        <v>38</v>
      </c>
      <c r="L2188">
        <v>0</v>
      </c>
      <c r="M2188">
        <v>0</v>
      </c>
      <c r="N2188">
        <v>0</v>
      </c>
      <c r="O2188">
        <v>0</v>
      </c>
      <c r="P2188">
        <v>0</v>
      </c>
      <c r="Q2188">
        <v>328</v>
      </c>
      <c r="R2188">
        <v>0.37</v>
      </c>
      <c r="S2188" t="s">
        <v>72</v>
      </c>
      <c r="T2188" s="1">
        <v>45743</v>
      </c>
      <c r="U2188">
        <v>0</v>
      </c>
    </row>
    <row r="2189" spans="1:21" x14ac:dyDescent="0.25">
      <c r="A2189" t="s">
        <v>2236</v>
      </c>
      <c r="B2189">
        <v>37</v>
      </c>
      <c r="C2189" t="s">
        <v>21</v>
      </c>
      <c r="D2189" t="s">
        <v>22</v>
      </c>
      <c r="E2189" t="s">
        <v>31</v>
      </c>
      <c r="F2189" t="s">
        <v>32</v>
      </c>
      <c r="G2189">
        <v>6285.64</v>
      </c>
      <c r="H2189">
        <v>4904.25</v>
      </c>
      <c r="I2189">
        <v>31178.46</v>
      </c>
      <c r="J2189" t="s">
        <v>25</v>
      </c>
      <c r="K2189" t="s">
        <v>33</v>
      </c>
      <c r="L2189">
        <v>53209.75</v>
      </c>
      <c r="M2189">
        <v>120</v>
      </c>
      <c r="N2189">
        <v>1048.1400000000001</v>
      </c>
      <c r="O2189">
        <v>20.56</v>
      </c>
      <c r="P2189">
        <v>0.17</v>
      </c>
      <c r="Q2189">
        <v>616</v>
      </c>
      <c r="R2189">
        <v>0.41</v>
      </c>
      <c r="S2189" t="s">
        <v>47</v>
      </c>
      <c r="T2189" s="1">
        <v>45585</v>
      </c>
      <c r="U2189">
        <v>0</v>
      </c>
    </row>
    <row r="2190" spans="1:21" x14ac:dyDescent="0.25">
      <c r="A2190" t="s">
        <v>2237</v>
      </c>
      <c r="B2190">
        <v>29</v>
      </c>
      <c r="C2190" t="s">
        <v>21</v>
      </c>
      <c r="D2190" t="s">
        <v>41</v>
      </c>
      <c r="E2190" t="s">
        <v>23</v>
      </c>
      <c r="F2190" t="s">
        <v>52</v>
      </c>
      <c r="G2190">
        <v>3119.3</v>
      </c>
      <c r="H2190">
        <v>1064.74</v>
      </c>
      <c r="I2190">
        <v>24512.21</v>
      </c>
      <c r="J2190" t="s">
        <v>37</v>
      </c>
      <c r="K2190" t="s">
        <v>38</v>
      </c>
      <c r="L2190">
        <v>0</v>
      </c>
      <c r="M2190">
        <v>0</v>
      </c>
      <c r="N2190">
        <v>0</v>
      </c>
      <c r="O2190">
        <v>0</v>
      </c>
      <c r="P2190">
        <v>0</v>
      </c>
      <c r="Q2190">
        <v>375</v>
      </c>
      <c r="R2190">
        <v>0.65</v>
      </c>
      <c r="S2190" t="s">
        <v>27</v>
      </c>
      <c r="T2190" s="1">
        <v>44729</v>
      </c>
      <c r="U2190">
        <v>0</v>
      </c>
    </row>
    <row r="2191" spans="1:21" x14ac:dyDescent="0.25">
      <c r="A2191" t="s">
        <v>2238</v>
      </c>
      <c r="B2191">
        <v>23</v>
      </c>
      <c r="C2191" t="s">
        <v>21</v>
      </c>
      <c r="D2191" t="s">
        <v>41</v>
      </c>
      <c r="E2191" t="s">
        <v>31</v>
      </c>
      <c r="F2191" t="s">
        <v>49</v>
      </c>
      <c r="G2191">
        <v>2071.17</v>
      </c>
      <c r="H2191">
        <v>1410.03</v>
      </c>
      <c r="I2191">
        <v>22818.21</v>
      </c>
      <c r="J2191" t="s">
        <v>37</v>
      </c>
      <c r="K2191" t="s">
        <v>38</v>
      </c>
      <c r="L2191">
        <v>0</v>
      </c>
      <c r="M2191">
        <v>0</v>
      </c>
      <c r="N2191">
        <v>0</v>
      </c>
      <c r="O2191">
        <v>0</v>
      </c>
      <c r="P2191">
        <v>0</v>
      </c>
      <c r="Q2191">
        <v>512</v>
      </c>
      <c r="R2191">
        <v>0.92</v>
      </c>
      <c r="S2191" t="s">
        <v>72</v>
      </c>
      <c r="T2191" s="1">
        <v>45004</v>
      </c>
      <c r="U2191">
        <v>0</v>
      </c>
    </row>
    <row r="2192" spans="1:21" x14ac:dyDescent="0.25">
      <c r="A2192" t="s">
        <v>2239</v>
      </c>
      <c r="B2192">
        <v>69</v>
      </c>
      <c r="C2192" t="s">
        <v>21</v>
      </c>
      <c r="D2192" t="s">
        <v>41</v>
      </c>
      <c r="E2192" t="s">
        <v>31</v>
      </c>
      <c r="F2192" t="s">
        <v>49</v>
      </c>
      <c r="G2192">
        <v>3308.39</v>
      </c>
      <c r="H2192">
        <v>2631.11</v>
      </c>
      <c r="I2192">
        <v>28657.919999999998</v>
      </c>
      <c r="J2192" t="s">
        <v>37</v>
      </c>
      <c r="K2192" t="s">
        <v>38</v>
      </c>
      <c r="L2192">
        <v>0</v>
      </c>
      <c r="M2192">
        <v>0</v>
      </c>
      <c r="N2192">
        <v>0</v>
      </c>
      <c r="O2192">
        <v>0</v>
      </c>
      <c r="P2192">
        <v>0</v>
      </c>
      <c r="Q2192">
        <v>698</v>
      </c>
      <c r="R2192">
        <v>0.72</v>
      </c>
      <c r="S2192" t="s">
        <v>27</v>
      </c>
      <c r="T2192" s="1">
        <v>44459</v>
      </c>
      <c r="U2192">
        <v>0</v>
      </c>
    </row>
    <row r="2193" spans="1:21" x14ac:dyDescent="0.25">
      <c r="A2193" t="s">
        <v>2240</v>
      </c>
      <c r="B2193">
        <v>38</v>
      </c>
      <c r="C2193" t="s">
        <v>29</v>
      </c>
      <c r="D2193" t="s">
        <v>41</v>
      </c>
      <c r="E2193" t="s">
        <v>31</v>
      </c>
      <c r="F2193" t="s">
        <v>24</v>
      </c>
      <c r="G2193">
        <v>5430.68</v>
      </c>
      <c r="H2193">
        <v>2586.13</v>
      </c>
      <c r="I2193">
        <v>40864.58</v>
      </c>
      <c r="J2193" t="s">
        <v>25</v>
      </c>
      <c r="K2193" t="s">
        <v>33</v>
      </c>
      <c r="L2193">
        <v>399524.86</v>
      </c>
      <c r="M2193">
        <v>60</v>
      </c>
      <c r="N2193">
        <v>9414.73</v>
      </c>
      <c r="O2193">
        <v>14.57</v>
      </c>
      <c r="P2193">
        <v>1.73</v>
      </c>
      <c r="Q2193">
        <v>503</v>
      </c>
      <c r="R2193">
        <v>0.63</v>
      </c>
      <c r="S2193" t="s">
        <v>39</v>
      </c>
      <c r="T2193" s="1">
        <v>44662</v>
      </c>
      <c r="U2193">
        <v>1</v>
      </c>
    </row>
    <row r="2194" spans="1:21" x14ac:dyDescent="0.25">
      <c r="A2194" t="s">
        <v>2241</v>
      </c>
      <c r="B2194">
        <v>36</v>
      </c>
      <c r="C2194" t="s">
        <v>29</v>
      </c>
      <c r="D2194" t="s">
        <v>41</v>
      </c>
      <c r="E2194" t="s">
        <v>51</v>
      </c>
      <c r="F2194" t="s">
        <v>44</v>
      </c>
      <c r="G2194">
        <v>5426.63</v>
      </c>
      <c r="H2194">
        <v>1632.33</v>
      </c>
      <c r="I2194">
        <v>45336.09</v>
      </c>
      <c r="J2194" t="s">
        <v>25</v>
      </c>
      <c r="K2194" t="s">
        <v>26</v>
      </c>
      <c r="L2194">
        <v>369962.55</v>
      </c>
      <c r="M2194">
        <v>300</v>
      </c>
      <c r="N2194">
        <v>5711.66</v>
      </c>
      <c r="O2194">
        <v>18.329999999999998</v>
      </c>
      <c r="P2194">
        <v>1.05</v>
      </c>
      <c r="Q2194">
        <v>335</v>
      </c>
      <c r="R2194">
        <v>0.7</v>
      </c>
      <c r="S2194" t="s">
        <v>72</v>
      </c>
      <c r="T2194" s="1">
        <v>44715</v>
      </c>
      <c r="U2194">
        <v>1</v>
      </c>
    </row>
    <row r="2195" spans="1:21" x14ac:dyDescent="0.25">
      <c r="A2195" t="s">
        <v>2242</v>
      </c>
      <c r="B2195">
        <v>42</v>
      </c>
      <c r="C2195" t="s">
        <v>21</v>
      </c>
      <c r="D2195" t="s">
        <v>41</v>
      </c>
      <c r="E2195" t="s">
        <v>23</v>
      </c>
      <c r="F2195" t="s">
        <v>24</v>
      </c>
      <c r="G2195">
        <v>1973.32</v>
      </c>
      <c r="H2195">
        <v>1426.16</v>
      </c>
      <c r="I2195">
        <v>9884.52</v>
      </c>
      <c r="J2195" t="s">
        <v>37</v>
      </c>
      <c r="K2195" t="s">
        <v>38</v>
      </c>
      <c r="L2195">
        <v>0</v>
      </c>
      <c r="M2195">
        <v>0</v>
      </c>
      <c r="N2195">
        <v>0</v>
      </c>
      <c r="O2195">
        <v>0</v>
      </c>
      <c r="P2195">
        <v>0</v>
      </c>
      <c r="Q2195">
        <v>458</v>
      </c>
      <c r="R2195">
        <v>0.42</v>
      </c>
      <c r="S2195" t="s">
        <v>47</v>
      </c>
      <c r="T2195" s="1">
        <v>44489</v>
      </c>
      <c r="U2195">
        <v>0</v>
      </c>
    </row>
    <row r="2196" spans="1:21" x14ac:dyDescent="0.25">
      <c r="A2196" t="s">
        <v>2243</v>
      </c>
      <c r="B2196">
        <v>26</v>
      </c>
      <c r="C2196" t="s">
        <v>29</v>
      </c>
      <c r="D2196" t="s">
        <v>35</v>
      </c>
      <c r="E2196" t="s">
        <v>31</v>
      </c>
      <c r="F2196" t="s">
        <v>23</v>
      </c>
      <c r="G2196">
        <v>2492.66</v>
      </c>
      <c r="H2196">
        <v>834.21</v>
      </c>
      <c r="I2196">
        <v>17840.37</v>
      </c>
      <c r="J2196" t="s">
        <v>25</v>
      </c>
      <c r="K2196" t="s">
        <v>26</v>
      </c>
      <c r="L2196">
        <v>142618</v>
      </c>
      <c r="M2196">
        <v>300</v>
      </c>
      <c r="N2196">
        <v>3052.64</v>
      </c>
      <c r="O2196">
        <v>25.64</v>
      </c>
      <c r="P2196">
        <v>1.22</v>
      </c>
      <c r="Q2196">
        <v>521</v>
      </c>
      <c r="R2196">
        <v>0.6</v>
      </c>
      <c r="S2196" t="s">
        <v>47</v>
      </c>
      <c r="T2196" s="1">
        <v>44994</v>
      </c>
      <c r="U2196">
        <v>1</v>
      </c>
    </row>
    <row r="2197" spans="1:21" x14ac:dyDescent="0.25">
      <c r="A2197" t="s">
        <v>2244</v>
      </c>
      <c r="B2197">
        <v>22</v>
      </c>
      <c r="C2197" t="s">
        <v>29</v>
      </c>
      <c r="D2197" t="s">
        <v>35</v>
      </c>
      <c r="E2197" t="s">
        <v>51</v>
      </c>
      <c r="F2197" t="s">
        <v>36</v>
      </c>
      <c r="G2197">
        <v>6252.7</v>
      </c>
      <c r="H2197">
        <v>4657.93</v>
      </c>
      <c r="I2197">
        <v>29436.12</v>
      </c>
      <c r="J2197" t="s">
        <v>37</v>
      </c>
      <c r="K2197" t="s">
        <v>38</v>
      </c>
      <c r="L2197">
        <v>0</v>
      </c>
      <c r="M2197">
        <v>0</v>
      </c>
      <c r="N2197">
        <v>0</v>
      </c>
      <c r="O2197">
        <v>0</v>
      </c>
      <c r="P2197">
        <v>0</v>
      </c>
      <c r="Q2197">
        <v>331</v>
      </c>
      <c r="R2197">
        <v>0.39</v>
      </c>
      <c r="S2197" t="s">
        <v>72</v>
      </c>
      <c r="T2197" s="1">
        <v>45771</v>
      </c>
      <c r="U2197">
        <v>0</v>
      </c>
    </row>
    <row r="2198" spans="1:21" x14ac:dyDescent="0.25">
      <c r="A2198" t="s">
        <v>2245</v>
      </c>
      <c r="B2198">
        <v>64</v>
      </c>
      <c r="C2198" t="s">
        <v>21</v>
      </c>
      <c r="D2198" t="s">
        <v>22</v>
      </c>
      <c r="E2198" t="s">
        <v>31</v>
      </c>
      <c r="F2198" t="s">
        <v>36</v>
      </c>
      <c r="G2198">
        <v>3326.17</v>
      </c>
      <c r="H2198">
        <v>1415.41</v>
      </c>
      <c r="I2198">
        <v>10675.93</v>
      </c>
      <c r="J2198" t="s">
        <v>25</v>
      </c>
      <c r="K2198" t="s">
        <v>33</v>
      </c>
      <c r="L2198">
        <v>151528.06</v>
      </c>
      <c r="M2198">
        <v>36</v>
      </c>
      <c r="N2198">
        <v>5396.36</v>
      </c>
      <c r="O2198">
        <v>16.920000000000002</v>
      </c>
      <c r="P2198">
        <v>1.62</v>
      </c>
      <c r="Q2198">
        <v>650</v>
      </c>
      <c r="R2198">
        <v>0.27</v>
      </c>
      <c r="S2198" t="s">
        <v>39</v>
      </c>
      <c r="T2198" s="1">
        <v>45728</v>
      </c>
      <c r="U2198">
        <v>1</v>
      </c>
    </row>
    <row r="2199" spans="1:21" x14ac:dyDescent="0.25">
      <c r="A2199" t="s">
        <v>2246</v>
      </c>
      <c r="B2199">
        <v>18</v>
      </c>
      <c r="C2199" t="s">
        <v>21</v>
      </c>
      <c r="D2199" t="s">
        <v>22</v>
      </c>
      <c r="E2199" t="s">
        <v>31</v>
      </c>
      <c r="F2199" t="s">
        <v>52</v>
      </c>
      <c r="G2199">
        <v>1516.08</v>
      </c>
      <c r="H2199">
        <v>471.8</v>
      </c>
      <c r="I2199">
        <v>15223.72</v>
      </c>
      <c r="J2199" t="s">
        <v>37</v>
      </c>
      <c r="K2199" t="s">
        <v>38</v>
      </c>
      <c r="L2199">
        <v>0</v>
      </c>
      <c r="M2199">
        <v>0</v>
      </c>
      <c r="N2199">
        <v>0</v>
      </c>
      <c r="O2199">
        <v>0</v>
      </c>
      <c r="P2199">
        <v>0</v>
      </c>
      <c r="Q2199">
        <v>648</v>
      </c>
      <c r="R2199">
        <v>0.84</v>
      </c>
      <c r="S2199" t="s">
        <v>72</v>
      </c>
      <c r="T2199" s="1">
        <v>44775</v>
      </c>
      <c r="U2199">
        <v>0</v>
      </c>
    </row>
    <row r="2200" spans="1:21" x14ac:dyDescent="0.25">
      <c r="A2200" t="s">
        <v>2247</v>
      </c>
      <c r="B2200">
        <v>28</v>
      </c>
      <c r="C2200" t="s">
        <v>21</v>
      </c>
      <c r="D2200" t="s">
        <v>56</v>
      </c>
      <c r="E2200" t="s">
        <v>31</v>
      </c>
      <c r="F2200" t="s">
        <v>52</v>
      </c>
      <c r="G2200">
        <v>4549.93</v>
      </c>
      <c r="H2200">
        <v>3544.73</v>
      </c>
      <c r="I2200">
        <v>52660.94</v>
      </c>
      <c r="J2200" t="s">
        <v>37</v>
      </c>
      <c r="K2200" t="s">
        <v>38</v>
      </c>
      <c r="L2200">
        <v>0</v>
      </c>
      <c r="M2200">
        <v>0</v>
      </c>
      <c r="N2200">
        <v>0</v>
      </c>
      <c r="O2200">
        <v>0</v>
      </c>
      <c r="P2200">
        <v>0</v>
      </c>
      <c r="Q2200">
        <v>453</v>
      </c>
      <c r="R2200">
        <v>0.96</v>
      </c>
      <c r="S2200" t="s">
        <v>30</v>
      </c>
      <c r="T2200" s="1">
        <v>45580</v>
      </c>
      <c r="U2200">
        <v>0</v>
      </c>
    </row>
    <row r="2201" spans="1:21" x14ac:dyDescent="0.25">
      <c r="A2201" t="s">
        <v>2248</v>
      </c>
      <c r="B2201">
        <v>25</v>
      </c>
      <c r="C2201" t="s">
        <v>29</v>
      </c>
      <c r="D2201" t="s">
        <v>35</v>
      </c>
      <c r="E2201" t="s">
        <v>31</v>
      </c>
      <c r="F2201" t="s">
        <v>36</v>
      </c>
      <c r="G2201">
        <v>1833.49</v>
      </c>
      <c r="H2201">
        <v>1141.03</v>
      </c>
      <c r="I2201">
        <v>3077.97</v>
      </c>
      <c r="J2201" t="s">
        <v>37</v>
      </c>
      <c r="K2201" t="s">
        <v>38</v>
      </c>
      <c r="L2201">
        <v>0</v>
      </c>
      <c r="M2201">
        <v>0</v>
      </c>
      <c r="N2201">
        <v>0</v>
      </c>
      <c r="O2201">
        <v>0</v>
      </c>
      <c r="P2201">
        <v>0</v>
      </c>
      <c r="Q2201">
        <v>683</v>
      </c>
      <c r="R2201">
        <v>0.14000000000000001</v>
      </c>
      <c r="S2201" t="s">
        <v>27</v>
      </c>
      <c r="T2201" s="1">
        <v>44956</v>
      </c>
      <c r="U2201">
        <v>0</v>
      </c>
    </row>
    <row r="2202" spans="1:21" x14ac:dyDescent="0.25">
      <c r="A2202" t="s">
        <v>2249</v>
      </c>
      <c r="B2202">
        <v>40</v>
      </c>
      <c r="C2202" t="s">
        <v>21</v>
      </c>
      <c r="D2202" t="s">
        <v>56</v>
      </c>
      <c r="E2202" t="s">
        <v>23</v>
      </c>
      <c r="F2202" t="s">
        <v>44</v>
      </c>
      <c r="G2202">
        <v>2570.8200000000002</v>
      </c>
      <c r="H2202">
        <v>1050.71</v>
      </c>
      <c r="I2202">
        <v>8492.43</v>
      </c>
      <c r="J2202" t="s">
        <v>25</v>
      </c>
      <c r="K2202" t="s">
        <v>33</v>
      </c>
      <c r="L2202">
        <v>432606.19</v>
      </c>
      <c r="M2202">
        <v>240</v>
      </c>
      <c r="N2202">
        <v>3253.47</v>
      </c>
      <c r="O2202">
        <v>6.61</v>
      </c>
      <c r="P2202">
        <v>1.27</v>
      </c>
      <c r="Q2202">
        <v>526</v>
      </c>
      <c r="R2202">
        <v>0.28000000000000003</v>
      </c>
      <c r="S2202" t="s">
        <v>30</v>
      </c>
      <c r="T2202" s="1">
        <v>44812</v>
      </c>
      <c r="U2202">
        <v>1</v>
      </c>
    </row>
    <row r="2203" spans="1:21" x14ac:dyDescent="0.25">
      <c r="A2203" t="s">
        <v>2250</v>
      </c>
      <c r="B2203">
        <v>65</v>
      </c>
      <c r="C2203" t="s">
        <v>29</v>
      </c>
      <c r="D2203" t="s">
        <v>41</v>
      </c>
      <c r="E2203" t="s">
        <v>31</v>
      </c>
      <c r="F2203" t="s">
        <v>42</v>
      </c>
      <c r="G2203">
        <v>4760</v>
      </c>
      <c r="H2203">
        <v>2275.35</v>
      </c>
      <c r="I2203">
        <v>9598.36</v>
      </c>
      <c r="J2203" t="s">
        <v>37</v>
      </c>
      <c r="K2203" t="s">
        <v>38</v>
      </c>
      <c r="L2203">
        <v>0</v>
      </c>
      <c r="M2203">
        <v>0</v>
      </c>
      <c r="N2203">
        <v>0</v>
      </c>
      <c r="O2203">
        <v>0</v>
      </c>
      <c r="P2203">
        <v>0</v>
      </c>
      <c r="Q2203">
        <v>344</v>
      </c>
      <c r="R2203">
        <v>0.17</v>
      </c>
      <c r="S2203" t="s">
        <v>72</v>
      </c>
      <c r="T2203" s="1">
        <v>44932</v>
      </c>
      <c r="U2203">
        <v>0</v>
      </c>
    </row>
    <row r="2204" spans="1:21" x14ac:dyDescent="0.25">
      <c r="A2204" t="s">
        <v>2251</v>
      </c>
      <c r="B2204">
        <v>43</v>
      </c>
      <c r="C2204" t="s">
        <v>21</v>
      </c>
      <c r="D2204" t="s">
        <v>22</v>
      </c>
      <c r="E2204" t="s">
        <v>31</v>
      </c>
      <c r="F2204" t="s">
        <v>32</v>
      </c>
      <c r="G2204">
        <v>8156.69</v>
      </c>
      <c r="H2204">
        <v>6822.36</v>
      </c>
      <c r="I2204">
        <v>60640.42</v>
      </c>
      <c r="J2204" t="s">
        <v>25</v>
      </c>
      <c r="K2204" t="s">
        <v>45</v>
      </c>
      <c r="L2204">
        <v>53298.87</v>
      </c>
      <c r="M2204">
        <v>120</v>
      </c>
      <c r="N2204">
        <v>629.89</v>
      </c>
      <c r="O2204">
        <v>7.4</v>
      </c>
      <c r="P2204">
        <v>0.08</v>
      </c>
      <c r="Q2204">
        <v>760</v>
      </c>
      <c r="R2204">
        <v>0.62</v>
      </c>
      <c r="S2204" t="s">
        <v>72</v>
      </c>
      <c r="T2204" s="1">
        <v>44989</v>
      </c>
      <c r="U2204">
        <v>0</v>
      </c>
    </row>
    <row r="2205" spans="1:21" x14ac:dyDescent="0.25">
      <c r="A2205" t="s">
        <v>2252</v>
      </c>
      <c r="B2205">
        <v>54</v>
      </c>
      <c r="C2205" t="s">
        <v>21</v>
      </c>
      <c r="D2205" t="s">
        <v>35</v>
      </c>
      <c r="E2205" t="s">
        <v>31</v>
      </c>
      <c r="F2205" t="s">
        <v>52</v>
      </c>
      <c r="G2205">
        <v>500</v>
      </c>
      <c r="H2205">
        <v>185.47</v>
      </c>
      <c r="I2205">
        <v>1480.96</v>
      </c>
      <c r="J2205" t="s">
        <v>37</v>
      </c>
      <c r="K2205" t="s">
        <v>38</v>
      </c>
      <c r="L2205">
        <v>0</v>
      </c>
      <c r="M2205">
        <v>0</v>
      </c>
      <c r="N2205">
        <v>0</v>
      </c>
      <c r="O2205">
        <v>0</v>
      </c>
      <c r="P2205">
        <v>0</v>
      </c>
      <c r="Q2205">
        <v>450</v>
      </c>
      <c r="R2205">
        <v>0.25</v>
      </c>
      <c r="S2205" t="s">
        <v>27</v>
      </c>
      <c r="T2205" s="1">
        <v>45460</v>
      </c>
      <c r="U2205">
        <v>0</v>
      </c>
    </row>
    <row r="2206" spans="1:21" x14ac:dyDescent="0.25">
      <c r="A2206" t="s">
        <v>2253</v>
      </c>
      <c r="B2206">
        <v>28</v>
      </c>
      <c r="C2206" t="s">
        <v>29</v>
      </c>
      <c r="D2206" t="s">
        <v>30</v>
      </c>
      <c r="E2206" t="s">
        <v>31</v>
      </c>
      <c r="F2206" t="s">
        <v>24</v>
      </c>
      <c r="G2206">
        <v>5163.55</v>
      </c>
      <c r="H2206">
        <v>1562.88</v>
      </c>
      <c r="I2206">
        <v>13329.61</v>
      </c>
      <c r="J2206" t="s">
        <v>25</v>
      </c>
      <c r="K2206" t="s">
        <v>33</v>
      </c>
      <c r="L2206">
        <v>114086.58</v>
      </c>
      <c r="M2206">
        <v>24</v>
      </c>
      <c r="N2206">
        <v>5668.7</v>
      </c>
      <c r="O2206">
        <v>17.510000000000002</v>
      </c>
      <c r="P2206">
        <v>1.1000000000000001</v>
      </c>
      <c r="Q2206">
        <v>502</v>
      </c>
      <c r="R2206">
        <v>0.22</v>
      </c>
      <c r="S2206" t="s">
        <v>72</v>
      </c>
      <c r="T2206" s="1">
        <v>44820</v>
      </c>
      <c r="U2206">
        <v>1</v>
      </c>
    </row>
    <row r="2207" spans="1:21" x14ac:dyDescent="0.25">
      <c r="A2207" t="s">
        <v>2254</v>
      </c>
      <c r="B2207">
        <v>53</v>
      </c>
      <c r="C2207" t="s">
        <v>29</v>
      </c>
      <c r="D2207" t="s">
        <v>41</v>
      </c>
      <c r="E2207" t="s">
        <v>31</v>
      </c>
      <c r="F2207" t="s">
        <v>24</v>
      </c>
      <c r="G2207">
        <v>1768.58</v>
      </c>
      <c r="H2207">
        <v>1580.19</v>
      </c>
      <c r="I2207">
        <v>14236.96</v>
      </c>
      <c r="J2207" t="s">
        <v>25</v>
      </c>
      <c r="K2207" t="s">
        <v>54</v>
      </c>
      <c r="L2207">
        <v>214645.22</v>
      </c>
      <c r="M2207">
        <v>120</v>
      </c>
      <c r="N2207">
        <v>2949.45</v>
      </c>
      <c r="O2207">
        <v>10.94</v>
      </c>
      <c r="P2207">
        <v>1.67</v>
      </c>
      <c r="Q2207">
        <v>580</v>
      </c>
      <c r="R2207">
        <v>0.67</v>
      </c>
      <c r="S2207" t="s">
        <v>39</v>
      </c>
      <c r="T2207" s="1">
        <v>44787</v>
      </c>
      <c r="U2207">
        <v>1</v>
      </c>
    </row>
    <row r="2208" spans="1:21" x14ac:dyDescent="0.25">
      <c r="A2208" t="s">
        <v>2255</v>
      </c>
      <c r="B2208">
        <v>59</v>
      </c>
      <c r="C2208" t="s">
        <v>29</v>
      </c>
      <c r="D2208" t="s">
        <v>41</v>
      </c>
      <c r="E2208" t="s">
        <v>23</v>
      </c>
      <c r="F2208" t="s">
        <v>49</v>
      </c>
      <c r="G2208">
        <v>1944.85</v>
      </c>
      <c r="H2208">
        <v>620.78</v>
      </c>
      <c r="I2208">
        <v>20022.28</v>
      </c>
      <c r="J2208" t="s">
        <v>37</v>
      </c>
      <c r="K2208" t="s">
        <v>38</v>
      </c>
      <c r="L2208">
        <v>0</v>
      </c>
      <c r="M2208">
        <v>0</v>
      </c>
      <c r="N2208">
        <v>0</v>
      </c>
      <c r="O2208">
        <v>0</v>
      </c>
      <c r="P2208">
        <v>0</v>
      </c>
      <c r="Q2208">
        <v>373</v>
      </c>
      <c r="R2208">
        <v>0.86</v>
      </c>
      <c r="S2208" t="s">
        <v>47</v>
      </c>
      <c r="T2208" s="1">
        <v>44864</v>
      </c>
      <c r="U2208">
        <v>0</v>
      </c>
    </row>
    <row r="2209" spans="1:21" x14ac:dyDescent="0.25">
      <c r="A2209" t="s">
        <v>2256</v>
      </c>
      <c r="B2209">
        <v>19</v>
      </c>
      <c r="C2209" t="s">
        <v>29</v>
      </c>
      <c r="D2209" t="s">
        <v>22</v>
      </c>
      <c r="E2209" t="s">
        <v>23</v>
      </c>
      <c r="F2209" t="s">
        <v>24</v>
      </c>
      <c r="G2209">
        <v>4284.47</v>
      </c>
      <c r="H2209">
        <v>1302.6199999999999</v>
      </c>
      <c r="I2209">
        <v>46696.86</v>
      </c>
      <c r="J2209" t="s">
        <v>37</v>
      </c>
      <c r="K2209" t="s">
        <v>38</v>
      </c>
      <c r="L2209">
        <v>0</v>
      </c>
      <c r="M2209">
        <v>0</v>
      </c>
      <c r="N2209">
        <v>0</v>
      </c>
      <c r="O2209">
        <v>0</v>
      </c>
      <c r="P2209">
        <v>0</v>
      </c>
      <c r="Q2209">
        <v>773</v>
      </c>
      <c r="R2209">
        <v>0.91</v>
      </c>
      <c r="S2209" t="s">
        <v>30</v>
      </c>
      <c r="T2209" s="1">
        <v>44867</v>
      </c>
      <c r="U2209">
        <v>0</v>
      </c>
    </row>
    <row r="2210" spans="1:21" x14ac:dyDescent="0.25">
      <c r="A2210" t="s">
        <v>2257</v>
      </c>
      <c r="B2210">
        <v>51</v>
      </c>
      <c r="C2210" t="s">
        <v>29</v>
      </c>
      <c r="D2210" t="s">
        <v>22</v>
      </c>
      <c r="E2210" t="s">
        <v>31</v>
      </c>
      <c r="F2210" t="s">
        <v>24</v>
      </c>
      <c r="G2210">
        <v>4932.5</v>
      </c>
      <c r="H2210">
        <v>2310.9</v>
      </c>
      <c r="I2210">
        <v>57011.38</v>
      </c>
      <c r="J2210" t="s">
        <v>37</v>
      </c>
      <c r="K2210" t="s">
        <v>38</v>
      </c>
      <c r="L2210">
        <v>0</v>
      </c>
      <c r="M2210">
        <v>0</v>
      </c>
      <c r="N2210">
        <v>0</v>
      </c>
      <c r="O2210">
        <v>0</v>
      </c>
      <c r="P2210">
        <v>0</v>
      </c>
      <c r="Q2210">
        <v>754</v>
      </c>
      <c r="R2210">
        <v>0.96</v>
      </c>
      <c r="S2210" t="s">
        <v>72</v>
      </c>
      <c r="T2210" s="1">
        <v>45681</v>
      </c>
      <c r="U2210">
        <v>0</v>
      </c>
    </row>
    <row r="2211" spans="1:21" x14ac:dyDescent="0.25">
      <c r="A2211" t="s">
        <v>2258</v>
      </c>
      <c r="B2211">
        <v>64</v>
      </c>
      <c r="C2211" t="s">
        <v>29</v>
      </c>
      <c r="D2211" t="s">
        <v>41</v>
      </c>
      <c r="E2211" t="s">
        <v>31</v>
      </c>
      <c r="F2211" t="s">
        <v>23</v>
      </c>
      <c r="G2211">
        <v>2815.63</v>
      </c>
      <c r="H2211">
        <v>2191.87</v>
      </c>
      <c r="I2211">
        <v>32839.29</v>
      </c>
      <c r="J2211" t="s">
        <v>37</v>
      </c>
      <c r="K2211" t="s">
        <v>38</v>
      </c>
      <c r="L2211">
        <v>0</v>
      </c>
      <c r="M2211">
        <v>0</v>
      </c>
      <c r="N2211">
        <v>0</v>
      </c>
      <c r="O2211">
        <v>0</v>
      </c>
      <c r="P2211">
        <v>0</v>
      </c>
      <c r="Q2211">
        <v>761</v>
      </c>
      <c r="R2211">
        <v>0.97</v>
      </c>
      <c r="S2211" t="s">
        <v>39</v>
      </c>
      <c r="T2211" s="1">
        <v>44426</v>
      </c>
      <c r="U2211">
        <v>0</v>
      </c>
    </row>
    <row r="2212" spans="1:21" x14ac:dyDescent="0.25">
      <c r="A2212" t="s">
        <v>2259</v>
      </c>
      <c r="B2212">
        <v>36</v>
      </c>
      <c r="C2212" t="s">
        <v>29</v>
      </c>
      <c r="D2212" t="s">
        <v>22</v>
      </c>
      <c r="E2212" t="s">
        <v>31</v>
      </c>
      <c r="F2212" t="s">
        <v>36</v>
      </c>
      <c r="G2212">
        <v>6908.26</v>
      </c>
      <c r="H2212">
        <v>4703.6000000000004</v>
      </c>
      <c r="I2212">
        <v>31169.39</v>
      </c>
      <c r="J2212" t="s">
        <v>37</v>
      </c>
      <c r="K2212" t="s">
        <v>38</v>
      </c>
      <c r="L2212">
        <v>0</v>
      </c>
      <c r="M2212">
        <v>0</v>
      </c>
      <c r="N2212">
        <v>0</v>
      </c>
      <c r="O2212">
        <v>0</v>
      </c>
      <c r="P2212">
        <v>0</v>
      </c>
      <c r="Q2212">
        <v>437</v>
      </c>
      <c r="R2212">
        <v>0.38</v>
      </c>
      <c r="S2212" t="s">
        <v>39</v>
      </c>
      <c r="T2212" s="1">
        <v>45576</v>
      </c>
      <c r="U2212">
        <v>0</v>
      </c>
    </row>
    <row r="2213" spans="1:21" x14ac:dyDescent="0.25">
      <c r="A2213" t="s">
        <v>2260</v>
      </c>
      <c r="B2213">
        <v>34</v>
      </c>
      <c r="C2213" t="s">
        <v>21</v>
      </c>
      <c r="D2213" t="s">
        <v>35</v>
      </c>
      <c r="E2213" t="s">
        <v>49</v>
      </c>
      <c r="F2213" t="s">
        <v>49</v>
      </c>
      <c r="G2213">
        <v>3371.3</v>
      </c>
      <c r="H2213">
        <v>1498.52</v>
      </c>
      <c r="I2213">
        <v>18307.060000000001</v>
      </c>
      <c r="J2213" t="s">
        <v>25</v>
      </c>
      <c r="K2213" t="s">
        <v>26</v>
      </c>
      <c r="L2213">
        <v>109668.07</v>
      </c>
      <c r="M2213">
        <v>36</v>
      </c>
      <c r="N2213">
        <v>3669.32</v>
      </c>
      <c r="O2213">
        <v>12.51</v>
      </c>
      <c r="P2213">
        <v>1.0900000000000001</v>
      </c>
      <c r="Q2213">
        <v>480</v>
      </c>
      <c r="R2213">
        <v>0.45</v>
      </c>
      <c r="S2213" t="s">
        <v>72</v>
      </c>
      <c r="T2213" s="1">
        <v>44712</v>
      </c>
      <c r="U2213">
        <v>1</v>
      </c>
    </row>
    <row r="2214" spans="1:21" x14ac:dyDescent="0.25">
      <c r="A2214" t="s">
        <v>2261</v>
      </c>
      <c r="B2214">
        <v>56</v>
      </c>
      <c r="C2214" t="s">
        <v>21</v>
      </c>
      <c r="D2214" t="s">
        <v>35</v>
      </c>
      <c r="E2214" t="s">
        <v>31</v>
      </c>
      <c r="F2214" t="s">
        <v>36</v>
      </c>
      <c r="G2214">
        <v>6123.6</v>
      </c>
      <c r="H2214">
        <v>3733.02</v>
      </c>
      <c r="I2214">
        <v>67108.97</v>
      </c>
      <c r="J2214" t="s">
        <v>37</v>
      </c>
      <c r="K2214" t="s">
        <v>38</v>
      </c>
      <c r="L2214">
        <v>0</v>
      </c>
      <c r="M2214">
        <v>0</v>
      </c>
      <c r="N2214">
        <v>0</v>
      </c>
      <c r="O2214">
        <v>0</v>
      </c>
      <c r="P2214">
        <v>0</v>
      </c>
      <c r="Q2214">
        <v>575</v>
      </c>
      <c r="R2214">
        <v>0.91</v>
      </c>
      <c r="S2214" t="s">
        <v>39</v>
      </c>
      <c r="T2214" s="1">
        <v>44768</v>
      </c>
      <c r="U2214">
        <v>0</v>
      </c>
    </row>
    <row r="2215" spans="1:21" x14ac:dyDescent="0.25">
      <c r="A2215" t="s">
        <v>2262</v>
      </c>
      <c r="B2215">
        <v>29</v>
      </c>
      <c r="C2215" t="s">
        <v>21</v>
      </c>
      <c r="D2215" t="s">
        <v>41</v>
      </c>
      <c r="E2215" t="s">
        <v>31</v>
      </c>
      <c r="F2215" t="s">
        <v>52</v>
      </c>
      <c r="G2215">
        <v>3912.74</v>
      </c>
      <c r="H2215">
        <v>1856.93</v>
      </c>
      <c r="I2215">
        <v>12073.36</v>
      </c>
      <c r="J2215" t="s">
        <v>25</v>
      </c>
      <c r="K2215" t="s">
        <v>26</v>
      </c>
      <c r="L2215">
        <v>54061.08</v>
      </c>
      <c r="M2215">
        <v>300</v>
      </c>
      <c r="N2215">
        <v>585.02</v>
      </c>
      <c r="O2215">
        <v>12.39</v>
      </c>
      <c r="P2215">
        <v>0.15</v>
      </c>
      <c r="Q2215">
        <v>602</v>
      </c>
      <c r="R2215">
        <v>0.26</v>
      </c>
      <c r="S2215" t="s">
        <v>72</v>
      </c>
      <c r="T2215" s="1">
        <v>45543</v>
      </c>
      <c r="U2215">
        <v>0</v>
      </c>
    </row>
    <row r="2216" spans="1:21" x14ac:dyDescent="0.25">
      <c r="A2216" t="s">
        <v>2263</v>
      </c>
      <c r="B2216">
        <v>56</v>
      </c>
      <c r="C2216" t="s">
        <v>21</v>
      </c>
      <c r="D2216" t="s">
        <v>22</v>
      </c>
      <c r="E2216" t="s">
        <v>49</v>
      </c>
      <c r="F2216" t="s">
        <v>23</v>
      </c>
      <c r="G2216">
        <v>2479.34</v>
      </c>
      <c r="H2216">
        <v>1290.29</v>
      </c>
      <c r="I2216">
        <v>12506.1</v>
      </c>
      <c r="J2216" t="s">
        <v>37</v>
      </c>
      <c r="K2216" t="s">
        <v>38</v>
      </c>
      <c r="L2216">
        <v>0</v>
      </c>
      <c r="M2216">
        <v>0</v>
      </c>
      <c r="N2216">
        <v>0</v>
      </c>
      <c r="O2216">
        <v>0</v>
      </c>
      <c r="P2216">
        <v>0</v>
      </c>
      <c r="Q2216">
        <v>813</v>
      </c>
      <c r="R2216">
        <v>0.42</v>
      </c>
      <c r="S2216" t="s">
        <v>27</v>
      </c>
      <c r="T2216" s="1">
        <v>45134</v>
      </c>
      <c r="U2216">
        <v>0</v>
      </c>
    </row>
    <row r="2217" spans="1:21" x14ac:dyDescent="0.25">
      <c r="A2217" t="s">
        <v>2264</v>
      </c>
      <c r="B2217">
        <v>61</v>
      </c>
      <c r="C2217" t="s">
        <v>29</v>
      </c>
      <c r="D2217" t="s">
        <v>22</v>
      </c>
      <c r="E2217" t="s">
        <v>31</v>
      </c>
      <c r="F2217" t="s">
        <v>36</v>
      </c>
      <c r="G2217">
        <v>5024.3999999999996</v>
      </c>
      <c r="H2217">
        <v>2868.1</v>
      </c>
      <c r="I2217">
        <v>12292.58</v>
      </c>
      <c r="J2217" t="s">
        <v>37</v>
      </c>
      <c r="K2217" t="s">
        <v>38</v>
      </c>
      <c r="L2217">
        <v>0</v>
      </c>
      <c r="M2217">
        <v>0</v>
      </c>
      <c r="N2217">
        <v>0</v>
      </c>
      <c r="O2217">
        <v>0</v>
      </c>
      <c r="P2217">
        <v>0</v>
      </c>
      <c r="Q2217">
        <v>559</v>
      </c>
      <c r="R2217">
        <v>0.2</v>
      </c>
      <c r="S2217" t="s">
        <v>39</v>
      </c>
      <c r="T2217" s="1">
        <v>44983</v>
      </c>
      <c r="U2217">
        <v>0</v>
      </c>
    </row>
    <row r="2218" spans="1:21" x14ac:dyDescent="0.25">
      <c r="A2218" t="s">
        <v>2265</v>
      </c>
      <c r="B2218">
        <v>29</v>
      </c>
      <c r="C2218" t="s">
        <v>29</v>
      </c>
      <c r="D2218" t="s">
        <v>35</v>
      </c>
      <c r="E2218" t="s">
        <v>23</v>
      </c>
      <c r="F2218" t="s">
        <v>42</v>
      </c>
      <c r="G2218">
        <v>3091.08</v>
      </c>
      <c r="H2218">
        <v>971.33</v>
      </c>
      <c r="I2218">
        <v>8013.62</v>
      </c>
      <c r="J2218" t="s">
        <v>37</v>
      </c>
      <c r="K2218" t="s">
        <v>38</v>
      </c>
      <c r="L2218">
        <v>0</v>
      </c>
      <c r="M2218">
        <v>0</v>
      </c>
      <c r="N2218">
        <v>0</v>
      </c>
      <c r="O2218">
        <v>0</v>
      </c>
      <c r="P2218">
        <v>0</v>
      </c>
      <c r="Q2218">
        <v>524</v>
      </c>
      <c r="R2218">
        <v>0.22</v>
      </c>
      <c r="S2218" t="s">
        <v>27</v>
      </c>
      <c r="T2218" s="1">
        <v>44860</v>
      </c>
      <c r="U2218">
        <v>0</v>
      </c>
    </row>
    <row r="2219" spans="1:21" x14ac:dyDescent="0.25">
      <c r="A2219" t="s">
        <v>2266</v>
      </c>
      <c r="B2219">
        <v>18</v>
      </c>
      <c r="C2219" t="s">
        <v>21</v>
      </c>
      <c r="D2219" t="s">
        <v>41</v>
      </c>
      <c r="E2219" t="s">
        <v>31</v>
      </c>
      <c r="F2219" t="s">
        <v>44</v>
      </c>
      <c r="G2219">
        <v>4953.88</v>
      </c>
      <c r="H2219">
        <v>1649.57</v>
      </c>
      <c r="I2219">
        <v>32844.26</v>
      </c>
      <c r="J2219" t="s">
        <v>37</v>
      </c>
      <c r="K2219" t="s">
        <v>38</v>
      </c>
      <c r="L2219">
        <v>0</v>
      </c>
      <c r="M2219">
        <v>0</v>
      </c>
      <c r="N2219">
        <v>0</v>
      </c>
      <c r="O2219">
        <v>0</v>
      </c>
      <c r="P2219">
        <v>0</v>
      </c>
      <c r="Q2219">
        <v>786</v>
      </c>
      <c r="R2219">
        <v>0.55000000000000004</v>
      </c>
      <c r="S2219" t="s">
        <v>27</v>
      </c>
      <c r="T2219" s="1">
        <v>44848</v>
      </c>
      <c r="U2219">
        <v>0</v>
      </c>
    </row>
    <row r="2220" spans="1:21" x14ac:dyDescent="0.25">
      <c r="A2220" t="s">
        <v>2267</v>
      </c>
      <c r="B2220">
        <v>31</v>
      </c>
      <c r="C2220" t="s">
        <v>21</v>
      </c>
      <c r="D2220" t="s">
        <v>41</v>
      </c>
      <c r="E2220" t="s">
        <v>23</v>
      </c>
      <c r="F2220" t="s">
        <v>49</v>
      </c>
      <c r="G2220">
        <v>4349.3999999999996</v>
      </c>
      <c r="H2220">
        <v>2363.15</v>
      </c>
      <c r="I2220">
        <v>36927.85</v>
      </c>
      <c r="J2220" t="s">
        <v>37</v>
      </c>
      <c r="K2220" t="s">
        <v>38</v>
      </c>
      <c r="L2220">
        <v>0</v>
      </c>
      <c r="M2220">
        <v>0</v>
      </c>
      <c r="N2220">
        <v>0</v>
      </c>
      <c r="O2220">
        <v>0</v>
      </c>
      <c r="P2220">
        <v>0</v>
      </c>
      <c r="Q2220">
        <v>766</v>
      </c>
      <c r="R2220">
        <v>0.71</v>
      </c>
      <c r="S2220" t="s">
        <v>72</v>
      </c>
      <c r="T2220" s="1">
        <v>45165</v>
      </c>
      <c r="U2220">
        <v>0</v>
      </c>
    </row>
    <row r="2221" spans="1:21" x14ac:dyDescent="0.25">
      <c r="A2221" t="s">
        <v>2268</v>
      </c>
      <c r="B2221">
        <v>42</v>
      </c>
      <c r="C2221" t="s">
        <v>29</v>
      </c>
      <c r="D2221" t="s">
        <v>22</v>
      </c>
      <c r="E2221" t="s">
        <v>31</v>
      </c>
      <c r="F2221" t="s">
        <v>24</v>
      </c>
      <c r="G2221">
        <v>7275.55</v>
      </c>
      <c r="H2221">
        <v>2351.81</v>
      </c>
      <c r="I2221">
        <v>56315.1</v>
      </c>
      <c r="J2221" t="s">
        <v>37</v>
      </c>
      <c r="K2221" t="s">
        <v>38</v>
      </c>
      <c r="L2221">
        <v>0</v>
      </c>
      <c r="M2221">
        <v>0</v>
      </c>
      <c r="N2221">
        <v>0</v>
      </c>
      <c r="O2221">
        <v>0</v>
      </c>
      <c r="P2221">
        <v>0</v>
      </c>
      <c r="Q2221">
        <v>848</v>
      </c>
      <c r="R2221">
        <v>0.65</v>
      </c>
      <c r="S2221" t="s">
        <v>39</v>
      </c>
      <c r="T2221" s="1">
        <v>45336</v>
      </c>
      <c r="U2221">
        <v>0</v>
      </c>
    </row>
    <row r="2222" spans="1:21" x14ac:dyDescent="0.25">
      <c r="A2222" t="s">
        <v>2269</v>
      </c>
      <c r="B2222">
        <v>30</v>
      </c>
      <c r="C2222" t="s">
        <v>29</v>
      </c>
      <c r="D2222" t="s">
        <v>22</v>
      </c>
      <c r="E2222" t="s">
        <v>51</v>
      </c>
      <c r="F2222" t="s">
        <v>52</v>
      </c>
      <c r="G2222">
        <v>3952.29</v>
      </c>
      <c r="H2222">
        <v>3236.44</v>
      </c>
      <c r="I2222">
        <v>22894.52</v>
      </c>
      <c r="J2222" t="s">
        <v>25</v>
      </c>
      <c r="K2222" t="s">
        <v>33</v>
      </c>
      <c r="L2222">
        <v>347709.36</v>
      </c>
      <c r="M2222">
        <v>180</v>
      </c>
      <c r="N2222">
        <v>5826.17</v>
      </c>
      <c r="O2222">
        <v>18.899999999999999</v>
      </c>
      <c r="P2222">
        <v>1.47</v>
      </c>
      <c r="Q2222">
        <v>362</v>
      </c>
      <c r="R2222">
        <v>0.48</v>
      </c>
      <c r="S2222" t="s">
        <v>47</v>
      </c>
      <c r="T2222" s="1">
        <v>44876</v>
      </c>
      <c r="U2222">
        <v>1</v>
      </c>
    </row>
    <row r="2223" spans="1:21" x14ac:dyDescent="0.25">
      <c r="A2223" t="s">
        <v>2270</v>
      </c>
      <c r="B2223">
        <v>29</v>
      </c>
      <c r="C2223" t="s">
        <v>21</v>
      </c>
      <c r="D2223" t="s">
        <v>41</v>
      </c>
      <c r="E2223" t="s">
        <v>31</v>
      </c>
      <c r="F2223" t="s">
        <v>42</v>
      </c>
      <c r="G2223">
        <v>6502.41</v>
      </c>
      <c r="H2223">
        <v>5082.78</v>
      </c>
      <c r="I2223">
        <v>59115.63</v>
      </c>
      <c r="J2223" t="s">
        <v>25</v>
      </c>
      <c r="K2223" t="s">
        <v>33</v>
      </c>
      <c r="L2223">
        <v>185461.04</v>
      </c>
      <c r="M2223">
        <v>240</v>
      </c>
      <c r="N2223">
        <v>2409.31</v>
      </c>
      <c r="O2223">
        <v>14.76</v>
      </c>
      <c r="P2223">
        <v>0.37</v>
      </c>
      <c r="Q2223">
        <v>527</v>
      </c>
      <c r="R2223">
        <v>0.76</v>
      </c>
      <c r="S2223" t="s">
        <v>27</v>
      </c>
      <c r="T2223" s="1">
        <v>44930</v>
      </c>
      <c r="U2223">
        <v>0</v>
      </c>
    </row>
    <row r="2224" spans="1:21" x14ac:dyDescent="0.25">
      <c r="A2224" t="s">
        <v>2271</v>
      </c>
      <c r="B2224">
        <v>29</v>
      </c>
      <c r="C2224" t="s">
        <v>21</v>
      </c>
      <c r="D2224" t="s">
        <v>22</v>
      </c>
      <c r="E2224" t="s">
        <v>31</v>
      </c>
      <c r="F2224" t="s">
        <v>52</v>
      </c>
      <c r="G2224">
        <v>4031.1</v>
      </c>
      <c r="H2224">
        <v>2410.1999999999998</v>
      </c>
      <c r="I2224">
        <v>14344.81</v>
      </c>
      <c r="J2224" t="s">
        <v>37</v>
      </c>
      <c r="K2224" t="s">
        <v>38</v>
      </c>
      <c r="L2224">
        <v>0</v>
      </c>
      <c r="M2224">
        <v>0</v>
      </c>
      <c r="N2224">
        <v>0</v>
      </c>
      <c r="O2224">
        <v>0</v>
      </c>
      <c r="P2224">
        <v>0</v>
      </c>
      <c r="Q2224">
        <v>402</v>
      </c>
      <c r="R2224">
        <v>0.3</v>
      </c>
      <c r="S2224" t="s">
        <v>47</v>
      </c>
      <c r="T2224" s="1">
        <v>44631</v>
      </c>
      <c r="U2224">
        <v>0</v>
      </c>
    </row>
    <row r="2225" spans="1:21" x14ac:dyDescent="0.25">
      <c r="A2225" t="s">
        <v>2272</v>
      </c>
      <c r="B2225">
        <v>34</v>
      </c>
      <c r="C2225" t="s">
        <v>21</v>
      </c>
      <c r="D2225" t="s">
        <v>22</v>
      </c>
      <c r="E2225" t="s">
        <v>51</v>
      </c>
      <c r="F2225" t="s">
        <v>23</v>
      </c>
      <c r="G2225">
        <v>6386.63</v>
      </c>
      <c r="H2225">
        <v>2666.1</v>
      </c>
      <c r="I2225">
        <v>37023.97</v>
      </c>
      <c r="J2225" t="s">
        <v>37</v>
      </c>
      <c r="K2225" t="s">
        <v>38</v>
      </c>
      <c r="L2225">
        <v>0</v>
      </c>
      <c r="M2225">
        <v>0</v>
      </c>
      <c r="N2225">
        <v>0</v>
      </c>
      <c r="O2225">
        <v>0</v>
      </c>
      <c r="P2225">
        <v>0</v>
      </c>
      <c r="Q2225">
        <v>479</v>
      </c>
      <c r="R2225">
        <v>0.48</v>
      </c>
      <c r="S2225" t="s">
        <v>39</v>
      </c>
      <c r="T2225" s="1">
        <v>45417</v>
      </c>
      <c r="U2225">
        <v>0</v>
      </c>
    </row>
    <row r="2226" spans="1:21" x14ac:dyDescent="0.25">
      <c r="A2226" t="s">
        <v>2273</v>
      </c>
      <c r="B2226">
        <v>42</v>
      </c>
      <c r="C2226" t="s">
        <v>29</v>
      </c>
      <c r="D2226" t="s">
        <v>35</v>
      </c>
      <c r="E2226" t="s">
        <v>49</v>
      </c>
      <c r="F2226" t="s">
        <v>23</v>
      </c>
      <c r="G2226">
        <v>3428.46</v>
      </c>
      <c r="H2226">
        <v>2220.2800000000002</v>
      </c>
      <c r="I2226">
        <v>35536.86</v>
      </c>
      <c r="J2226" t="s">
        <v>37</v>
      </c>
      <c r="K2226" t="s">
        <v>38</v>
      </c>
      <c r="L2226">
        <v>0</v>
      </c>
      <c r="M2226">
        <v>0</v>
      </c>
      <c r="N2226">
        <v>0</v>
      </c>
      <c r="O2226">
        <v>0</v>
      </c>
      <c r="P2226">
        <v>0</v>
      </c>
      <c r="Q2226">
        <v>829</v>
      </c>
      <c r="R2226">
        <v>0.86</v>
      </c>
      <c r="S2226" t="s">
        <v>39</v>
      </c>
      <c r="T2226" s="1">
        <v>44988</v>
      </c>
      <c r="U2226">
        <v>0</v>
      </c>
    </row>
    <row r="2227" spans="1:21" x14ac:dyDescent="0.25">
      <c r="A2227" t="s">
        <v>2274</v>
      </c>
      <c r="B2227">
        <v>42</v>
      </c>
      <c r="C2227" t="s">
        <v>21</v>
      </c>
      <c r="D2227" t="s">
        <v>22</v>
      </c>
      <c r="E2227" t="s">
        <v>49</v>
      </c>
      <c r="F2227" t="s">
        <v>52</v>
      </c>
      <c r="G2227">
        <v>4023.47</v>
      </c>
      <c r="H2227">
        <v>1612.38</v>
      </c>
      <c r="I2227">
        <v>23894.71</v>
      </c>
      <c r="J2227" t="s">
        <v>37</v>
      </c>
      <c r="K2227" t="s">
        <v>38</v>
      </c>
      <c r="L2227">
        <v>0</v>
      </c>
      <c r="M2227">
        <v>0</v>
      </c>
      <c r="N2227">
        <v>0</v>
      </c>
      <c r="O2227">
        <v>0</v>
      </c>
      <c r="P2227">
        <v>0</v>
      </c>
      <c r="Q2227">
        <v>727</v>
      </c>
      <c r="R2227">
        <v>0.49</v>
      </c>
      <c r="S2227" t="s">
        <v>47</v>
      </c>
      <c r="T2227" s="1">
        <v>44673</v>
      </c>
      <c r="U2227">
        <v>0</v>
      </c>
    </row>
    <row r="2228" spans="1:21" x14ac:dyDescent="0.25">
      <c r="A2228" t="s">
        <v>2275</v>
      </c>
      <c r="B2228">
        <v>62</v>
      </c>
      <c r="C2228" t="s">
        <v>29</v>
      </c>
      <c r="D2228" t="s">
        <v>35</v>
      </c>
      <c r="E2228" t="s">
        <v>31</v>
      </c>
      <c r="F2228" t="s">
        <v>24</v>
      </c>
      <c r="G2228">
        <v>1084.99</v>
      </c>
      <c r="H2228">
        <v>455.3</v>
      </c>
      <c r="I2228">
        <v>9815.32</v>
      </c>
      <c r="J2228" t="s">
        <v>37</v>
      </c>
      <c r="K2228" t="s">
        <v>38</v>
      </c>
      <c r="L2228">
        <v>0</v>
      </c>
      <c r="M2228">
        <v>0</v>
      </c>
      <c r="N2228">
        <v>0</v>
      </c>
      <c r="O2228">
        <v>0</v>
      </c>
      <c r="P2228">
        <v>0</v>
      </c>
      <c r="Q2228">
        <v>382</v>
      </c>
      <c r="R2228">
        <v>0.75</v>
      </c>
      <c r="S2228" t="s">
        <v>39</v>
      </c>
      <c r="T2228" s="1">
        <v>45291</v>
      </c>
      <c r="U2228">
        <v>0</v>
      </c>
    </row>
    <row r="2229" spans="1:21" x14ac:dyDescent="0.25">
      <c r="A2229" t="s">
        <v>2276</v>
      </c>
      <c r="B2229">
        <v>30</v>
      </c>
      <c r="C2229" t="s">
        <v>21</v>
      </c>
      <c r="D2229" t="s">
        <v>41</v>
      </c>
      <c r="E2229" t="s">
        <v>51</v>
      </c>
      <c r="F2229" t="s">
        <v>32</v>
      </c>
      <c r="G2229">
        <v>5426.57</v>
      </c>
      <c r="H2229">
        <v>3594.44</v>
      </c>
      <c r="I2229">
        <v>60472.79</v>
      </c>
      <c r="J2229" t="s">
        <v>25</v>
      </c>
      <c r="K2229" t="s">
        <v>54</v>
      </c>
      <c r="L2229">
        <v>16664.72</v>
      </c>
      <c r="M2229">
        <v>60</v>
      </c>
      <c r="N2229">
        <v>432.29</v>
      </c>
      <c r="O2229">
        <v>19</v>
      </c>
      <c r="P2229">
        <v>0.08</v>
      </c>
      <c r="Q2229">
        <v>526</v>
      </c>
      <c r="R2229">
        <v>0.93</v>
      </c>
      <c r="S2229" t="s">
        <v>72</v>
      </c>
      <c r="T2229" s="1">
        <v>44577</v>
      </c>
      <c r="U2229">
        <v>0</v>
      </c>
    </row>
    <row r="2230" spans="1:21" x14ac:dyDescent="0.25">
      <c r="A2230" t="s">
        <v>2277</v>
      </c>
      <c r="B2230">
        <v>29</v>
      </c>
      <c r="C2230" t="s">
        <v>21</v>
      </c>
      <c r="D2230" t="s">
        <v>41</v>
      </c>
      <c r="E2230" t="s">
        <v>31</v>
      </c>
      <c r="F2230" t="s">
        <v>63</v>
      </c>
      <c r="G2230">
        <v>3431.2</v>
      </c>
      <c r="H2230">
        <v>2604.9499999999998</v>
      </c>
      <c r="I2230">
        <v>11529.89</v>
      </c>
      <c r="J2230" t="s">
        <v>37</v>
      </c>
      <c r="K2230" t="s">
        <v>38</v>
      </c>
      <c r="L2230">
        <v>0</v>
      </c>
      <c r="M2230">
        <v>0</v>
      </c>
      <c r="N2230">
        <v>0</v>
      </c>
      <c r="O2230">
        <v>0</v>
      </c>
      <c r="P2230">
        <v>0</v>
      </c>
      <c r="Q2230">
        <v>614</v>
      </c>
      <c r="R2230">
        <v>0.28000000000000003</v>
      </c>
      <c r="S2230" t="s">
        <v>30</v>
      </c>
      <c r="T2230" s="1">
        <v>44709</v>
      </c>
      <c r="U2230">
        <v>0</v>
      </c>
    </row>
    <row r="2231" spans="1:21" x14ac:dyDescent="0.25">
      <c r="A2231" t="s">
        <v>2278</v>
      </c>
      <c r="B2231">
        <v>33</v>
      </c>
      <c r="C2231" t="s">
        <v>29</v>
      </c>
      <c r="D2231" t="s">
        <v>22</v>
      </c>
      <c r="E2231" t="s">
        <v>31</v>
      </c>
      <c r="F2231" t="s">
        <v>63</v>
      </c>
      <c r="G2231">
        <v>5215.79</v>
      </c>
      <c r="H2231">
        <v>3628.33</v>
      </c>
      <c r="I2231">
        <v>30691.84</v>
      </c>
      <c r="J2231" t="s">
        <v>37</v>
      </c>
      <c r="K2231" t="s">
        <v>38</v>
      </c>
      <c r="L2231">
        <v>0</v>
      </c>
      <c r="M2231">
        <v>0</v>
      </c>
      <c r="N2231">
        <v>0</v>
      </c>
      <c r="O2231">
        <v>0</v>
      </c>
      <c r="P2231">
        <v>0</v>
      </c>
      <c r="Q2231">
        <v>318</v>
      </c>
      <c r="R2231">
        <v>0.49</v>
      </c>
      <c r="S2231" t="s">
        <v>47</v>
      </c>
      <c r="T2231" s="1">
        <v>45480</v>
      </c>
      <c r="U2231">
        <v>0</v>
      </c>
    </row>
    <row r="2232" spans="1:21" x14ac:dyDescent="0.25">
      <c r="A2232" t="s">
        <v>2279</v>
      </c>
      <c r="B2232">
        <v>56</v>
      </c>
      <c r="C2232" t="s">
        <v>29</v>
      </c>
      <c r="D2232" t="s">
        <v>35</v>
      </c>
      <c r="E2232" t="s">
        <v>31</v>
      </c>
      <c r="F2232" t="s">
        <v>63</v>
      </c>
      <c r="G2232">
        <v>4935.88</v>
      </c>
      <c r="H2232">
        <v>2697.39</v>
      </c>
      <c r="I2232">
        <v>11184.54</v>
      </c>
      <c r="J2232" t="s">
        <v>37</v>
      </c>
      <c r="K2232" t="s">
        <v>38</v>
      </c>
      <c r="L2232">
        <v>0</v>
      </c>
      <c r="M2232">
        <v>0</v>
      </c>
      <c r="N2232">
        <v>0</v>
      </c>
      <c r="O2232">
        <v>0</v>
      </c>
      <c r="P2232">
        <v>0</v>
      </c>
      <c r="Q2232">
        <v>701</v>
      </c>
      <c r="R2232">
        <v>0.19</v>
      </c>
      <c r="S2232" t="s">
        <v>30</v>
      </c>
      <c r="T2232" s="1">
        <v>44506</v>
      </c>
      <c r="U2232">
        <v>0</v>
      </c>
    </row>
    <row r="2233" spans="1:21" x14ac:dyDescent="0.25">
      <c r="A2233" t="s">
        <v>2280</v>
      </c>
      <c r="B2233">
        <v>64</v>
      </c>
      <c r="C2233" t="s">
        <v>29</v>
      </c>
      <c r="D2233" t="s">
        <v>35</v>
      </c>
      <c r="E2233" t="s">
        <v>31</v>
      </c>
      <c r="F2233" t="s">
        <v>36</v>
      </c>
      <c r="G2233">
        <v>3744.16</v>
      </c>
      <c r="H2233">
        <v>1933.48</v>
      </c>
      <c r="I2233">
        <v>21460.9</v>
      </c>
      <c r="J2233" t="s">
        <v>37</v>
      </c>
      <c r="K2233" t="s">
        <v>38</v>
      </c>
      <c r="L2233">
        <v>0</v>
      </c>
      <c r="M2233">
        <v>0</v>
      </c>
      <c r="N2233">
        <v>0</v>
      </c>
      <c r="O2233">
        <v>0</v>
      </c>
      <c r="P2233">
        <v>0</v>
      </c>
      <c r="Q2233">
        <v>815</v>
      </c>
      <c r="R2233">
        <v>0.48</v>
      </c>
      <c r="S2233" t="s">
        <v>47</v>
      </c>
      <c r="T2233" s="1">
        <v>44510</v>
      </c>
      <c r="U2233">
        <v>0</v>
      </c>
    </row>
    <row r="2234" spans="1:21" x14ac:dyDescent="0.25">
      <c r="A2234" t="s">
        <v>2281</v>
      </c>
      <c r="B2234">
        <v>56</v>
      </c>
      <c r="C2234" t="s">
        <v>21</v>
      </c>
      <c r="D2234" t="s">
        <v>22</v>
      </c>
      <c r="E2234" t="s">
        <v>31</v>
      </c>
      <c r="F2234" t="s">
        <v>49</v>
      </c>
      <c r="G2234">
        <v>5185.79</v>
      </c>
      <c r="H2234">
        <v>2066.5700000000002</v>
      </c>
      <c r="I2234">
        <v>32236.19</v>
      </c>
      <c r="J2234" t="s">
        <v>37</v>
      </c>
      <c r="K2234" t="s">
        <v>38</v>
      </c>
      <c r="L2234">
        <v>0</v>
      </c>
      <c r="M2234">
        <v>0</v>
      </c>
      <c r="N2234">
        <v>0</v>
      </c>
      <c r="O2234">
        <v>0</v>
      </c>
      <c r="P2234">
        <v>0</v>
      </c>
      <c r="Q2234">
        <v>569</v>
      </c>
      <c r="R2234">
        <v>0.52</v>
      </c>
      <c r="S2234" t="s">
        <v>47</v>
      </c>
      <c r="T2234" s="1">
        <v>44584</v>
      </c>
      <c r="U2234">
        <v>0</v>
      </c>
    </row>
    <row r="2235" spans="1:21" x14ac:dyDescent="0.25">
      <c r="A2235" t="s">
        <v>2282</v>
      </c>
      <c r="B2235">
        <v>35</v>
      </c>
      <c r="C2235" t="s">
        <v>30</v>
      </c>
      <c r="D2235" t="s">
        <v>22</v>
      </c>
      <c r="E2235" t="s">
        <v>49</v>
      </c>
      <c r="F2235" t="s">
        <v>32</v>
      </c>
      <c r="G2235">
        <v>5659.25</v>
      </c>
      <c r="H2235">
        <v>2540.71</v>
      </c>
      <c r="I2235">
        <v>52648.639999999999</v>
      </c>
      <c r="J2235" t="s">
        <v>25</v>
      </c>
      <c r="K2235" t="s">
        <v>45</v>
      </c>
      <c r="L2235">
        <v>446385.38</v>
      </c>
      <c r="M2235">
        <v>300</v>
      </c>
      <c r="N2235">
        <v>8987.9699999999993</v>
      </c>
      <c r="O2235">
        <v>24.1</v>
      </c>
      <c r="P2235">
        <v>1.59</v>
      </c>
      <c r="Q2235">
        <v>766</v>
      </c>
      <c r="R2235">
        <v>0.78</v>
      </c>
      <c r="S2235" t="s">
        <v>27</v>
      </c>
      <c r="T2235" s="1">
        <v>45015</v>
      </c>
      <c r="U2235">
        <v>1</v>
      </c>
    </row>
    <row r="2236" spans="1:21" x14ac:dyDescent="0.25">
      <c r="A2236" t="s">
        <v>2283</v>
      </c>
      <c r="B2236">
        <v>18</v>
      </c>
      <c r="C2236" t="s">
        <v>29</v>
      </c>
      <c r="D2236" t="s">
        <v>22</v>
      </c>
      <c r="E2236" t="s">
        <v>23</v>
      </c>
      <c r="F2236" t="s">
        <v>49</v>
      </c>
      <c r="G2236">
        <v>4108.79</v>
      </c>
      <c r="H2236">
        <v>2311.27</v>
      </c>
      <c r="I2236">
        <v>12584.65</v>
      </c>
      <c r="J2236" t="s">
        <v>37</v>
      </c>
      <c r="K2236" t="s">
        <v>38</v>
      </c>
      <c r="L2236">
        <v>0</v>
      </c>
      <c r="M2236">
        <v>0</v>
      </c>
      <c r="N2236">
        <v>0</v>
      </c>
      <c r="O2236">
        <v>0</v>
      </c>
      <c r="P2236">
        <v>0</v>
      </c>
      <c r="Q2236">
        <v>745</v>
      </c>
      <c r="R2236">
        <v>0.26</v>
      </c>
      <c r="S2236" t="s">
        <v>27</v>
      </c>
      <c r="T2236" s="1">
        <v>45304</v>
      </c>
      <c r="U2236">
        <v>0</v>
      </c>
    </row>
    <row r="2237" spans="1:21" x14ac:dyDescent="0.25">
      <c r="A2237" t="s">
        <v>2284</v>
      </c>
      <c r="B2237">
        <v>51</v>
      </c>
      <c r="C2237" t="s">
        <v>29</v>
      </c>
      <c r="D2237" t="s">
        <v>41</v>
      </c>
      <c r="E2237" t="s">
        <v>23</v>
      </c>
      <c r="F2237" t="s">
        <v>52</v>
      </c>
      <c r="G2237">
        <v>500</v>
      </c>
      <c r="H2237">
        <v>373.12</v>
      </c>
      <c r="I2237">
        <v>5657.84</v>
      </c>
      <c r="J2237" t="s">
        <v>37</v>
      </c>
      <c r="K2237" t="s">
        <v>38</v>
      </c>
      <c r="L2237">
        <v>0</v>
      </c>
      <c r="M2237">
        <v>0</v>
      </c>
      <c r="N2237">
        <v>0</v>
      </c>
      <c r="O2237">
        <v>0</v>
      </c>
      <c r="P2237">
        <v>0</v>
      </c>
      <c r="Q2237">
        <v>449</v>
      </c>
      <c r="R2237">
        <v>0.94</v>
      </c>
      <c r="S2237" t="s">
        <v>47</v>
      </c>
      <c r="T2237" s="1">
        <v>44973</v>
      </c>
      <c r="U2237">
        <v>0</v>
      </c>
    </row>
    <row r="2238" spans="1:21" x14ac:dyDescent="0.25">
      <c r="A2238" t="s">
        <v>2285</v>
      </c>
      <c r="B2238">
        <v>67</v>
      </c>
      <c r="C2238" t="s">
        <v>29</v>
      </c>
      <c r="D2238" t="s">
        <v>41</v>
      </c>
      <c r="E2238" t="s">
        <v>31</v>
      </c>
      <c r="F2238" t="s">
        <v>36</v>
      </c>
      <c r="G2238">
        <v>3652.06</v>
      </c>
      <c r="H2238">
        <v>1426.96</v>
      </c>
      <c r="I2238">
        <v>32136.92</v>
      </c>
      <c r="J2238" t="s">
        <v>37</v>
      </c>
      <c r="K2238" t="s">
        <v>38</v>
      </c>
      <c r="L2238">
        <v>0</v>
      </c>
      <c r="M2238">
        <v>0</v>
      </c>
      <c r="N2238">
        <v>0</v>
      </c>
      <c r="O2238">
        <v>0</v>
      </c>
      <c r="P2238">
        <v>0</v>
      </c>
      <c r="Q2238">
        <v>770</v>
      </c>
      <c r="R2238">
        <v>0.73</v>
      </c>
      <c r="S2238" t="s">
        <v>27</v>
      </c>
      <c r="T2238" s="1">
        <v>45101</v>
      </c>
      <c r="U2238">
        <v>0</v>
      </c>
    </row>
    <row r="2239" spans="1:21" x14ac:dyDescent="0.25">
      <c r="A2239" t="s">
        <v>2286</v>
      </c>
      <c r="B2239">
        <v>40</v>
      </c>
      <c r="C2239" t="s">
        <v>29</v>
      </c>
      <c r="D2239" t="s">
        <v>41</v>
      </c>
      <c r="E2239" t="s">
        <v>31</v>
      </c>
      <c r="F2239" t="s">
        <v>24</v>
      </c>
      <c r="G2239">
        <v>5373.74</v>
      </c>
      <c r="H2239">
        <v>4467.28</v>
      </c>
      <c r="I2239">
        <v>49612.51</v>
      </c>
      <c r="J2239" t="s">
        <v>37</v>
      </c>
      <c r="K2239" t="s">
        <v>38</v>
      </c>
      <c r="L2239">
        <v>0</v>
      </c>
      <c r="M2239">
        <v>0</v>
      </c>
      <c r="N2239">
        <v>0</v>
      </c>
      <c r="O2239">
        <v>0</v>
      </c>
      <c r="P2239">
        <v>0</v>
      </c>
      <c r="Q2239">
        <v>463</v>
      </c>
      <c r="R2239">
        <v>0.77</v>
      </c>
      <c r="S2239" t="s">
        <v>47</v>
      </c>
      <c r="T2239" s="1">
        <v>45606</v>
      </c>
      <c r="U2239">
        <v>0</v>
      </c>
    </row>
    <row r="2240" spans="1:21" x14ac:dyDescent="0.25">
      <c r="A2240" t="s">
        <v>2287</v>
      </c>
      <c r="B2240">
        <v>30</v>
      </c>
      <c r="C2240" t="s">
        <v>29</v>
      </c>
      <c r="D2240" t="s">
        <v>41</v>
      </c>
      <c r="E2240" t="s">
        <v>31</v>
      </c>
      <c r="F2240" t="s">
        <v>42</v>
      </c>
      <c r="G2240">
        <v>6091.44</v>
      </c>
      <c r="H2240">
        <v>4720.6099999999997</v>
      </c>
      <c r="I2240">
        <v>28835.91</v>
      </c>
      <c r="J2240" t="s">
        <v>37</v>
      </c>
      <c r="K2240" t="s">
        <v>38</v>
      </c>
      <c r="L2240">
        <v>0</v>
      </c>
      <c r="M2240">
        <v>0</v>
      </c>
      <c r="N2240">
        <v>0</v>
      </c>
      <c r="O2240">
        <v>0</v>
      </c>
      <c r="P2240">
        <v>0</v>
      </c>
      <c r="Q2240">
        <v>367</v>
      </c>
      <c r="R2240">
        <v>0.39</v>
      </c>
      <c r="S2240" t="s">
        <v>47</v>
      </c>
      <c r="T2240" s="1">
        <v>44636</v>
      </c>
      <c r="U2240">
        <v>0</v>
      </c>
    </row>
    <row r="2241" spans="1:21" x14ac:dyDescent="0.25">
      <c r="A2241" t="s">
        <v>2288</v>
      </c>
      <c r="B2241">
        <v>20</v>
      </c>
      <c r="C2241" t="s">
        <v>29</v>
      </c>
      <c r="D2241" t="s">
        <v>30</v>
      </c>
      <c r="E2241" t="s">
        <v>51</v>
      </c>
      <c r="F2241" t="s">
        <v>23</v>
      </c>
      <c r="G2241">
        <v>2336.67</v>
      </c>
      <c r="H2241">
        <v>1467.86</v>
      </c>
      <c r="I2241">
        <v>4530.1000000000004</v>
      </c>
      <c r="J2241" t="s">
        <v>37</v>
      </c>
      <c r="K2241" t="s">
        <v>38</v>
      </c>
      <c r="L2241">
        <v>0</v>
      </c>
      <c r="M2241">
        <v>0</v>
      </c>
      <c r="N2241">
        <v>0</v>
      </c>
      <c r="O2241">
        <v>0</v>
      </c>
      <c r="P2241">
        <v>0</v>
      </c>
      <c r="Q2241">
        <v>686</v>
      </c>
      <c r="R2241">
        <v>0.16</v>
      </c>
      <c r="S2241" t="s">
        <v>30</v>
      </c>
      <c r="T2241" s="1">
        <v>45630</v>
      </c>
      <c r="U2241">
        <v>0</v>
      </c>
    </row>
    <row r="2242" spans="1:21" x14ac:dyDescent="0.25">
      <c r="A2242" t="s">
        <v>2289</v>
      </c>
      <c r="B2242">
        <v>44</v>
      </c>
      <c r="C2242" t="s">
        <v>29</v>
      </c>
      <c r="D2242" t="s">
        <v>41</v>
      </c>
      <c r="E2242" t="s">
        <v>51</v>
      </c>
      <c r="F2242" t="s">
        <v>32</v>
      </c>
      <c r="G2242">
        <v>4482.1000000000004</v>
      </c>
      <c r="H2242">
        <v>1356.89</v>
      </c>
      <c r="I2242">
        <v>6518.82</v>
      </c>
      <c r="J2242" t="s">
        <v>37</v>
      </c>
      <c r="K2242" t="s">
        <v>38</v>
      </c>
      <c r="L2242">
        <v>0</v>
      </c>
      <c r="M2242">
        <v>0</v>
      </c>
      <c r="N2242">
        <v>0</v>
      </c>
      <c r="O2242">
        <v>0</v>
      </c>
      <c r="P2242">
        <v>0</v>
      </c>
      <c r="Q2242">
        <v>846</v>
      </c>
      <c r="R2242">
        <v>0.12</v>
      </c>
      <c r="S2242" t="s">
        <v>72</v>
      </c>
      <c r="T2242" s="1">
        <v>44713</v>
      </c>
      <c r="U2242">
        <v>0</v>
      </c>
    </row>
    <row r="2243" spans="1:21" x14ac:dyDescent="0.25">
      <c r="A2243" t="s">
        <v>2290</v>
      </c>
      <c r="B2243">
        <v>25</v>
      </c>
      <c r="C2243" t="s">
        <v>29</v>
      </c>
      <c r="D2243" t="s">
        <v>41</v>
      </c>
      <c r="E2243" t="s">
        <v>31</v>
      </c>
      <c r="F2243" t="s">
        <v>32</v>
      </c>
      <c r="G2243">
        <v>7779.94</v>
      </c>
      <c r="H2243">
        <v>2830.79</v>
      </c>
      <c r="I2243">
        <v>78348.38</v>
      </c>
      <c r="J2243" t="s">
        <v>25</v>
      </c>
      <c r="K2243" t="s">
        <v>54</v>
      </c>
      <c r="L2243">
        <v>228951.67</v>
      </c>
      <c r="M2243">
        <v>240</v>
      </c>
      <c r="N2243">
        <v>5494.66</v>
      </c>
      <c r="O2243">
        <v>28.7</v>
      </c>
      <c r="P2243">
        <v>0.71</v>
      </c>
      <c r="Q2243">
        <v>652</v>
      </c>
      <c r="R2243">
        <v>0.84</v>
      </c>
      <c r="S2243" t="s">
        <v>30</v>
      </c>
      <c r="T2243" s="1">
        <v>44800</v>
      </c>
      <c r="U2243">
        <v>1</v>
      </c>
    </row>
    <row r="2244" spans="1:21" x14ac:dyDescent="0.25">
      <c r="A2244" t="s">
        <v>2291</v>
      </c>
      <c r="B2244">
        <v>51</v>
      </c>
      <c r="C2244" t="s">
        <v>21</v>
      </c>
      <c r="D2244" t="s">
        <v>41</v>
      </c>
      <c r="E2244" t="s">
        <v>31</v>
      </c>
      <c r="F2244" t="s">
        <v>44</v>
      </c>
      <c r="G2244">
        <v>5090.4799999999996</v>
      </c>
      <c r="H2244">
        <v>2556.75</v>
      </c>
      <c r="I2244">
        <v>10169.969999999999</v>
      </c>
      <c r="J2244" t="s">
        <v>37</v>
      </c>
      <c r="K2244" t="s">
        <v>38</v>
      </c>
      <c r="L2244">
        <v>0</v>
      </c>
      <c r="M2244">
        <v>0</v>
      </c>
      <c r="N2244">
        <v>0</v>
      </c>
      <c r="O2244">
        <v>0</v>
      </c>
      <c r="P2244">
        <v>0</v>
      </c>
      <c r="Q2244">
        <v>780</v>
      </c>
      <c r="R2244">
        <v>0.17</v>
      </c>
      <c r="S2244" t="s">
        <v>47</v>
      </c>
      <c r="T2244" s="1">
        <v>45708</v>
      </c>
      <c r="U2244">
        <v>0</v>
      </c>
    </row>
    <row r="2245" spans="1:21" x14ac:dyDescent="0.25">
      <c r="A2245" t="s">
        <v>2292</v>
      </c>
      <c r="B2245">
        <v>44</v>
      </c>
      <c r="C2245" t="s">
        <v>29</v>
      </c>
      <c r="D2245" t="s">
        <v>35</v>
      </c>
      <c r="E2245" t="s">
        <v>31</v>
      </c>
      <c r="F2245" t="s">
        <v>52</v>
      </c>
      <c r="G2245">
        <v>2188.39</v>
      </c>
      <c r="H2245">
        <v>1013.72</v>
      </c>
      <c r="I2245">
        <v>18533.13</v>
      </c>
      <c r="J2245" t="s">
        <v>37</v>
      </c>
      <c r="K2245" t="s">
        <v>38</v>
      </c>
      <c r="L2245">
        <v>0</v>
      </c>
      <c r="M2245">
        <v>0</v>
      </c>
      <c r="N2245">
        <v>0</v>
      </c>
      <c r="O2245">
        <v>0</v>
      </c>
      <c r="P2245">
        <v>0</v>
      </c>
      <c r="Q2245">
        <v>464</v>
      </c>
      <c r="R2245">
        <v>0.71</v>
      </c>
      <c r="S2245" t="s">
        <v>27</v>
      </c>
      <c r="T2245" s="1">
        <v>45558</v>
      </c>
      <c r="U2245">
        <v>0</v>
      </c>
    </row>
    <row r="2246" spans="1:21" x14ac:dyDescent="0.25">
      <c r="A2246" t="s">
        <v>2293</v>
      </c>
      <c r="B2246">
        <v>57</v>
      </c>
      <c r="C2246" t="s">
        <v>29</v>
      </c>
      <c r="D2246" t="s">
        <v>41</v>
      </c>
      <c r="E2246" t="s">
        <v>31</v>
      </c>
      <c r="F2246" t="s">
        <v>32</v>
      </c>
      <c r="G2246">
        <v>5209.7700000000004</v>
      </c>
      <c r="H2246">
        <v>2554.6799999999998</v>
      </c>
      <c r="I2246">
        <v>30703.8</v>
      </c>
      <c r="J2246" t="s">
        <v>37</v>
      </c>
      <c r="K2246" t="s">
        <v>38</v>
      </c>
      <c r="L2246">
        <v>0</v>
      </c>
      <c r="M2246">
        <v>0</v>
      </c>
      <c r="N2246">
        <v>0</v>
      </c>
      <c r="O2246">
        <v>0</v>
      </c>
      <c r="P2246">
        <v>0</v>
      </c>
      <c r="Q2246">
        <v>785</v>
      </c>
      <c r="R2246">
        <v>0.49</v>
      </c>
      <c r="S2246" t="s">
        <v>30</v>
      </c>
      <c r="T2246" s="1">
        <v>45534</v>
      </c>
      <c r="U2246">
        <v>0</v>
      </c>
    </row>
    <row r="2247" spans="1:21" x14ac:dyDescent="0.25">
      <c r="A2247" t="s">
        <v>2294</v>
      </c>
      <c r="B2247">
        <v>23</v>
      </c>
      <c r="C2247" t="s">
        <v>29</v>
      </c>
      <c r="D2247" t="s">
        <v>35</v>
      </c>
      <c r="E2247" t="s">
        <v>31</v>
      </c>
      <c r="F2247" t="s">
        <v>32</v>
      </c>
      <c r="G2247">
        <v>6434.89</v>
      </c>
      <c r="H2247">
        <v>5660.22</v>
      </c>
      <c r="I2247">
        <v>40481.03</v>
      </c>
      <c r="J2247" t="s">
        <v>37</v>
      </c>
      <c r="K2247" t="s">
        <v>38</v>
      </c>
      <c r="L2247">
        <v>0</v>
      </c>
      <c r="M2247">
        <v>0</v>
      </c>
      <c r="N2247">
        <v>0</v>
      </c>
      <c r="O2247">
        <v>0</v>
      </c>
      <c r="P2247">
        <v>0</v>
      </c>
      <c r="Q2247">
        <v>375</v>
      </c>
      <c r="R2247">
        <v>0.52</v>
      </c>
      <c r="S2247" t="s">
        <v>27</v>
      </c>
      <c r="T2247" s="1">
        <v>45683</v>
      </c>
      <c r="U2247">
        <v>0</v>
      </c>
    </row>
    <row r="2248" spans="1:21" x14ac:dyDescent="0.25">
      <c r="A2248" t="s">
        <v>2295</v>
      </c>
      <c r="B2248">
        <v>52</v>
      </c>
      <c r="C2248" t="s">
        <v>29</v>
      </c>
      <c r="D2248" t="s">
        <v>35</v>
      </c>
      <c r="E2248" t="s">
        <v>31</v>
      </c>
      <c r="F2248" t="s">
        <v>32</v>
      </c>
      <c r="G2248">
        <v>5411.58</v>
      </c>
      <c r="H2248">
        <v>3742.94</v>
      </c>
      <c r="I2248">
        <v>31066.07</v>
      </c>
      <c r="J2248" t="s">
        <v>25</v>
      </c>
      <c r="K2248" t="s">
        <v>26</v>
      </c>
      <c r="L2248">
        <v>262283.78000000003</v>
      </c>
      <c r="M2248">
        <v>300</v>
      </c>
      <c r="N2248">
        <v>2643.05</v>
      </c>
      <c r="O2248">
        <v>11.38</v>
      </c>
      <c r="P2248">
        <v>0.49</v>
      </c>
      <c r="Q2248">
        <v>350</v>
      </c>
      <c r="R2248">
        <v>0.48</v>
      </c>
      <c r="S2248" t="s">
        <v>27</v>
      </c>
      <c r="T2248" s="1">
        <v>45180</v>
      </c>
      <c r="U2248">
        <v>1</v>
      </c>
    </row>
    <row r="2249" spans="1:21" x14ac:dyDescent="0.25">
      <c r="A2249" t="s">
        <v>2296</v>
      </c>
      <c r="B2249">
        <v>62</v>
      </c>
      <c r="C2249" t="s">
        <v>29</v>
      </c>
      <c r="D2249" t="s">
        <v>35</v>
      </c>
      <c r="E2249" t="s">
        <v>31</v>
      </c>
      <c r="F2249" t="s">
        <v>32</v>
      </c>
      <c r="G2249">
        <v>4029.97</v>
      </c>
      <c r="H2249">
        <v>2007.25</v>
      </c>
      <c r="I2249">
        <v>30356.34</v>
      </c>
      <c r="J2249" t="s">
        <v>25</v>
      </c>
      <c r="K2249" t="s">
        <v>45</v>
      </c>
      <c r="L2249">
        <v>96435.13</v>
      </c>
      <c r="M2249">
        <v>24</v>
      </c>
      <c r="N2249">
        <v>4441.9799999999996</v>
      </c>
      <c r="O2249">
        <v>9.82</v>
      </c>
      <c r="P2249">
        <v>1.1000000000000001</v>
      </c>
      <c r="Q2249">
        <v>560</v>
      </c>
      <c r="R2249">
        <v>0.63</v>
      </c>
      <c r="S2249" t="s">
        <v>72</v>
      </c>
      <c r="T2249" s="1">
        <v>44797</v>
      </c>
      <c r="U2249">
        <v>1</v>
      </c>
    </row>
    <row r="2250" spans="1:21" x14ac:dyDescent="0.25">
      <c r="A2250" t="s">
        <v>2297</v>
      </c>
      <c r="B2250">
        <v>34</v>
      </c>
      <c r="C2250" t="s">
        <v>29</v>
      </c>
      <c r="D2250" t="s">
        <v>35</v>
      </c>
      <c r="E2250" t="s">
        <v>31</v>
      </c>
      <c r="F2250" t="s">
        <v>44</v>
      </c>
      <c r="G2250">
        <v>3204.06</v>
      </c>
      <c r="H2250">
        <v>1612.7</v>
      </c>
      <c r="I2250">
        <v>16161.99</v>
      </c>
      <c r="J2250" t="s">
        <v>25</v>
      </c>
      <c r="K2250" t="s">
        <v>54</v>
      </c>
      <c r="L2250">
        <v>294929.37</v>
      </c>
      <c r="M2250">
        <v>120</v>
      </c>
      <c r="N2250">
        <v>2905.39</v>
      </c>
      <c r="O2250">
        <v>3.42</v>
      </c>
      <c r="P2250">
        <v>0.91</v>
      </c>
      <c r="Q2250">
        <v>795</v>
      </c>
      <c r="R2250">
        <v>0.42</v>
      </c>
      <c r="S2250" t="s">
        <v>39</v>
      </c>
      <c r="T2250" s="1">
        <v>44930</v>
      </c>
      <c r="U2250">
        <v>1</v>
      </c>
    </row>
    <row r="2251" spans="1:21" x14ac:dyDescent="0.25">
      <c r="A2251" t="s">
        <v>2298</v>
      </c>
      <c r="B2251">
        <v>50</v>
      </c>
      <c r="C2251" t="s">
        <v>21</v>
      </c>
      <c r="D2251" t="s">
        <v>41</v>
      </c>
      <c r="E2251" t="s">
        <v>31</v>
      </c>
      <c r="F2251" t="s">
        <v>63</v>
      </c>
      <c r="G2251">
        <v>2050.94</v>
      </c>
      <c r="H2251">
        <v>1427.33</v>
      </c>
      <c r="I2251">
        <v>18435.91</v>
      </c>
      <c r="J2251" t="s">
        <v>25</v>
      </c>
      <c r="K2251" t="s">
        <v>54</v>
      </c>
      <c r="L2251">
        <v>98507.41</v>
      </c>
      <c r="M2251">
        <v>300</v>
      </c>
      <c r="N2251">
        <v>2346.5</v>
      </c>
      <c r="O2251">
        <v>28.56</v>
      </c>
      <c r="P2251">
        <v>1.1399999999999999</v>
      </c>
      <c r="Q2251">
        <v>518</v>
      </c>
      <c r="R2251">
        <v>0.75</v>
      </c>
      <c r="S2251" t="s">
        <v>72</v>
      </c>
      <c r="T2251" s="1">
        <v>45550</v>
      </c>
      <c r="U2251">
        <v>1</v>
      </c>
    </row>
    <row r="2252" spans="1:21" x14ac:dyDescent="0.25">
      <c r="A2252" t="s">
        <v>2299</v>
      </c>
      <c r="B2252">
        <v>33</v>
      </c>
      <c r="C2252" t="s">
        <v>21</v>
      </c>
      <c r="D2252" t="s">
        <v>56</v>
      </c>
      <c r="E2252" t="s">
        <v>51</v>
      </c>
      <c r="F2252" t="s">
        <v>36</v>
      </c>
      <c r="G2252">
        <v>3975.52</v>
      </c>
      <c r="H2252">
        <v>2407.0100000000002</v>
      </c>
      <c r="I2252">
        <v>14409.22</v>
      </c>
      <c r="J2252" t="s">
        <v>25</v>
      </c>
      <c r="K2252" t="s">
        <v>33</v>
      </c>
      <c r="L2252">
        <v>5050.6499999999996</v>
      </c>
      <c r="M2252">
        <v>36</v>
      </c>
      <c r="N2252">
        <v>163.9</v>
      </c>
      <c r="O2252">
        <v>10.39</v>
      </c>
      <c r="P2252">
        <v>0.04</v>
      </c>
      <c r="Q2252">
        <v>371</v>
      </c>
      <c r="R2252">
        <v>0.3</v>
      </c>
      <c r="S2252" t="s">
        <v>47</v>
      </c>
      <c r="T2252" s="1">
        <v>45502</v>
      </c>
      <c r="U2252">
        <v>0</v>
      </c>
    </row>
    <row r="2253" spans="1:21" x14ac:dyDescent="0.25">
      <c r="A2253" t="s">
        <v>2300</v>
      </c>
      <c r="B2253">
        <v>63</v>
      </c>
      <c r="C2253" t="s">
        <v>29</v>
      </c>
      <c r="D2253" t="s">
        <v>41</v>
      </c>
      <c r="E2253" t="s">
        <v>31</v>
      </c>
      <c r="F2253" t="s">
        <v>23</v>
      </c>
      <c r="G2253">
        <v>5451.08</v>
      </c>
      <c r="H2253">
        <v>2117.5700000000002</v>
      </c>
      <c r="I2253">
        <v>62378.67</v>
      </c>
      <c r="J2253" t="s">
        <v>25</v>
      </c>
      <c r="K2253" t="s">
        <v>54</v>
      </c>
      <c r="L2253">
        <v>255681.71</v>
      </c>
      <c r="M2253">
        <v>300</v>
      </c>
      <c r="N2253">
        <v>3390.32</v>
      </c>
      <c r="O2253">
        <v>15.58</v>
      </c>
      <c r="P2253">
        <v>0.62</v>
      </c>
      <c r="Q2253">
        <v>437</v>
      </c>
      <c r="R2253">
        <v>0.95</v>
      </c>
      <c r="S2253" t="s">
        <v>30</v>
      </c>
      <c r="T2253" s="1">
        <v>45397</v>
      </c>
      <c r="U2253">
        <v>1</v>
      </c>
    </row>
    <row r="2254" spans="1:21" x14ac:dyDescent="0.25">
      <c r="A2254" t="s">
        <v>2301</v>
      </c>
      <c r="B2254">
        <v>34</v>
      </c>
      <c r="C2254" t="s">
        <v>21</v>
      </c>
      <c r="D2254" t="s">
        <v>22</v>
      </c>
      <c r="E2254" t="s">
        <v>49</v>
      </c>
      <c r="F2254" t="s">
        <v>63</v>
      </c>
      <c r="G2254">
        <v>4498.09</v>
      </c>
      <c r="H2254">
        <v>2775.51</v>
      </c>
      <c r="I2254">
        <v>43617.19</v>
      </c>
      <c r="J2254" t="s">
        <v>37</v>
      </c>
      <c r="K2254" t="s">
        <v>38</v>
      </c>
      <c r="L2254">
        <v>0</v>
      </c>
      <c r="M2254">
        <v>0</v>
      </c>
      <c r="N2254">
        <v>0</v>
      </c>
      <c r="O2254">
        <v>0</v>
      </c>
      <c r="P2254">
        <v>0</v>
      </c>
      <c r="Q2254">
        <v>369</v>
      </c>
      <c r="R2254">
        <v>0.81</v>
      </c>
      <c r="S2254" t="s">
        <v>39</v>
      </c>
      <c r="T2254" s="1">
        <v>44717</v>
      </c>
      <c r="U2254">
        <v>0</v>
      </c>
    </row>
    <row r="2255" spans="1:21" x14ac:dyDescent="0.25">
      <c r="A2255" t="s">
        <v>2302</v>
      </c>
      <c r="B2255">
        <v>33</v>
      </c>
      <c r="C2255" t="s">
        <v>21</v>
      </c>
      <c r="D2255" t="s">
        <v>41</v>
      </c>
      <c r="E2255" t="s">
        <v>31</v>
      </c>
      <c r="F2255" t="s">
        <v>44</v>
      </c>
      <c r="G2255">
        <v>500</v>
      </c>
      <c r="H2255">
        <v>220.04</v>
      </c>
      <c r="I2255">
        <v>4633.95</v>
      </c>
      <c r="J2255" t="s">
        <v>37</v>
      </c>
      <c r="K2255" t="s">
        <v>38</v>
      </c>
      <c r="L2255">
        <v>0</v>
      </c>
      <c r="M2255">
        <v>0</v>
      </c>
      <c r="N2255">
        <v>0</v>
      </c>
      <c r="O2255">
        <v>0</v>
      </c>
      <c r="P2255">
        <v>0</v>
      </c>
      <c r="Q2255">
        <v>794</v>
      </c>
      <c r="R2255">
        <v>0.77</v>
      </c>
      <c r="S2255" t="s">
        <v>47</v>
      </c>
      <c r="T2255" s="1">
        <v>45744</v>
      </c>
      <c r="U2255">
        <v>0</v>
      </c>
    </row>
    <row r="2256" spans="1:21" x14ac:dyDescent="0.25">
      <c r="A2256" t="s">
        <v>2303</v>
      </c>
      <c r="B2256">
        <v>46</v>
      </c>
      <c r="C2256" t="s">
        <v>29</v>
      </c>
      <c r="D2256" t="s">
        <v>22</v>
      </c>
      <c r="E2256" t="s">
        <v>51</v>
      </c>
      <c r="F2256" t="s">
        <v>42</v>
      </c>
      <c r="G2256">
        <v>2352.5700000000002</v>
      </c>
      <c r="H2256">
        <v>2069.21</v>
      </c>
      <c r="I2256">
        <v>7096.41</v>
      </c>
      <c r="J2256" t="s">
        <v>25</v>
      </c>
      <c r="K2256" t="s">
        <v>26</v>
      </c>
      <c r="L2256">
        <v>92715.5</v>
      </c>
      <c r="M2256">
        <v>240</v>
      </c>
      <c r="N2256">
        <v>1542.39</v>
      </c>
      <c r="O2256">
        <v>19.55</v>
      </c>
      <c r="P2256">
        <v>0.66</v>
      </c>
      <c r="Q2256">
        <v>557</v>
      </c>
      <c r="R2256">
        <v>0.25</v>
      </c>
      <c r="S2256" t="s">
        <v>39</v>
      </c>
      <c r="T2256" s="1">
        <v>45806</v>
      </c>
      <c r="U2256">
        <v>1</v>
      </c>
    </row>
    <row r="2257" spans="1:21" x14ac:dyDescent="0.25">
      <c r="A2257" t="s">
        <v>2304</v>
      </c>
      <c r="B2257">
        <v>69</v>
      </c>
      <c r="C2257" t="s">
        <v>21</v>
      </c>
      <c r="D2257" t="s">
        <v>30</v>
      </c>
      <c r="E2257" t="s">
        <v>31</v>
      </c>
      <c r="F2257" t="s">
        <v>52</v>
      </c>
      <c r="G2257">
        <v>6818.51</v>
      </c>
      <c r="H2257">
        <v>3527.8</v>
      </c>
      <c r="I2257">
        <v>73042.22</v>
      </c>
      <c r="J2257" t="s">
        <v>25</v>
      </c>
      <c r="K2257" t="s">
        <v>26</v>
      </c>
      <c r="L2257">
        <v>244658.77</v>
      </c>
      <c r="M2257">
        <v>240</v>
      </c>
      <c r="N2257">
        <v>5499.41</v>
      </c>
      <c r="O2257">
        <v>26.84</v>
      </c>
      <c r="P2257">
        <v>0.81</v>
      </c>
      <c r="Q2257">
        <v>374</v>
      </c>
      <c r="R2257">
        <v>0.89</v>
      </c>
      <c r="S2257" t="s">
        <v>47</v>
      </c>
      <c r="T2257" s="1">
        <v>44747</v>
      </c>
      <c r="U2257">
        <v>1</v>
      </c>
    </row>
    <row r="2258" spans="1:21" x14ac:dyDescent="0.25">
      <c r="A2258" t="s">
        <v>2305</v>
      </c>
      <c r="B2258">
        <v>65</v>
      </c>
      <c r="C2258" t="s">
        <v>21</v>
      </c>
      <c r="D2258" t="s">
        <v>22</v>
      </c>
      <c r="E2258" t="s">
        <v>31</v>
      </c>
      <c r="F2258" t="s">
        <v>63</v>
      </c>
      <c r="G2258">
        <v>3910.05</v>
      </c>
      <c r="H2258">
        <v>2306.2800000000002</v>
      </c>
      <c r="I2258">
        <v>34614.93</v>
      </c>
      <c r="J2258" t="s">
        <v>37</v>
      </c>
      <c r="K2258" t="s">
        <v>38</v>
      </c>
      <c r="L2258">
        <v>0</v>
      </c>
      <c r="M2258">
        <v>0</v>
      </c>
      <c r="N2258">
        <v>0</v>
      </c>
      <c r="O2258">
        <v>0</v>
      </c>
      <c r="P2258">
        <v>0</v>
      </c>
      <c r="Q2258">
        <v>428</v>
      </c>
      <c r="R2258">
        <v>0.74</v>
      </c>
      <c r="S2258" t="s">
        <v>27</v>
      </c>
      <c r="T2258" s="1">
        <v>45722</v>
      </c>
      <c r="U2258">
        <v>0</v>
      </c>
    </row>
    <row r="2259" spans="1:21" x14ac:dyDescent="0.25">
      <c r="A2259" t="s">
        <v>2306</v>
      </c>
      <c r="B2259">
        <v>60</v>
      </c>
      <c r="C2259" t="s">
        <v>29</v>
      </c>
      <c r="D2259" t="s">
        <v>41</v>
      </c>
      <c r="E2259" t="s">
        <v>31</v>
      </c>
      <c r="F2259" t="s">
        <v>23</v>
      </c>
      <c r="G2259">
        <v>3997.08</v>
      </c>
      <c r="H2259">
        <v>2231.62</v>
      </c>
      <c r="I2259">
        <v>25024.11</v>
      </c>
      <c r="J2259" t="s">
        <v>25</v>
      </c>
      <c r="K2259" t="s">
        <v>33</v>
      </c>
      <c r="L2259">
        <v>197549.16</v>
      </c>
      <c r="M2259">
        <v>120</v>
      </c>
      <c r="N2259">
        <v>2105.9499999999998</v>
      </c>
      <c r="O2259">
        <v>5.1100000000000003</v>
      </c>
      <c r="P2259">
        <v>0.53</v>
      </c>
      <c r="Q2259">
        <v>635</v>
      </c>
      <c r="R2259">
        <v>0.52</v>
      </c>
      <c r="S2259" t="s">
        <v>30</v>
      </c>
      <c r="T2259" s="1">
        <v>45228</v>
      </c>
      <c r="U2259">
        <v>1</v>
      </c>
    </row>
    <row r="2260" spans="1:21" x14ac:dyDescent="0.25">
      <c r="A2260" t="s">
        <v>2307</v>
      </c>
      <c r="B2260">
        <v>32</v>
      </c>
      <c r="C2260" t="s">
        <v>30</v>
      </c>
      <c r="D2260" t="s">
        <v>35</v>
      </c>
      <c r="E2260" t="s">
        <v>23</v>
      </c>
      <c r="F2260" t="s">
        <v>52</v>
      </c>
      <c r="G2260">
        <v>1606.32</v>
      </c>
      <c r="H2260">
        <v>1225.3800000000001</v>
      </c>
      <c r="I2260">
        <v>4597.71</v>
      </c>
      <c r="J2260" t="s">
        <v>25</v>
      </c>
      <c r="K2260" t="s">
        <v>33</v>
      </c>
      <c r="L2260">
        <v>91639.17</v>
      </c>
      <c r="M2260">
        <v>180</v>
      </c>
      <c r="N2260">
        <v>1089.82</v>
      </c>
      <c r="O2260">
        <v>11.83</v>
      </c>
      <c r="P2260">
        <v>0.68</v>
      </c>
      <c r="Q2260">
        <v>842</v>
      </c>
      <c r="R2260">
        <v>0.24</v>
      </c>
      <c r="S2260" t="s">
        <v>39</v>
      </c>
      <c r="T2260" s="1">
        <v>45804</v>
      </c>
      <c r="U2260">
        <v>1</v>
      </c>
    </row>
    <row r="2261" spans="1:21" x14ac:dyDescent="0.25">
      <c r="A2261" t="s">
        <v>2308</v>
      </c>
      <c r="B2261">
        <v>59</v>
      </c>
      <c r="C2261" t="s">
        <v>21</v>
      </c>
      <c r="D2261" t="s">
        <v>22</v>
      </c>
      <c r="E2261" t="s">
        <v>51</v>
      </c>
      <c r="F2261" t="s">
        <v>63</v>
      </c>
      <c r="G2261">
        <v>6889.86</v>
      </c>
      <c r="H2261">
        <v>3153.28</v>
      </c>
      <c r="I2261">
        <v>36342.720000000001</v>
      </c>
      <c r="J2261" t="s">
        <v>37</v>
      </c>
      <c r="K2261" t="s">
        <v>38</v>
      </c>
      <c r="L2261">
        <v>0</v>
      </c>
      <c r="M2261">
        <v>0</v>
      </c>
      <c r="N2261">
        <v>0</v>
      </c>
      <c r="O2261">
        <v>0</v>
      </c>
      <c r="P2261">
        <v>0</v>
      </c>
      <c r="Q2261">
        <v>403</v>
      </c>
      <c r="R2261">
        <v>0.44</v>
      </c>
      <c r="S2261" t="s">
        <v>27</v>
      </c>
      <c r="T2261" s="1">
        <v>45345</v>
      </c>
      <c r="U2261">
        <v>0</v>
      </c>
    </row>
    <row r="2262" spans="1:21" x14ac:dyDescent="0.25">
      <c r="A2262" t="s">
        <v>2309</v>
      </c>
      <c r="B2262">
        <v>69</v>
      </c>
      <c r="C2262" t="s">
        <v>29</v>
      </c>
      <c r="D2262" t="s">
        <v>41</v>
      </c>
      <c r="E2262" t="s">
        <v>23</v>
      </c>
      <c r="F2262" t="s">
        <v>36</v>
      </c>
      <c r="G2262">
        <v>2050.23</v>
      </c>
      <c r="H2262">
        <v>1292.53</v>
      </c>
      <c r="I2262">
        <v>22586.28</v>
      </c>
      <c r="J2262" t="s">
        <v>25</v>
      </c>
      <c r="K2262" t="s">
        <v>33</v>
      </c>
      <c r="L2262">
        <v>145438.25</v>
      </c>
      <c r="M2262">
        <v>180</v>
      </c>
      <c r="N2262">
        <v>3286.27</v>
      </c>
      <c r="O2262">
        <v>26.59</v>
      </c>
      <c r="P2262">
        <v>1.6</v>
      </c>
      <c r="Q2262">
        <v>393</v>
      </c>
      <c r="R2262">
        <v>0.92</v>
      </c>
      <c r="S2262" t="s">
        <v>47</v>
      </c>
      <c r="T2262" s="1">
        <v>45797</v>
      </c>
      <c r="U2262">
        <v>1</v>
      </c>
    </row>
    <row r="2263" spans="1:21" x14ac:dyDescent="0.25">
      <c r="A2263" t="s">
        <v>2310</v>
      </c>
      <c r="B2263">
        <v>40</v>
      </c>
      <c r="C2263" t="s">
        <v>21</v>
      </c>
      <c r="D2263" t="s">
        <v>35</v>
      </c>
      <c r="E2263" t="s">
        <v>31</v>
      </c>
      <c r="F2263" t="s">
        <v>49</v>
      </c>
      <c r="G2263">
        <v>6942.52</v>
      </c>
      <c r="H2263">
        <v>4536.2</v>
      </c>
      <c r="I2263">
        <v>82039.649999999994</v>
      </c>
      <c r="J2263" t="s">
        <v>37</v>
      </c>
      <c r="K2263" t="s">
        <v>38</v>
      </c>
      <c r="L2263">
        <v>0</v>
      </c>
      <c r="M2263">
        <v>0</v>
      </c>
      <c r="N2263">
        <v>0</v>
      </c>
      <c r="O2263">
        <v>0</v>
      </c>
      <c r="P2263">
        <v>0</v>
      </c>
      <c r="Q2263">
        <v>680</v>
      </c>
      <c r="R2263">
        <v>0.98</v>
      </c>
      <c r="S2263" t="s">
        <v>30</v>
      </c>
      <c r="T2263" s="1">
        <v>45767</v>
      </c>
      <c r="U2263">
        <v>0</v>
      </c>
    </row>
    <row r="2264" spans="1:21" x14ac:dyDescent="0.25">
      <c r="A2264" t="s">
        <v>2311</v>
      </c>
      <c r="B2264">
        <v>49</v>
      </c>
      <c r="C2264" t="s">
        <v>21</v>
      </c>
      <c r="D2264" t="s">
        <v>41</v>
      </c>
      <c r="E2264" t="s">
        <v>31</v>
      </c>
      <c r="F2264" t="s">
        <v>24</v>
      </c>
      <c r="G2264">
        <v>3008.4</v>
      </c>
      <c r="H2264">
        <v>1523.77</v>
      </c>
      <c r="I2264">
        <v>10708.77</v>
      </c>
      <c r="J2264" t="s">
        <v>37</v>
      </c>
      <c r="K2264" t="s">
        <v>38</v>
      </c>
      <c r="L2264">
        <v>0</v>
      </c>
      <c r="M2264">
        <v>0</v>
      </c>
      <c r="N2264">
        <v>0</v>
      </c>
      <c r="O2264">
        <v>0</v>
      </c>
      <c r="P2264">
        <v>0</v>
      </c>
      <c r="Q2264">
        <v>344</v>
      </c>
      <c r="R2264">
        <v>0.3</v>
      </c>
      <c r="S2264" t="s">
        <v>39</v>
      </c>
      <c r="T2264" s="1">
        <v>45771</v>
      </c>
      <c r="U2264">
        <v>0</v>
      </c>
    </row>
    <row r="2265" spans="1:21" x14ac:dyDescent="0.25">
      <c r="A2265" t="s">
        <v>2312</v>
      </c>
      <c r="B2265">
        <v>53</v>
      </c>
      <c r="C2265" t="s">
        <v>21</v>
      </c>
      <c r="D2265" t="s">
        <v>35</v>
      </c>
      <c r="E2265" t="s">
        <v>31</v>
      </c>
      <c r="F2265" t="s">
        <v>49</v>
      </c>
      <c r="G2265">
        <v>3469.98</v>
      </c>
      <c r="H2265">
        <v>1725.19</v>
      </c>
      <c r="I2265">
        <v>34854.660000000003</v>
      </c>
      <c r="J2265" t="s">
        <v>37</v>
      </c>
      <c r="K2265" t="s">
        <v>38</v>
      </c>
      <c r="L2265">
        <v>0</v>
      </c>
      <c r="M2265">
        <v>0</v>
      </c>
      <c r="N2265">
        <v>0</v>
      </c>
      <c r="O2265">
        <v>0</v>
      </c>
      <c r="P2265">
        <v>0</v>
      </c>
      <c r="Q2265">
        <v>844</v>
      </c>
      <c r="R2265">
        <v>0.84</v>
      </c>
      <c r="S2265" t="s">
        <v>27</v>
      </c>
      <c r="T2265" s="1">
        <v>45527</v>
      </c>
      <c r="U2265">
        <v>0</v>
      </c>
    </row>
    <row r="2266" spans="1:21" x14ac:dyDescent="0.25">
      <c r="A2266" t="s">
        <v>2313</v>
      </c>
      <c r="B2266">
        <v>21</v>
      </c>
      <c r="C2266" t="s">
        <v>29</v>
      </c>
      <c r="D2266" t="s">
        <v>35</v>
      </c>
      <c r="E2266" t="s">
        <v>31</v>
      </c>
      <c r="F2266" t="s">
        <v>63</v>
      </c>
      <c r="G2266">
        <v>5006.6099999999997</v>
      </c>
      <c r="H2266">
        <v>3327.78</v>
      </c>
      <c r="I2266">
        <v>19677.7</v>
      </c>
      <c r="J2266" t="s">
        <v>37</v>
      </c>
      <c r="K2266" t="s">
        <v>38</v>
      </c>
      <c r="L2266">
        <v>0</v>
      </c>
      <c r="M2266">
        <v>0</v>
      </c>
      <c r="N2266">
        <v>0</v>
      </c>
      <c r="O2266">
        <v>0</v>
      </c>
      <c r="P2266">
        <v>0</v>
      </c>
      <c r="Q2266">
        <v>543</v>
      </c>
      <c r="R2266">
        <v>0.33</v>
      </c>
      <c r="S2266" t="s">
        <v>72</v>
      </c>
      <c r="T2266" s="1">
        <v>45655</v>
      </c>
      <c r="U2266">
        <v>0</v>
      </c>
    </row>
    <row r="2267" spans="1:21" x14ac:dyDescent="0.25">
      <c r="A2267" t="s">
        <v>2314</v>
      </c>
      <c r="B2267">
        <v>36</v>
      </c>
      <c r="C2267" t="s">
        <v>21</v>
      </c>
      <c r="D2267" t="s">
        <v>56</v>
      </c>
      <c r="E2267" t="s">
        <v>51</v>
      </c>
      <c r="F2267" t="s">
        <v>49</v>
      </c>
      <c r="G2267">
        <v>5633.85</v>
      </c>
      <c r="H2267">
        <v>2073.36</v>
      </c>
      <c r="I2267">
        <v>22947.63</v>
      </c>
      <c r="J2267" t="s">
        <v>37</v>
      </c>
      <c r="K2267" t="s">
        <v>38</v>
      </c>
      <c r="L2267">
        <v>0</v>
      </c>
      <c r="M2267">
        <v>0</v>
      </c>
      <c r="N2267">
        <v>0</v>
      </c>
      <c r="O2267">
        <v>0</v>
      </c>
      <c r="P2267">
        <v>0</v>
      </c>
      <c r="Q2267">
        <v>818</v>
      </c>
      <c r="R2267">
        <v>0.34</v>
      </c>
      <c r="S2267" t="s">
        <v>30</v>
      </c>
      <c r="T2267" s="1">
        <v>44551</v>
      </c>
      <c r="U2267">
        <v>0</v>
      </c>
    </row>
    <row r="2268" spans="1:21" x14ac:dyDescent="0.25">
      <c r="A2268" t="s">
        <v>2315</v>
      </c>
      <c r="B2268">
        <v>31</v>
      </c>
      <c r="C2268" t="s">
        <v>29</v>
      </c>
      <c r="D2268" t="s">
        <v>41</v>
      </c>
      <c r="E2268" t="s">
        <v>49</v>
      </c>
      <c r="F2268" t="s">
        <v>36</v>
      </c>
      <c r="G2268">
        <v>2319.29</v>
      </c>
      <c r="H2268">
        <v>1873.54</v>
      </c>
      <c r="I2268">
        <v>20808.86</v>
      </c>
      <c r="J2268" t="s">
        <v>37</v>
      </c>
      <c r="K2268" t="s">
        <v>38</v>
      </c>
      <c r="L2268">
        <v>0</v>
      </c>
      <c r="M2268">
        <v>0</v>
      </c>
      <c r="N2268">
        <v>0</v>
      </c>
      <c r="O2268">
        <v>0</v>
      </c>
      <c r="P2268">
        <v>0</v>
      </c>
      <c r="Q2268">
        <v>709</v>
      </c>
      <c r="R2268">
        <v>0.75</v>
      </c>
      <c r="S2268" t="s">
        <v>27</v>
      </c>
      <c r="T2268" s="1">
        <v>44821</v>
      </c>
      <c r="U2268">
        <v>0</v>
      </c>
    </row>
    <row r="2269" spans="1:21" x14ac:dyDescent="0.25">
      <c r="A2269" t="s">
        <v>2316</v>
      </c>
      <c r="B2269">
        <v>53</v>
      </c>
      <c r="C2269" t="s">
        <v>29</v>
      </c>
      <c r="D2269" t="s">
        <v>41</v>
      </c>
      <c r="E2269" t="s">
        <v>31</v>
      </c>
      <c r="F2269" t="s">
        <v>63</v>
      </c>
      <c r="G2269">
        <v>6630.01</v>
      </c>
      <c r="H2269">
        <v>5818.22</v>
      </c>
      <c r="I2269">
        <v>45342.04</v>
      </c>
      <c r="J2269" t="s">
        <v>37</v>
      </c>
      <c r="K2269" t="s">
        <v>38</v>
      </c>
      <c r="L2269">
        <v>0</v>
      </c>
      <c r="M2269">
        <v>0</v>
      </c>
      <c r="N2269">
        <v>0</v>
      </c>
      <c r="O2269">
        <v>0</v>
      </c>
      <c r="P2269">
        <v>0</v>
      </c>
      <c r="Q2269">
        <v>312</v>
      </c>
      <c r="R2269">
        <v>0.56999999999999995</v>
      </c>
      <c r="S2269" t="s">
        <v>27</v>
      </c>
      <c r="T2269" s="1">
        <v>45677</v>
      </c>
      <c r="U2269">
        <v>0</v>
      </c>
    </row>
    <row r="2270" spans="1:21" x14ac:dyDescent="0.25">
      <c r="A2270" t="s">
        <v>2317</v>
      </c>
      <c r="B2270">
        <v>64</v>
      </c>
      <c r="C2270" t="s">
        <v>21</v>
      </c>
      <c r="D2270" t="s">
        <v>35</v>
      </c>
      <c r="E2270" t="s">
        <v>31</v>
      </c>
      <c r="F2270" t="s">
        <v>42</v>
      </c>
      <c r="G2270">
        <v>2945.29</v>
      </c>
      <c r="H2270">
        <v>1791.78</v>
      </c>
      <c r="I2270">
        <v>10349.59</v>
      </c>
      <c r="J2270" t="s">
        <v>37</v>
      </c>
      <c r="K2270" t="s">
        <v>38</v>
      </c>
      <c r="L2270">
        <v>0</v>
      </c>
      <c r="M2270">
        <v>0</v>
      </c>
      <c r="N2270">
        <v>0</v>
      </c>
      <c r="O2270">
        <v>0</v>
      </c>
      <c r="P2270">
        <v>0</v>
      </c>
      <c r="Q2270">
        <v>673</v>
      </c>
      <c r="R2270">
        <v>0.28999999999999998</v>
      </c>
      <c r="S2270" t="s">
        <v>39</v>
      </c>
      <c r="T2270" s="1">
        <v>45414</v>
      </c>
      <c r="U2270">
        <v>0</v>
      </c>
    </row>
    <row r="2271" spans="1:21" x14ac:dyDescent="0.25">
      <c r="A2271" t="s">
        <v>2318</v>
      </c>
      <c r="B2271">
        <v>41</v>
      </c>
      <c r="C2271" t="s">
        <v>30</v>
      </c>
      <c r="D2271" t="s">
        <v>41</v>
      </c>
      <c r="E2271" t="s">
        <v>31</v>
      </c>
      <c r="F2271" t="s">
        <v>36</v>
      </c>
      <c r="G2271">
        <v>3131.54</v>
      </c>
      <c r="H2271">
        <v>1625.59</v>
      </c>
      <c r="I2271">
        <v>7207.69</v>
      </c>
      <c r="J2271" t="s">
        <v>37</v>
      </c>
      <c r="K2271" t="s">
        <v>38</v>
      </c>
      <c r="L2271">
        <v>0</v>
      </c>
      <c r="M2271">
        <v>0</v>
      </c>
      <c r="N2271">
        <v>0</v>
      </c>
      <c r="O2271">
        <v>0</v>
      </c>
      <c r="P2271">
        <v>0</v>
      </c>
      <c r="Q2271">
        <v>572</v>
      </c>
      <c r="R2271">
        <v>0.19</v>
      </c>
      <c r="S2271" t="s">
        <v>30</v>
      </c>
      <c r="T2271" s="1">
        <v>44514</v>
      </c>
      <c r="U2271">
        <v>0</v>
      </c>
    </row>
    <row r="2272" spans="1:21" x14ac:dyDescent="0.25">
      <c r="A2272" t="s">
        <v>2319</v>
      </c>
      <c r="B2272">
        <v>20</v>
      </c>
      <c r="C2272" t="s">
        <v>29</v>
      </c>
      <c r="D2272" t="s">
        <v>41</v>
      </c>
      <c r="E2272" t="s">
        <v>31</v>
      </c>
      <c r="F2272" t="s">
        <v>49</v>
      </c>
      <c r="G2272">
        <v>4310.3599999999997</v>
      </c>
      <c r="H2272">
        <v>1558</v>
      </c>
      <c r="I2272">
        <v>26063.040000000001</v>
      </c>
      <c r="J2272" t="s">
        <v>25</v>
      </c>
      <c r="K2272" t="s">
        <v>45</v>
      </c>
      <c r="L2272">
        <v>259044.02</v>
      </c>
      <c r="M2272">
        <v>360</v>
      </c>
      <c r="N2272">
        <v>1920.67</v>
      </c>
      <c r="O2272">
        <v>8.11</v>
      </c>
      <c r="P2272">
        <v>0.45</v>
      </c>
      <c r="Q2272">
        <v>372</v>
      </c>
      <c r="R2272">
        <v>0.5</v>
      </c>
      <c r="S2272" t="s">
        <v>47</v>
      </c>
      <c r="T2272" s="1">
        <v>44748</v>
      </c>
      <c r="U2272">
        <v>1</v>
      </c>
    </row>
    <row r="2273" spans="1:21" x14ac:dyDescent="0.25">
      <c r="A2273" t="s">
        <v>2320</v>
      </c>
      <c r="B2273">
        <v>54</v>
      </c>
      <c r="C2273" t="s">
        <v>29</v>
      </c>
      <c r="D2273" t="s">
        <v>22</v>
      </c>
      <c r="E2273" t="s">
        <v>31</v>
      </c>
      <c r="F2273" t="s">
        <v>44</v>
      </c>
      <c r="G2273">
        <v>5414.15</v>
      </c>
      <c r="H2273">
        <v>4555.3</v>
      </c>
      <c r="I2273">
        <v>30672.87</v>
      </c>
      <c r="J2273" t="s">
        <v>37</v>
      </c>
      <c r="K2273" t="s">
        <v>38</v>
      </c>
      <c r="L2273">
        <v>0</v>
      </c>
      <c r="M2273">
        <v>0</v>
      </c>
      <c r="N2273">
        <v>0</v>
      </c>
      <c r="O2273">
        <v>0</v>
      </c>
      <c r="P2273">
        <v>0</v>
      </c>
      <c r="Q2273">
        <v>425</v>
      </c>
      <c r="R2273">
        <v>0.47</v>
      </c>
      <c r="S2273" t="s">
        <v>27</v>
      </c>
      <c r="T2273" s="1">
        <v>44806</v>
      </c>
      <c r="U2273">
        <v>0</v>
      </c>
    </row>
    <row r="2274" spans="1:21" x14ac:dyDescent="0.25">
      <c r="A2274" t="s">
        <v>2321</v>
      </c>
      <c r="B2274">
        <v>47</v>
      </c>
      <c r="C2274" t="s">
        <v>21</v>
      </c>
      <c r="D2274" t="s">
        <v>41</v>
      </c>
      <c r="E2274" t="s">
        <v>31</v>
      </c>
      <c r="F2274" t="s">
        <v>42</v>
      </c>
      <c r="G2274">
        <v>7596.9</v>
      </c>
      <c r="H2274">
        <v>2323.4699999999998</v>
      </c>
      <c r="I2274">
        <v>85699.64</v>
      </c>
      <c r="J2274" t="s">
        <v>37</v>
      </c>
      <c r="K2274" t="s">
        <v>38</v>
      </c>
      <c r="L2274">
        <v>0</v>
      </c>
      <c r="M2274">
        <v>0</v>
      </c>
      <c r="N2274">
        <v>0</v>
      </c>
      <c r="O2274">
        <v>0</v>
      </c>
      <c r="P2274">
        <v>0</v>
      </c>
      <c r="Q2274">
        <v>452</v>
      </c>
      <c r="R2274">
        <v>0.94</v>
      </c>
      <c r="S2274" t="s">
        <v>30</v>
      </c>
      <c r="T2274" s="1">
        <v>44432</v>
      </c>
      <c r="U2274">
        <v>0</v>
      </c>
    </row>
    <row r="2275" spans="1:21" x14ac:dyDescent="0.25">
      <c r="A2275" t="s">
        <v>2322</v>
      </c>
      <c r="B2275">
        <v>49</v>
      </c>
      <c r="C2275" t="s">
        <v>21</v>
      </c>
      <c r="D2275" t="s">
        <v>35</v>
      </c>
      <c r="E2275" t="s">
        <v>31</v>
      </c>
      <c r="F2275" t="s">
        <v>23</v>
      </c>
      <c r="G2275">
        <v>4698.38</v>
      </c>
      <c r="H2275">
        <v>2448.5</v>
      </c>
      <c r="I2275">
        <v>25951.45</v>
      </c>
      <c r="J2275" t="s">
        <v>25</v>
      </c>
      <c r="K2275" t="s">
        <v>45</v>
      </c>
      <c r="L2275">
        <v>490841.61</v>
      </c>
      <c r="M2275">
        <v>240</v>
      </c>
      <c r="N2275">
        <v>4828.1400000000003</v>
      </c>
      <c r="O2275">
        <v>10.28</v>
      </c>
      <c r="P2275">
        <v>1.03</v>
      </c>
      <c r="Q2275">
        <v>507</v>
      </c>
      <c r="R2275">
        <v>0.46</v>
      </c>
      <c r="S2275" t="s">
        <v>39</v>
      </c>
      <c r="T2275" s="1">
        <v>45079</v>
      </c>
      <c r="U2275">
        <v>1</v>
      </c>
    </row>
    <row r="2276" spans="1:21" x14ac:dyDescent="0.25">
      <c r="A2276" t="s">
        <v>2323</v>
      </c>
      <c r="B2276">
        <v>28</v>
      </c>
      <c r="C2276" t="s">
        <v>21</v>
      </c>
      <c r="D2276" t="s">
        <v>35</v>
      </c>
      <c r="E2276" t="s">
        <v>31</v>
      </c>
      <c r="F2276" t="s">
        <v>42</v>
      </c>
      <c r="G2276">
        <v>5760.9</v>
      </c>
      <c r="H2276">
        <v>2124.5100000000002</v>
      </c>
      <c r="I2276">
        <v>14225.05</v>
      </c>
      <c r="J2276" t="s">
        <v>37</v>
      </c>
      <c r="K2276" t="s">
        <v>38</v>
      </c>
      <c r="L2276">
        <v>0</v>
      </c>
      <c r="M2276">
        <v>0</v>
      </c>
      <c r="N2276">
        <v>0</v>
      </c>
      <c r="O2276">
        <v>0</v>
      </c>
      <c r="P2276">
        <v>0</v>
      </c>
      <c r="Q2276">
        <v>611</v>
      </c>
      <c r="R2276">
        <v>0.21</v>
      </c>
      <c r="S2276" t="s">
        <v>27</v>
      </c>
      <c r="T2276" s="1">
        <v>45152</v>
      </c>
      <c r="U2276">
        <v>0</v>
      </c>
    </row>
    <row r="2277" spans="1:21" x14ac:dyDescent="0.25">
      <c r="A2277" t="s">
        <v>2324</v>
      </c>
      <c r="B2277">
        <v>44</v>
      </c>
      <c r="C2277" t="s">
        <v>21</v>
      </c>
      <c r="D2277" t="s">
        <v>30</v>
      </c>
      <c r="E2277" t="s">
        <v>51</v>
      </c>
      <c r="F2277" t="s">
        <v>36</v>
      </c>
      <c r="G2277">
        <v>6176.89</v>
      </c>
      <c r="H2277">
        <v>4979.3599999999997</v>
      </c>
      <c r="I2277">
        <v>53137.91</v>
      </c>
      <c r="J2277" t="s">
        <v>25</v>
      </c>
      <c r="K2277" t="s">
        <v>33</v>
      </c>
      <c r="L2277">
        <v>274806.93</v>
      </c>
      <c r="M2277">
        <v>240</v>
      </c>
      <c r="N2277">
        <v>3133.82</v>
      </c>
      <c r="O2277">
        <v>12.56</v>
      </c>
      <c r="P2277">
        <v>0.51</v>
      </c>
      <c r="Q2277">
        <v>399</v>
      </c>
      <c r="R2277">
        <v>0.72</v>
      </c>
      <c r="S2277" t="s">
        <v>47</v>
      </c>
      <c r="T2277" s="1">
        <v>44605</v>
      </c>
      <c r="U2277">
        <v>1</v>
      </c>
    </row>
    <row r="2278" spans="1:21" x14ac:dyDescent="0.25">
      <c r="A2278" t="s">
        <v>2325</v>
      </c>
      <c r="B2278">
        <v>69</v>
      </c>
      <c r="C2278" t="s">
        <v>21</v>
      </c>
      <c r="D2278" t="s">
        <v>41</v>
      </c>
      <c r="E2278" t="s">
        <v>31</v>
      </c>
      <c r="F2278" t="s">
        <v>32</v>
      </c>
      <c r="G2278">
        <v>2836.2</v>
      </c>
      <c r="H2278">
        <v>1992.36</v>
      </c>
      <c r="I2278">
        <v>27189.54</v>
      </c>
      <c r="J2278" t="s">
        <v>37</v>
      </c>
      <c r="K2278" t="s">
        <v>38</v>
      </c>
      <c r="L2278">
        <v>0</v>
      </c>
      <c r="M2278">
        <v>0</v>
      </c>
      <c r="N2278">
        <v>0</v>
      </c>
      <c r="O2278">
        <v>0</v>
      </c>
      <c r="P2278">
        <v>0</v>
      </c>
      <c r="Q2278">
        <v>337</v>
      </c>
      <c r="R2278">
        <v>0.8</v>
      </c>
      <c r="S2278" t="s">
        <v>47</v>
      </c>
      <c r="T2278" s="1">
        <v>44850</v>
      </c>
      <c r="U2278">
        <v>0</v>
      </c>
    </row>
    <row r="2279" spans="1:21" x14ac:dyDescent="0.25">
      <c r="A2279" t="s">
        <v>2326</v>
      </c>
      <c r="B2279">
        <v>30</v>
      </c>
      <c r="C2279" t="s">
        <v>29</v>
      </c>
      <c r="D2279" t="s">
        <v>56</v>
      </c>
      <c r="E2279" t="s">
        <v>51</v>
      </c>
      <c r="F2279" t="s">
        <v>36</v>
      </c>
      <c r="G2279">
        <v>4706.66</v>
      </c>
      <c r="H2279">
        <v>1741.63</v>
      </c>
      <c r="I2279">
        <v>53125.95</v>
      </c>
      <c r="J2279" t="s">
        <v>37</v>
      </c>
      <c r="K2279" t="s">
        <v>38</v>
      </c>
      <c r="L2279">
        <v>0</v>
      </c>
      <c r="M2279">
        <v>0</v>
      </c>
      <c r="N2279">
        <v>0</v>
      </c>
      <c r="O2279">
        <v>0</v>
      </c>
      <c r="P2279">
        <v>0</v>
      </c>
      <c r="Q2279">
        <v>438</v>
      </c>
      <c r="R2279">
        <v>0.94</v>
      </c>
      <c r="S2279" t="s">
        <v>27</v>
      </c>
      <c r="T2279" s="1">
        <v>44689</v>
      </c>
      <c r="U2279">
        <v>0</v>
      </c>
    </row>
    <row r="2280" spans="1:21" x14ac:dyDescent="0.25">
      <c r="A2280" t="s">
        <v>2327</v>
      </c>
      <c r="B2280">
        <v>34</v>
      </c>
      <c r="C2280" t="s">
        <v>29</v>
      </c>
      <c r="D2280" t="s">
        <v>41</v>
      </c>
      <c r="E2280" t="s">
        <v>31</v>
      </c>
      <c r="F2280" t="s">
        <v>36</v>
      </c>
      <c r="G2280">
        <v>5103.84</v>
      </c>
      <c r="H2280">
        <v>4290.0600000000004</v>
      </c>
      <c r="I2280">
        <v>57427.97</v>
      </c>
      <c r="J2280" t="s">
        <v>25</v>
      </c>
      <c r="K2280" t="s">
        <v>26</v>
      </c>
      <c r="L2280">
        <v>169349.77</v>
      </c>
      <c r="M2280">
        <v>240</v>
      </c>
      <c r="N2280">
        <v>2561.58</v>
      </c>
      <c r="O2280">
        <v>17.600000000000001</v>
      </c>
      <c r="P2280">
        <v>0.5</v>
      </c>
      <c r="Q2280">
        <v>815</v>
      </c>
      <c r="R2280">
        <v>0.94</v>
      </c>
      <c r="S2280" t="s">
        <v>27</v>
      </c>
      <c r="T2280" s="1">
        <v>45342</v>
      </c>
      <c r="U2280">
        <v>1</v>
      </c>
    </row>
    <row r="2281" spans="1:21" x14ac:dyDescent="0.25">
      <c r="A2281" t="s">
        <v>2328</v>
      </c>
      <c r="B2281">
        <v>67</v>
      </c>
      <c r="C2281" t="s">
        <v>29</v>
      </c>
      <c r="D2281" t="s">
        <v>41</v>
      </c>
      <c r="E2281" t="s">
        <v>51</v>
      </c>
      <c r="F2281" t="s">
        <v>49</v>
      </c>
      <c r="G2281">
        <v>4086.58</v>
      </c>
      <c r="H2281">
        <v>3557.06</v>
      </c>
      <c r="I2281">
        <v>14576.88</v>
      </c>
      <c r="J2281" t="s">
        <v>25</v>
      </c>
      <c r="K2281" t="s">
        <v>45</v>
      </c>
      <c r="L2281">
        <v>249131.85</v>
      </c>
      <c r="M2281">
        <v>180</v>
      </c>
      <c r="N2281">
        <v>2274.23</v>
      </c>
      <c r="O2281">
        <v>7.25</v>
      </c>
      <c r="P2281">
        <v>0.56000000000000005</v>
      </c>
      <c r="Q2281">
        <v>848</v>
      </c>
      <c r="R2281">
        <v>0.3</v>
      </c>
      <c r="S2281" t="s">
        <v>72</v>
      </c>
      <c r="T2281" s="1">
        <v>45087</v>
      </c>
      <c r="U2281">
        <v>1</v>
      </c>
    </row>
    <row r="2282" spans="1:21" x14ac:dyDescent="0.25">
      <c r="A2282" t="s">
        <v>2329</v>
      </c>
      <c r="B2282">
        <v>25</v>
      </c>
      <c r="C2282" t="s">
        <v>21</v>
      </c>
      <c r="D2282" t="s">
        <v>41</v>
      </c>
      <c r="E2282" t="s">
        <v>31</v>
      </c>
      <c r="F2282" t="s">
        <v>32</v>
      </c>
      <c r="G2282">
        <v>995.94</v>
      </c>
      <c r="H2282">
        <v>754.49</v>
      </c>
      <c r="I2282">
        <v>7236.06</v>
      </c>
      <c r="J2282" t="s">
        <v>37</v>
      </c>
      <c r="K2282" t="s">
        <v>38</v>
      </c>
      <c r="L2282">
        <v>0</v>
      </c>
      <c r="M2282">
        <v>0</v>
      </c>
      <c r="N2282">
        <v>0</v>
      </c>
      <c r="O2282">
        <v>0</v>
      </c>
      <c r="P2282">
        <v>0</v>
      </c>
      <c r="Q2282">
        <v>847</v>
      </c>
      <c r="R2282">
        <v>0.61</v>
      </c>
      <c r="S2282" t="s">
        <v>30</v>
      </c>
      <c r="T2282" s="1">
        <v>45767</v>
      </c>
      <c r="U2282">
        <v>0</v>
      </c>
    </row>
    <row r="2283" spans="1:21" x14ac:dyDescent="0.25">
      <c r="A2283" t="s">
        <v>2330</v>
      </c>
      <c r="B2283">
        <v>60</v>
      </c>
      <c r="C2283" t="s">
        <v>21</v>
      </c>
      <c r="D2283" t="s">
        <v>41</v>
      </c>
      <c r="E2283" t="s">
        <v>51</v>
      </c>
      <c r="F2283" t="s">
        <v>49</v>
      </c>
      <c r="G2283">
        <v>4760.95</v>
      </c>
      <c r="H2283">
        <v>2551.04</v>
      </c>
      <c r="I2283">
        <v>7283.8</v>
      </c>
      <c r="J2283" t="s">
        <v>37</v>
      </c>
      <c r="K2283" t="s">
        <v>38</v>
      </c>
      <c r="L2283">
        <v>0</v>
      </c>
      <c r="M2283">
        <v>0</v>
      </c>
      <c r="N2283">
        <v>0</v>
      </c>
      <c r="O2283">
        <v>0</v>
      </c>
      <c r="P2283">
        <v>0</v>
      </c>
      <c r="Q2283">
        <v>443</v>
      </c>
      <c r="R2283">
        <v>0.13</v>
      </c>
      <c r="S2283" t="s">
        <v>72</v>
      </c>
      <c r="T2283" s="1">
        <v>44694</v>
      </c>
      <c r="U2283">
        <v>0</v>
      </c>
    </row>
    <row r="2284" spans="1:21" x14ac:dyDescent="0.25">
      <c r="A2284" t="s">
        <v>2331</v>
      </c>
      <c r="B2284">
        <v>30</v>
      </c>
      <c r="C2284" t="s">
        <v>29</v>
      </c>
      <c r="D2284" t="s">
        <v>35</v>
      </c>
      <c r="E2284" t="s">
        <v>23</v>
      </c>
      <c r="F2284" t="s">
        <v>52</v>
      </c>
      <c r="G2284">
        <v>1856.12</v>
      </c>
      <c r="H2284">
        <v>1396.45</v>
      </c>
      <c r="I2284">
        <v>2698.29</v>
      </c>
      <c r="J2284" t="s">
        <v>37</v>
      </c>
      <c r="K2284" t="s">
        <v>38</v>
      </c>
      <c r="L2284">
        <v>0</v>
      </c>
      <c r="M2284">
        <v>0</v>
      </c>
      <c r="N2284">
        <v>0</v>
      </c>
      <c r="O2284">
        <v>0</v>
      </c>
      <c r="P2284">
        <v>0</v>
      </c>
      <c r="Q2284">
        <v>750</v>
      </c>
      <c r="R2284">
        <v>0.12</v>
      </c>
      <c r="S2284" t="s">
        <v>47</v>
      </c>
      <c r="T2284" s="1">
        <v>44486</v>
      </c>
      <c r="U2284">
        <v>0</v>
      </c>
    </row>
    <row r="2285" spans="1:21" x14ac:dyDescent="0.25">
      <c r="A2285" t="s">
        <v>2332</v>
      </c>
      <c r="B2285">
        <v>55</v>
      </c>
      <c r="C2285" t="s">
        <v>29</v>
      </c>
      <c r="D2285" t="s">
        <v>41</v>
      </c>
      <c r="E2285" t="s">
        <v>31</v>
      </c>
      <c r="F2285" t="s">
        <v>24</v>
      </c>
      <c r="G2285">
        <v>5606.86</v>
      </c>
      <c r="H2285">
        <v>4460.3</v>
      </c>
      <c r="I2285">
        <v>51907.94</v>
      </c>
      <c r="J2285" t="s">
        <v>37</v>
      </c>
      <c r="K2285" t="s">
        <v>38</v>
      </c>
      <c r="L2285">
        <v>0</v>
      </c>
      <c r="M2285">
        <v>0</v>
      </c>
      <c r="N2285">
        <v>0</v>
      </c>
      <c r="O2285">
        <v>0</v>
      </c>
      <c r="P2285">
        <v>0</v>
      </c>
      <c r="Q2285">
        <v>381</v>
      </c>
      <c r="R2285">
        <v>0.77</v>
      </c>
      <c r="S2285" t="s">
        <v>27</v>
      </c>
      <c r="T2285" s="1">
        <v>45767</v>
      </c>
      <c r="U2285">
        <v>0</v>
      </c>
    </row>
    <row r="2286" spans="1:21" x14ac:dyDescent="0.25">
      <c r="A2286" t="s">
        <v>2333</v>
      </c>
      <c r="B2286">
        <v>28</v>
      </c>
      <c r="C2286" t="s">
        <v>29</v>
      </c>
      <c r="D2286" t="s">
        <v>41</v>
      </c>
      <c r="E2286" t="s">
        <v>51</v>
      </c>
      <c r="F2286" t="s">
        <v>24</v>
      </c>
      <c r="G2286">
        <v>4352.08</v>
      </c>
      <c r="H2286">
        <v>3740.67</v>
      </c>
      <c r="I2286">
        <v>33014.68</v>
      </c>
      <c r="J2286" t="s">
        <v>37</v>
      </c>
      <c r="K2286" t="s">
        <v>38</v>
      </c>
      <c r="L2286">
        <v>0</v>
      </c>
      <c r="M2286">
        <v>0</v>
      </c>
      <c r="N2286">
        <v>0</v>
      </c>
      <c r="O2286">
        <v>0</v>
      </c>
      <c r="P2286">
        <v>0</v>
      </c>
      <c r="Q2286">
        <v>842</v>
      </c>
      <c r="R2286">
        <v>0.63</v>
      </c>
      <c r="S2286" t="s">
        <v>27</v>
      </c>
      <c r="T2286" s="1">
        <v>45590</v>
      </c>
      <c r="U2286">
        <v>0</v>
      </c>
    </row>
    <row r="2287" spans="1:21" x14ac:dyDescent="0.25">
      <c r="A2287" t="s">
        <v>2334</v>
      </c>
      <c r="B2287">
        <v>68</v>
      </c>
      <c r="C2287" t="s">
        <v>29</v>
      </c>
      <c r="D2287" t="s">
        <v>41</v>
      </c>
      <c r="E2287" t="s">
        <v>31</v>
      </c>
      <c r="F2287" t="s">
        <v>23</v>
      </c>
      <c r="G2287">
        <v>6588.17</v>
      </c>
      <c r="H2287">
        <v>3382.98</v>
      </c>
      <c r="I2287">
        <v>48702.01</v>
      </c>
      <c r="J2287" t="s">
        <v>37</v>
      </c>
      <c r="K2287" t="s">
        <v>38</v>
      </c>
      <c r="L2287">
        <v>0</v>
      </c>
      <c r="M2287">
        <v>0</v>
      </c>
      <c r="N2287">
        <v>0</v>
      </c>
      <c r="O2287">
        <v>0</v>
      </c>
      <c r="P2287">
        <v>0</v>
      </c>
      <c r="Q2287">
        <v>373</v>
      </c>
      <c r="R2287">
        <v>0.62</v>
      </c>
      <c r="S2287" t="s">
        <v>47</v>
      </c>
      <c r="T2287" s="1">
        <v>45843</v>
      </c>
      <c r="U2287">
        <v>0</v>
      </c>
    </row>
    <row r="2288" spans="1:21" x14ac:dyDescent="0.25">
      <c r="A2288" t="s">
        <v>2335</v>
      </c>
      <c r="B2288">
        <v>24</v>
      </c>
      <c r="C2288" t="s">
        <v>29</v>
      </c>
      <c r="D2288" t="s">
        <v>41</v>
      </c>
      <c r="E2288" t="s">
        <v>51</v>
      </c>
      <c r="F2288" t="s">
        <v>49</v>
      </c>
      <c r="G2288">
        <v>3044.62</v>
      </c>
      <c r="H2288">
        <v>1355.51</v>
      </c>
      <c r="I2288">
        <v>20124.11</v>
      </c>
      <c r="J2288" t="s">
        <v>37</v>
      </c>
      <c r="K2288" t="s">
        <v>38</v>
      </c>
      <c r="L2288">
        <v>0</v>
      </c>
      <c r="M2288">
        <v>0</v>
      </c>
      <c r="N2288">
        <v>0</v>
      </c>
      <c r="O2288">
        <v>0</v>
      </c>
      <c r="P2288">
        <v>0</v>
      </c>
      <c r="Q2288">
        <v>841</v>
      </c>
      <c r="R2288">
        <v>0.55000000000000004</v>
      </c>
      <c r="S2288" t="s">
        <v>30</v>
      </c>
      <c r="T2288" s="1">
        <v>45151</v>
      </c>
      <c r="U2288">
        <v>0</v>
      </c>
    </row>
    <row r="2289" spans="1:21" x14ac:dyDescent="0.25">
      <c r="A2289" t="s">
        <v>2336</v>
      </c>
      <c r="B2289">
        <v>64</v>
      </c>
      <c r="C2289" t="s">
        <v>29</v>
      </c>
      <c r="D2289" t="s">
        <v>35</v>
      </c>
      <c r="E2289" t="s">
        <v>51</v>
      </c>
      <c r="F2289" t="s">
        <v>24</v>
      </c>
      <c r="G2289">
        <v>2862.21</v>
      </c>
      <c r="H2289">
        <v>2123.27</v>
      </c>
      <c r="I2289">
        <v>3451.72</v>
      </c>
      <c r="J2289" t="s">
        <v>25</v>
      </c>
      <c r="K2289" t="s">
        <v>54</v>
      </c>
      <c r="L2289">
        <v>321644.63</v>
      </c>
      <c r="M2289">
        <v>240</v>
      </c>
      <c r="N2289">
        <v>2478.29</v>
      </c>
      <c r="O2289">
        <v>6.92</v>
      </c>
      <c r="P2289">
        <v>0.87</v>
      </c>
      <c r="Q2289">
        <v>550</v>
      </c>
      <c r="R2289">
        <v>0.1</v>
      </c>
      <c r="S2289" t="s">
        <v>27</v>
      </c>
      <c r="T2289" s="1">
        <v>44779</v>
      </c>
      <c r="U2289">
        <v>1</v>
      </c>
    </row>
    <row r="2290" spans="1:21" x14ac:dyDescent="0.25">
      <c r="A2290" t="s">
        <v>2337</v>
      </c>
      <c r="B2290">
        <v>52</v>
      </c>
      <c r="C2290" t="s">
        <v>29</v>
      </c>
      <c r="D2290" t="s">
        <v>41</v>
      </c>
      <c r="E2290" t="s">
        <v>31</v>
      </c>
      <c r="F2290" t="s">
        <v>36</v>
      </c>
      <c r="G2290">
        <v>4313.96</v>
      </c>
      <c r="H2290">
        <v>2932.27</v>
      </c>
      <c r="I2290">
        <v>39916.1</v>
      </c>
      <c r="J2290" t="s">
        <v>37</v>
      </c>
      <c r="K2290" t="s">
        <v>38</v>
      </c>
      <c r="L2290">
        <v>0</v>
      </c>
      <c r="M2290">
        <v>0</v>
      </c>
      <c r="N2290">
        <v>0</v>
      </c>
      <c r="O2290">
        <v>0</v>
      </c>
      <c r="P2290">
        <v>0</v>
      </c>
      <c r="Q2290">
        <v>389</v>
      </c>
      <c r="R2290">
        <v>0.77</v>
      </c>
      <c r="S2290" t="s">
        <v>39</v>
      </c>
      <c r="T2290" s="1">
        <v>45378</v>
      </c>
      <c r="U2290">
        <v>0</v>
      </c>
    </row>
    <row r="2291" spans="1:21" x14ac:dyDescent="0.25">
      <c r="A2291" t="s">
        <v>2338</v>
      </c>
      <c r="B2291">
        <v>65</v>
      </c>
      <c r="C2291" t="s">
        <v>29</v>
      </c>
      <c r="D2291" t="s">
        <v>35</v>
      </c>
      <c r="E2291" t="s">
        <v>31</v>
      </c>
      <c r="F2291" t="s">
        <v>42</v>
      </c>
      <c r="G2291">
        <v>5966.65</v>
      </c>
      <c r="H2291">
        <v>4863.3900000000003</v>
      </c>
      <c r="I2291">
        <v>18715.53</v>
      </c>
      <c r="J2291" t="s">
        <v>37</v>
      </c>
      <c r="K2291" t="s">
        <v>38</v>
      </c>
      <c r="L2291">
        <v>0</v>
      </c>
      <c r="M2291">
        <v>0</v>
      </c>
      <c r="N2291">
        <v>0</v>
      </c>
      <c r="O2291">
        <v>0</v>
      </c>
      <c r="P2291">
        <v>0</v>
      </c>
      <c r="Q2291">
        <v>415</v>
      </c>
      <c r="R2291">
        <v>0.26</v>
      </c>
      <c r="S2291" t="s">
        <v>39</v>
      </c>
      <c r="T2291" s="1">
        <v>45143</v>
      </c>
      <c r="U2291">
        <v>0</v>
      </c>
    </row>
    <row r="2292" spans="1:21" x14ac:dyDescent="0.25">
      <c r="A2292" t="s">
        <v>2339</v>
      </c>
      <c r="B2292">
        <v>68</v>
      </c>
      <c r="C2292" t="s">
        <v>29</v>
      </c>
      <c r="D2292" t="s">
        <v>41</v>
      </c>
      <c r="E2292" t="s">
        <v>31</v>
      </c>
      <c r="F2292" t="s">
        <v>44</v>
      </c>
      <c r="G2292">
        <v>2287.94</v>
      </c>
      <c r="H2292">
        <v>2009.2</v>
      </c>
      <c r="I2292">
        <v>18650.5</v>
      </c>
      <c r="J2292" t="s">
        <v>37</v>
      </c>
      <c r="K2292" t="s">
        <v>38</v>
      </c>
      <c r="L2292">
        <v>0</v>
      </c>
      <c r="M2292">
        <v>0</v>
      </c>
      <c r="N2292">
        <v>0</v>
      </c>
      <c r="O2292">
        <v>0</v>
      </c>
      <c r="P2292">
        <v>0</v>
      </c>
      <c r="Q2292">
        <v>587</v>
      </c>
      <c r="R2292">
        <v>0.68</v>
      </c>
      <c r="S2292" t="s">
        <v>72</v>
      </c>
      <c r="T2292" s="1">
        <v>45624</v>
      </c>
      <c r="U2292">
        <v>0</v>
      </c>
    </row>
    <row r="2293" spans="1:21" x14ac:dyDescent="0.25">
      <c r="A2293" t="s">
        <v>2340</v>
      </c>
      <c r="B2293">
        <v>59</v>
      </c>
      <c r="C2293" t="s">
        <v>21</v>
      </c>
      <c r="D2293" t="s">
        <v>35</v>
      </c>
      <c r="E2293" t="s">
        <v>31</v>
      </c>
      <c r="F2293" t="s">
        <v>49</v>
      </c>
      <c r="G2293">
        <v>1944.63</v>
      </c>
      <c r="H2293">
        <v>1433.7</v>
      </c>
      <c r="I2293">
        <v>15717.4</v>
      </c>
      <c r="J2293" t="s">
        <v>25</v>
      </c>
      <c r="K2293" t="s">
        <v>45</v>
      </c>
      <c r="L2293">
        <v>111932.25</v>
      </c>
      <c r="M2293">
        <v>36</v>
      </c>
      <c r="N2293">
        <v>3693.74</v>
      </c>
      <c r="O2293">
        <v>11.55</v>
      </c>
      <c r="P2293">
        <v>1.9</v>
      </c>
      <c r="Q2293">
        <v>758</v>
      </c>
      <c r="R2293">
        <v>0.67</v>
      </c>
      <c r="S2293" t="s">
        <v>30</v>
      </c>
      <c r="T2293" s="1">
        <v>44969</v>
      </c>
      <c r="U2293">
        <v>1</v>
      </c>
    </row>
    <row r="2294" spans="1:21" x14ac:dyDescent="0.25">
      <c r="A2294" t="s">
        <v>2341</v>
      </c>
      <c r="B2294">
        <v>25</v>
      </c>
      <c r="C2294" t="s">
        <v>29</v>
      </c>
      <c r="D2294" t="s">
        <v>41</v>
      </c>
      <c r="E2294" t="s">
        <v>31</v>
      </c>
      <c r="F2294" t="s">
        <v>63</v>
      </c>
      <c r="G2294">
        <v>3572.11</v>
      </c>
      <c r="H2294">
        <v>2537.65</v>
      </c>
      <c r="I2294">
        <v>40829.5</v>
      </c>
      <c r="J2294" t="s">
        <v>25</v>
      </c>
      <c r="K2294" t="s">
        <v>45</v>
      </c>
      <c r="L2294">
        <v>227078.12</v>
      </c>
      <c r="M2294">
        <v>180</v>
      </c>
      <c r="N2294">
        <v>2742.87</v>
      </c>
      <c r="O2294">
        <v>12.12</v>
      </c>
      <c r="P2294">
        <v>0.77</v>
      </c>
      <c r="Q2294">
        <v>535</v>
      </c>
      <c r="R2294">
        <v>0.95</v>
      </c>
      <c r="S2294" t="s">
        <v>72</v>
      </c>
      <c r="T2294" s="1">
        <v>44557</v>
      </c>
      <c r="U2294">
        <v>1</v>
      </c>
    </row>
    <row r="2295" spans="1:21" x14ac:dyDescent="0.25">
      <c r="A2295" t="s">
        <v>2342</v>
      </c>
      <c r="B2295">
        <v>63</v>
      </c>
      <c r="C2295" t="s">
        <v>29</v>
      </c>
      <c r="D2295" t="s">
        <v>30</v>
      </c>
      <c r="E2295" t="s">
        <v>51</v>
      </c>
      <c r="F2295" t="s">
        <v>63</v>
      </c>
      <c r="G2295">
        <v>2496.2199999999998</v>
      </c>
      <c r="H2295">
        <v>1432.67</v>
      </c>
      <c r="I2295">
        <v>19176.86</v>
      </c>
      <c r="J2295" t="s">
        <v>37</v>
      </c>
      <c r="K2295" t="s">
        <v>38</v>
      </c>
      <c r="L2295">
        <v>0</v>
      </c>
      <c r="M2295">
        <v>0</v>
      </c>
      <c r="N2295">
        <v>0</v>
      </c>
      <c r="O2295">
        <v>0</v>
      </c>
      <c r="P2295">
        <v>0</v>
      </c>
      <c r="Q2295">
        <v>728</v>
      </c>
      <c r="R2295">
        <v>0.64</v>
      </c>
      <c r="S2295" t="s">
        <v>39</v>
      </c>
      <c r="T2295" s="1">
        <v>45826</v>
      </c>
      <c r="U2295">
        <v>0</v>
      </c>
    </row>
    <row r="2296" spans="1:21" x14ac:dyDescent="0.25">
      <c r="A2296" t="s">
        <v>2343</v>
      </c>
      <c r="B2296">
        <v>49</v>
      </c>
      <c r="C2296" t="s">
        <v>29</v>
      </c>
      <c r="D2296" t="s">
        <v>41</v>
      </c>
      <c r="E2296" t="s">
        <v>23</v>
      </c>
      <c r="F2296" t="s">
        <v>36</v>
      </c>
      <c r="G2296">
        <v>5528.2</v>
      </c>
      <c r="H2296">
        <v>4600.0600000000004</v>
      </c>
      <c r="I2296">
        <v>47729.98</v>
      </c>
      <c r="J2296" t="s">
        <v>37</v>
      </c>
      <c r="K2296" t="s">
        <v>38</v>
      </c>
      <c r="L2296">
        <v>0</v>
      </c>
      <c r="M2296">
        <v>0</v>
      </c>
      <c r="N2296">
        <v>0</v>
      </c>
      <c r="O2296">
        <v>0</v>
      </c>
      <c r="P2296">
        <v>0</v>
      </c>
      <c r="Q2296">
        <v>707</v>
      </c>
      <c r="R2296">
        <v>0.72</v>
      </c>
      <c r="S2296" t="s">
        <v>27</v>
      </c>
      <c r="T2296" s="1">
        <v>44949</v>
      </c>
      <c r="U2296">
        <v>0</v>
      </c>
    </row>
    <row r="2297" spans="1:21" x14ac:dyDescent="0.25">
      <c r="A2297" t="s">
        <v>2344</v>
      </c>
      <c r="B2297">
        <v>18</v>
      </c>
      <c r="C2297" t="s">
        <v>29</v>
      </c>
      <c r="D2297" t="s">
        <v>30</v>
      </c>
      <c r="E2297" t="s">
        <v>31</v>
      </c>
      <c r="F2297" t="s">
        <v>49</v>
      </c>
      <c r="G2297">
        <v>6020.19</v>
      </c>
      <c r="H2297">
        <v>3566.32</v>
      </c>
      <c r="I2297">
        <v>60999.64</v>
      </c>
      <c r="J2297" t="s">
        <v>37</v>
      </c>
      <c r="K2297" t="s">
        <v>38</v>
      </c>
      <c r="L2297">
        <v>0</v>
      </c>
      <c r="M2297">
        <v>0</v>
      </c>
      <c r="N2297">
        <v>0</v>
      </c>
      <c r="O2297">
        <v>0</v>
      </c>
      <c r="P2297">
        <v>0</v>
      </c>
      <c r="Q2297">
        <v>793</v>
      </c>
      <c r="R2297">
        <v>0.84</v>
      </c>
      <c r="S2297" t="s">
        <v>47</v>
      </c>
      <c r="T2297" s="1">
        <v>44854</v>
      </c>
      <c r="U2297">
        <v>0</v>
      </c>
    </row>
    <row r="2298" spans="1:21" x14ac:dyDescent="0.25">
      <c r="A2298" t="s">
        <v>2345</v>
      </c>
      <c r="B2298">
        <v>47</v>
      </c>
      <c r="C2298" t="s">
        <v>21</v>
      </c>
      <c r="D2298" t="s">
        <v>35</v>
      </c>
      <c r="E2298" t="s">
        <v>31</v>
      </c>
      <c r="F2298" t="s">
        <v>49</v>
      </c>
      <c r="G2298">
        <v>4845.0200000000004</v>
      </c>
      <c r="H2298">
        <v>3413</v>
      </c>
      <c r="I2298">
        <v>22071.23</v>
      </c>
      <c r="J2298" t="s">
        <v>37</v>
      </c>
      <c r="K2298" t="s">
        <v>38</v>
      </c>
      <c r="L2298">
        <v>0</v>
      </c>
      <c r="M2298">
        <v>0</v>
      </c>
      <c r="N2298">
        <v>0</v>
      </c>
      <c r="O2298">
        <v>0</v>
      </c>
      <c r="P2298">
        <v>0</v>
      </c>
      <c r="Q2298">
        <v>445</v>
      </c>
      <c r="R2298">
        <v>0.38</v>
      </c>
      <c r="S2298" t="s">
        <v>39</v>
      </c>
      <c r="T2298" s="1">
        <v>44479</v>
      </c>
      <c r="U2298">
        <v>0</v>
      </c>
    </row>
    <row r="2299" spans="1:21" x14ac:dyDescent="0.25">
      <c r="A2299" t="s">
        <v>2346</v>
      </c>
      <c r="B2299">
        <v>54</v>
      </c>
      <c r="C2299" t="s">
        <v>21</v>
      </c>
      <c r="D2299" t="s">
        <v>22</v>
      </c>
      <c r="E2299" t="s">
        <v>31</v>
      </c>
      <c r="F2299" t="s">
        <v>23</v>
      </c>
      <c r="G2299">
        <v>1880.86</v>
      </c>
      <c r="H2299">
        <v>572.38</v>
      </c>
      <c r="I2299">
        <v>5541.07</v>
      </c>
      <c r="J2299" t="s">
        <v>37</v>
      </c>
      <c r="K2299" t="s">
        <v>38</v>
      </c>
      <c r="L2299">
        <v>0</v>
      </c>
      <c r="M2299">
        <v>0</v>
      </c>
      <c r="N2299">
        <v>0</v>
      </c>
      <c r="O2299">
        <v>0</v>
      </c>
      <c r="P2299">
        <v>0</v>
      </c>
      <c r="Q2299">
        <v>565</v>
      </c>
      <c r="R2299">
        <v>0.25</v>
      </c>
      <c r="S2299" t="s">
        <v>27</v>
      </c>
      <c r="T2299" s="1">
        <v>44607</v>
      </c>
      <c r="U2299">
        <v>0</v>
      </c>
    </row>
    <row r="2300" spans="1:21" x14ac:dyDescent="0.25">
      <c r="A2300" t="s">
        <v>2347</v>
      </c>
      <c r="B2300">
        <v>49</v>
      </c>
      <c r="C2300" t="s">
        <v>21</v>
      </c>
      <c r="D2300" t="s">
        <v>35</v>
      </c>
      <c r="E2300" t="s">
        <v>31</v>
      </c>
      <c r="F2300" t="s">
        <v>52</v>
      </c>
      <c r="G2300">
        <v>5531.68</v>
      </c>
      <c r="H2300">
        <v>4935.5</v>
      </c>
      <c r="I2300">
        <v>25037.51</v>
      </c>
      <c r="J2300" t="s">
        <v>37</v>
      </c>
      <c r="K2300" t="s">
        <v>38</v>
      </c>
      <c r="L2300">
        <v>0</v>
      </c>
      <c r="M2300">
        <v>0</v>
      </c>
      <c r="N2300">
        <v>0</v>
      </c>
      <c r="O2300">
        <v>0</v>
      </c>
      <c r="P2300">
        <v>0</v>
      </c>
      <c r="Q2300">
        <v>361</v>
      </c>
      <c r="R2300">
        <v>0.38</v>
      </c>
      <c r="S2300" t="s">
        <v>27</v>
      </c>
      <c r="T2300" s="1">
        <v>45141</v>
      </c>
      <c r="U2300">
        <v>0</v>
      </c>
    </row>
    <row r="2301" spans="1:21" x14ac:dyDescent="0.25">
      <c r="A2301" t="s">
        <v>2348</v>
      </c>
      <c r="B2301">
        <v>69</v>
      </c>
      <c r="C2301" t="s">
        <v>29</v>
      </c>
      <c r="D2301" t="s">
        <v>35</v>
      </c>
      <c r="E2301" t="s">
        <v>31</v>
      </c>
      <c r="F2301" t="s">
        <v>36</v>
      </c>
      <c r="G2301">
        <v>961.45</v>
      </c>
      <c r="H2301">
        <v>491.95</v>
      </c>
      <c r="I2301">
        <v>6599.22</v>
      </c>
      <c r="J2301" t="s">
        <v>37</v>
      </c>
      <c r="K2301" t="s">
        <v>38</v>
      </c>
      <c r="L2301">
        <v>0</v>
      </c>
      <c r="M2301">
        <v>0</v>
      </c>
      <c r="N2301">
        <v>0</v>
      </c>
      <c r="O2301">
        <v>0</v>
      </c>
      <c r="P2301">
        <v>0</v>
      </c>
      <c r="Q2301">
        <v>662</v>
      </c>
      <c r="R2301">
        <v>0.56999999999999995</v>
      </c>
      <c r="S2301" t="s">
        <v>30</v>
      </c>
      <c r="T2301" s="1">
        <v>45138</v>
      </c>
      <c r="U2301">
        <v>0</v>
      </c>
    </row>
    <row r="2302" spans="1:21" x14ac:dyDescent="0.25">
      <c r="A2302" t="s">
        <v>2349</v>
      </c>
      <c r="B2302">
        <v>55</v>
      </c>
      <c r="C2302" t="s">
        <v>29</v>
      </c>
      <c r="D2302" t="s">
        <v>22</v>
      </c>
      <c r="E2302" t="s">
        <v>31</v>
      </c>
      <c r="F2302" t="s">
        <v>44</v>
      </c>
      <c r="G2302">
        <v>5389.67</v>
      </c>
      <c r="H2302">
        <v>2766.35</v>
      </c>
      <c r="I2302">
        <v>63413.27</v>
      </c>
      <c r="J2302" t="s">
        <v>25</v>
      </c>
      <c r="K2302" t="s">
        <v>33</v>
      </c>
      <c r="L2302">
        <v>286864.67</v>
      </c>
      <c r="M2302">
        <v>36</v>
      </c>
      <c r="N2302">
        <v>8393.0400000000009</v>
      </c>
      <c r="O2302">
        <v>3.4</v>
      </c>
      <c r="P2302">
        <v>1.56</v>
      </c>
      <c r="Q2302">
        <v>505</v>
      </c>
      <c r="R2302">
        <v>0.98</v>
      </c>
      <c r="S2302" t="s">
        <v>39</v>
      </c>
      <c r="T2302" s="1">
        <v>45150</v>
      </c>
      <c r="U2302">
        <v>1</v>
      </c>
    </row>
    <row r="2303" spans="1:21" x14ac:dyDescent="0.25">
      <c r="A2303" t="s">
        <v>2350</v>
      </c>
      <c r="B2303">
        <v>66</v>
      </c>
      <c r="C2303" t="s">
        <v>29</v>
      </c>
      <c r="D2303" t="s">
        <v>22</v>
      </c>
      <c r="E2303" t="s">
        <v>31</v>
      </c>
      <c r="F2303" t="s">
        <v>24</v>
      </c>
      <c r="G2303">
        <v>4026.44</v>
      </c>
      <c r="H2303">
        <v>1832.92</v>
      </c>
      <c r="I2303">
        <v>38408.9</v>
      </c>
      <c r="J2303" t="s">
        <v>37</v>
      </c>
      <c r="K2303" t="s">
        <v>38</v>
      </c>
      <c r="L2303">
        <v>0</v>
      </c>
      <c r="M2303">
        <v>0</v>
      </c>
      <c r="N2303">
        <v>0</v>
      </c>
      <c r="O2303">
        <v>0</v>
      </c>
      <c r="P2303">
        <v>0</v>
      </c>
      <c r="Q2303">
        <v>589</v>
      </c>
      <c r="R2303">
        <v>0.79</v>
      </c>
      <c r="S2303" t="s">
        <v>27</v>
      </c>
      <c r="T2303" s="1">
        <v>44424</v>
      </c>
      <c r="U2303">
        <v>0</v>
      </c>
    </row>
    <row r="2304" spans="1:21" x14ac:dyDescent="0.25">
      <c r="A2304" t="s">
        <v>2351</v>
      </c>
      <c r="B2304">
        <v>48</v>
      </c>
      <c r="C2304" t="s">
        <v>21</v>
      </c>
      <c r="D2304" t="s">
        <v>41</v>
      </c>
      <c r="E2304" t="s">
        <v>23</v>
      </c>
      <c r="F2304" t="s">
        <v>32</v>
      </c>
      <c r="G2304">
        <v>3090.66</v>
      </c>
      <c r="H2304">
        <v>2243.96</v>
      </c>
      <c r="I2304">
        <v>23139.48</v>
      </c>
      <c r="J2304" t="s">
        <v>37</v>
      </c>
      <c r="K2304" t="s">
        <v>38</v>
      </c>
      <c r="L2304">
        <v>0</v>
      </c>
      <c r="M2304">
        <v>0</v>
      </c>
      <c r="N2304">
        <v>0</v>
      </c>
      <c r="O2304">
        <v>0</v>
      </c>
      <c r="P2304">
        <v>0</v>
      </c>
      <c r="Q2304">
        <v>423</v>
      </c>
      <c r="R2304">
        <v>0.62</v>
      </c>
      <c r="S2304" t="s">
        <v>30</v>
      </c>
      <c r="T2304" s="1">
        <v>44835</v>
      </c>
      <c r="U2304">
        <v>0</v>
      </c>
    </row>
    <row r="2305" spans="1:21" x14ac:dyDescent="0.25">
      <c r="A2305" t="s">
        <v>2352</v>
      </c>
      <c r="B2305">
        <v>34</v>
      </c>
      <c r="C2305" t="s">
        <v>30</v>
      </c>
      <c r="D2305" t="s">
        <v>22</v>
      </c>
      <c r="E2305" t="s">
        <v>23</v>
      </c>
      <c r="F2305" t="s">
        <v>52</v>
      </c>
      <c r="G2305">
        <v>5653.08</v>
      </c>
      <c r="H2305">
        <v>4919.9399999999996</v>
      </c>
      <c r="I2305">
        <v>14771.37</v>
      </c>
      <c r="J2305" t="s">
        <v>37</v>
      </c>
      <c r="K2305" t="s">
        <v>38</v>
      </c>
      <c r="L2305">
        <v>0</v>
      </c>
      <c r="M2305">
        <v>0</v>
      </c>
      <c r="N2305">
        <v>0</v>
      </c>
      <c r="O2305">
        <v>0</v>
      </c>
      <c r="P2305">
        <v>0</v>
      </c>
      <c r="Q2305">
        <v>664</v>
      </c>
      <c r="R2305">
        <v>0.22</v>
      </c>
      <c r="S2305" t="s">
        <v>47</v>
      </c>
      <c r="T2305" s="1">
        <v>44815</v>
      </c>
      <c r="U2305">
        <v>0</v>
      </c>
    </row>
    <row r="2306" spans="1:21" x14ac:dyDescent="0.25">
      <c r="A2306" t="s">
        <v>2353</v>
      </c>
      <c r="B2306">
        <v>62</v>
      </c>
      <c r="C2306" t="s">
        <v>29</v>
      </c>
      <c r="D2306" t="s">
        <v>35</v>
      </c>
      <c r="E2306" t="s">
        <v>31</v>
      </c>
      <c r="F2306" t="s">
        <v>36</v>
      </c>
      <c r="G2306">
        <v>3326.76</v>
      </c>
      <c r="H2306">
        <v>2862.88</v>
      </c>
      <c r="I2306">
        <v>14213.2</v>
      </c>
      <c r="J2306" t="s">
        <v>37</v>
      </c>
      <c r="K2306" t="s">
        <v>38</v>
      </c>
      <c r="L2306">
        <v>0</v>
      </c>
      <c r="M2306">
        <v>0</v>
      </c>
      <c r="N2306">
        <v>0</v>
      </c>
      <c r="O2306">
        <v>0</v>
      </c>
      <c r="P2306">
        <v>0</v>
      </c>
      <c r="Q2306">
        <v>658</v>
      </c>
      <c r="R2306">
        <v>0.36</v>
      </c>
      <c r="S2306" t="s">
        <v>47</v>
      </c>
      <c r="T2306" s="1">
        <v>45035</v>
      </c>
      <c r="U2306">
        <v>0</v>
      </c>
    </row>
    <row r="2307" spans="1:21" x14ac:dyDescent="0.25">
      <c r="A2307" t="s">
        <v>2354</v>
      </c>
      <c r="B2307">
        <v>60</v>
      </c>
      <c r="C2307" t="s">
        <v>29</v>
      </c>
      <c r="D2307" t="s">
        <v>41</v>
      </c>
      <c r="E2307" t="s">
        <v>23</v>
      </c>
      <c r="F2307" t="s">
        <v>36</v>
      </c>
      <c r="G2307">
        <v>3091.65</v>
      </c>
      <c r="H2307">
        <v>1924.29</v>
      </c>
      <c r="I2307">
        <v>20485.75</v>
      </c>
      <c r="J2307" t="s">
        <v>25</v>
      </c>
      <c r="K2307" t="s">
        <v>26</v>
      </c>
      <c r="L2307">
        <v>168777.2</v>
      </c>
      <c r="M2307">
        <v>120</v>
      </c>
      <c r="N2307">
        <v>2085.38</v>
      </c>
      <c r="O2307">
        <v>8.42</v>
      </c>
      <c r="P2307">
        <v>0.67</v>
      </c>
      <c r="Q2307">
        <v>648</v>
      </c>
      <c r="R2307">
        <v>0.55000000000000004</v>
      </c>
      <c r="S2307" t="s">
        <v>30</v>
      </c>
      <c r="T2307" s="1">
        <v>45382</v>
      </c>
      <c r="U2307">
        <v>1</v>
      </c>
    </row>
    <row r="2308" spans="1:21" x14ac:dyDescent="0.25">
      <c r="A2308" t="s">
        <v>2355</v>
      </c>
      <c r="B2308">
        <v>59</v>
      </c>
      <c r="C2308" t="s">
        <v>21</v>
      </c>
      <c r="D2308" t="s">
        <v>41</v>
      </c>
      <c r="E2308" t="s">
        <v>31</v>
      </c>
      <c r="F2308" t="s">
        <v>52</v>
      </c>
      <c r="G2308">
        <v>3885.28</v>
      </c>
      <c r="H2308">
        <v>1874.86</v>
      </c>
      <c r="I2308">
        <v>30174.65</v>
      </c>
      <c r="J2308" t="s">
        <v>37</v>
      </c>
      <c r="K2308" t="s">
        <v>38</v>
      </c>
      <c r="L2308">
        <v>0</v>
      </c>
      <c r="M2308">
        <v>0</v>
      </c>
      <c r="N2308">
        <v>0</v>
      </c>
      <c r="O2308">
        <v>0</v>
      </c>
      <c r="P2308">
        <v>0</v>
      </c>
      <c r="Q2308">
        <v>549</v>
      </c>
      <c r="R2308">
        <v>0.65</v>
      </c>
      <c r="S2308" t="s">
        <v>72</v>
      </c>
      <c r="T2308" s="1">
        <v>44938</v>
      </c>
      <c r="U2308">
        <v>0</v>
      </c>
    </row>
    <row r="2309" spans="1:21" x14ac:dyDescent="0.25">
      <c r="A2309" t="s">
        <v>2356</v>
      </c>
      <c r="B2309">
        <v>20</v>
      </c>
      <c r="C2309" t="s">
        <v>21</v>
      </c>
      <c r="D2309" t="s">
        <v>41</v>
      </c>
      <c r="E2309" t="s">
        <v>31</v>
      </c>
      <c r="F2309" t="s">
        <v>63</v>
      </c>
      <c r="G2309">
        <v>8264.89</v>
      </c>
      <c r="H2309">
        <v>5008.6099999999997</v>
      </c>
      <c r="I2309">
        <v>40838.32</v>
      </c>
      <c r="J2309" t="s">
        <v>37</v>
      </c>
      <c r="K2309" t="s">
        <v>38</v>
      </c>
      <c r="L2309">
        <v>0</v>
      </c>
      <c r="M2309">
        <v>0</v>
      </c>
      <c r="N2309">
        <v>0</v>
      </c>
      <c r="O2309">
        <v>0</v>
      </c>
      <c r="P2309">
        <v>0</v>
      </c>
      <c r="Q2309">
        <v>820</v>
      </c>
      <c r="R2309">
        <v>0.41</v>
      </c>
      <c r="S2309" t="s">
        <v>27</v>
      </c>
      <c r="T2309" s="1">
        <v>45700</v>
      </c>
      <c r="U2309">
        <v>0</v>
      </c>
    </row>
    <row r="2310" spans="1:21" x14ac:dyDescent="0.25">
      <c r="A2310" t="s">
        <v>2357</v>
      </c>
      <c r="B2310">
        <v>51</v>
      </c>
      <c r="C2310" t="s">
        <v>21</v>
      </c>
      <c r="D2310" t="s">
        <v>41</v>
      </c>
      <c r="E2310" t="s">
        <v>51</v>
      </c>
      <c r="F2310" t="s">
        <v>52</v>
      </c>
      <c r="G2310">
        <v>1877.94</v>
      </c>
      <c r="H2310">
        <v>1622.25</v>
      </c>
      <c r="I2310">
        <v>16813.36</v>
      </c>
      <c r="J2310" t="s">
        <v>25</v>
      </c>
      <c r="K2310" t="s">
        <v>26</v>
      </c>
      <c r="L2310">
        <v>48987.66</v>
      </c>
      <c r="M2310">
        <v>360</v>
      </c>
      <c r="N2310">
        <v>226.87</v>
      </c>
      <c r="O2310">
        <v>3.75</v>
      </c>
      <c r="P2310">
        <v>0.12</v>
      </c>
      <c r="Q2310">
        <v>348</v>
      </c>
      <c r="R2310">
        <v>0.75</v>
      </c>
      <c r="S2310" t="s">
        <v>39</v>
      </c>
      <c r="T2310" s="1">
        <v>44646</v>
      </c>
      <c r="U2310">
        <v>0</v>
      </c>
    </row>
    <row r="2311" spans="1:21" x14ac:dyDescent="0.25">
      <c r="A2311" t="s">
        <v>2358</v>
      </c>
      <c r="B2311">
        <v>54</v>
      </c>
      <c r="C2311" t="s">
        <v>29</v>
      </c>
      <c r="D2311" t="s">
        <v>35</v>
      </c>
      <c r="E2311" t="s">
        <v>31</v>
      </c>
      <c r="F2311" t="s">
        <v>23</v>
      </c>
      <c r="G2311">
        <v>2083.3200000000002</v>
      </c>
      <c r="H2311">
        <v>1734.71</v>
      </c>
      <c r="I2311">
        <v>20846.86</v>
      </c>
      <c r="J2311" t="s">
        <v>25</v>
      </c>
      <c r="K2311" t="s">
        <v>54</v>
      </c>
      <c r="L2311">
        <v>403759.5</v>
      </c>
      <c r="M2311">
        <v>240</v>
      </c>
      <c r="N2311">
        <v>2925.36</v>
      </c>
      <c r="O2311">
        <v>6.14</v>
      </c>
      <c r="P2311">
        <v>1.4</v>
      </c>
      <c r="Q2311">
        <v>628</v>
      </c>
      <c r="R2311">
        <v>0.83</v>
      </c>
      <c r="S2311" t="s">
        <v>27</v>
      </c>
      <c r="T2311" s="1">
        <v>44403</v>
      </c>
      <c r="U2311">
        <v>1</v>
      </c>
    </row>
    <row r="2312" spans="1:21" x14ac:dyDescent="0.25">
      <c r="A2312" t="s">
        <v>2359</v>
      </c>
      <c r="B2312">
        <v>37</v>
      </c>
      <c r="C2312" t="s">
        <v>29</v>
      </c>
      <c r="D2312" t="s">
        <v>35</v>
      </c>
      <c r="E2312" t="s">
        <v>31</v>
      </c>
      <c r="F2312" t="s">
        <v>49</v>
      </c>
      <c r="G2312">
        <v>6346.65</v>
      </c>
      <c r="H2312">
        <v>2089.87</v>
      </c>
      <c r="I2312">
        <v>61377.65</v>
      </c>
      <c r="J2312" t="s">
        <v>37</v>
      </c>
      <c r="K2312" t="s">
        <v>38</v>
      </c>
      <c r="L2312">
        <v>0</v>
      </c>
      <c r="M2312">
        <v>0</v>
      </c>
      <c r="N2312">
        <v>0</v>
      </c>
      <c r="O2312">
        <v>0</v>
      </c>
      <c r="P2312">
        <v>0</v>
      </c>
      <c r="Q2312">
        <v>640</v>
      </c>
      <c r="R2312">
        <v>0.81</v>
      </c>
      <c r="S2312" t="s">
        <v>47</v>
      </c>
      <c r="T2312" s="1">
        <v>44898</v>
      </c>
      <c r="U2312">
        <v>0</v>
      </c>
    </row>
    <row r="2313" spans="1:21" x14ac:dyDescent="0.25">
      <c r="A2313" t="s">
        <v>2360</v>
      </c>
      <c r="B2313">
        <v>24</v>
      </c>
      <c r="C2313" t="s">
        <v>29</v>
      </c>
      <c r="D2313" t="s">
        <v>35</v>
      </c>
      <c r="E2313" t="s">
        <v>31</v>
      </c>
      <c r="F2313" t="s">
        <v>63</v>
      </c>
      <c r="G2313">
        <v>6488.69</v>
      </c>
      <c r="H2313">
        <v>5453.26</v>
      </c>
      <c r="I2313">
        <v>27746.19</v>
      </c>
      <c r="J2313" t="s">
        <v>25</v>
      </c>
      <c r="K2313" t="s">
        <v>45</v>
      </c>
      <c r="L2313">
        <v>388505.32</v>
      </c>
      <c r="M2313">
        <v>120</v>
      </c>
      <c r="N2313">
        <v>7418.15</v>
      </c>
      <c r="O2313">
        <v>19.649999999999999</v>
      </c>
      <c r="P2313">
        <v>1.1399999999999999</v>
      </c>
      <c r="Q2313">
        <v>552</v>
      </c>
      <c r="R2313">
        <v>0.36</v>
      </c>
      <c r="S2313" t="s">
        <v>27</v>
      </c>
      <c r="T2313" s="1">
        <v>45433</v>
      </c>
      <c r="U2313">
        <v>1</v>
      </c>
    </row>
    <row r="2314" spans="1:21" x14ac:dyDescent="0.25">
      <c r="A2314" t="s">
        <v>2361</v>
      </c>
      <c r="B2314">
        <v>31</v>
      </c>
      <c r="C2314" t="s">
        <v>30</v>
      </c>
      <c r="D2314" t="s">
        <v>56</v>
      </c>
      <c r="E2314" t="s">
        <v>31</v>
      </c>
      <c r="F2314" t="s">
        <v>36</v>
      </c>
      <c r="G2314">
        <v>5922.3</v>
      </c>
      <c r="H2314">
        <v>4187.46</v>
      </c>
      <c r="I2314">
        <v>61812.01</v>
      </c>
      <c r="J2314" t="s">
        <v>25</v>
      </c>
      <c r="K2314" t="s">
        <v>33</v>
      </c>
      <c r="L2314">
        <v>295116.34000000003</v>
      </c>
      <c r="M2314">
        <v>300</v>
      </c>
      <c r="N2314">
        <v>5400.04</v>
      </c>
      <c r="O2314">
        <v>21.86</v>
      </c>
      <c r="P2314">
        <v>0.91</v>
      </c>
      <c r="Q2314">
        <v>376</v>
      </c>
      <c r="R2314">
        <v>0.87</v>
      </c>
      <c r="S2314" t="s">
        <v>47</v>
      </c>
      <c r="T2314" s="1">
        <v>45281</v>
      </c>
      <c r="U2314">
        <v>1</v>
      </c>
    </row>
    <row r="2315" spans="1:21" x14ac:dyDescent="0.25">
      <c r="A2315" t="s">
        <v>2362</v>
      </c>
      <c r="B2315">
        <v>28</v>
      </c>
      <c r="C2315" t="s">
        <v>29</v>
      </c>
      <c r="D2315" t="s">
        <v>35</v>
      </c>
      <c r="E2315" t="s">
        <v>31</v>
      </c>
      <c r="F2315" t="s">
        <v>24</v>
      </c>
      <c r="G2315">
        <v>1259.8</v>
      </c>
      <c r="H2315">
        <v>737.17</v>
      </c>
      <c r="I2315">
        <v>13213.5</v>
      </c>
      <c r="J2315" t="s">
        <v>25</v>
      </c>
      <c r="K2315" t="s">
        <v>54</v>
      </c>
      <c r="L2315">
        <v>55138.18</v>
      </c>
      <c r="M2315">
        <v>24</v>
      </c>
      <c r="N2315">
        <v>2431.11</v>
      </c>
      <c r="O2315">
        <v>5.49</v>
      </c>
      <c r="P2315">
        <v>1.93</v>
      </c>
      <c r="Q2315">
        <v>681</v>
      </c>
      <c r="R2315">
        <v>0.87</v>
      </c>
      <c r="S2315" t="s">
        <v>30</v>
      </c>
      <c r="T2315" s="1">
        <v>45788</v>
      </c>
      <c r="U2315">
        <v>1</v>
      </c>
    </row>
    <row r="2316" spans="1:21" x14ac:dyDescent="0.25">
      <c r="A2316" t="s">
        <v>2363</v>
      </c>
      <c r="B2316">
        <v>48</v>
      </c>
      <c r="C2316" t="s">
        <v>29</v>
      </c>
      <c r="D2316" t="s">
        <v>41</v>
      </c>
      <c r="E2316" t="s">
        <v>51</v>
      </c>
      <c r="F2316" t="s">
        <v>52</v>
      </c>
      <c r="G2316">
        <v>500</v>
      </c>
      <c r="H2316">
        <v>350.43</v>
      </c>
      <c r="I2316">
        <v>2520.59</v>
      </c>
      <c r="J2316" t="s">
        <v>37</v>
      </c>
      <c r="K2316" t="s">
        <v>38</v>
      </c>
      <c r="L2316">
        <v>0</v>
      </c>
      <c r="M2316">
        <v>0</v>
      </c>
      <c r="N2316">
        <v>0</v>
      </c>
      <c r="O2316">
        <v>0</v>
      </c>
      <c r="P2316">
        <v>0</v>
      </c>
      <c r="Q2316">
        <v>452</v>
      </c>
      <c r="R2316">
        <v>0.42</v>
      </c>
      <c r="S2316" t="s">
        <v>47</v>
      </c>
      <c r="T2316" s="1">
        <v>45359</v>
      </c>
      <c r="U2316">
        <v>0</v>
      </c>
    </row>
    <row r="2317" spans="1:21" x14ac:dyDescent="0.25">
      <c r="A2317" t="s">
        <v>2364</v>
      </c>
      <c r="B2317">
        <v>46</v>
      </c>
      <c r="C2317" t="s">
        <v>29</v>
      </c>
      <c r="D2317" t="s">
        <v>22</v>
      </c>
      <c r="E2317" t="s">
        <v>51</v>
      </c>
      <c r="F2317" t="s">
        <v>44</v>
      </c>
      <c r="G2317">
        <v>3389.99</v>
      </c>
      <c r="H2317">
        <v>1079.19</v>
      </c>
      <c r="I2317">
        <v>4078.94</v>
      </c>
      <c r="J2317" t="s">
        <v>25</v>
      </c>
      <c r="K2317" t="s">
        <v>33</v>
      </c>
      <c r="L2317">
        <v>251004.89</v>
      </c>
      <c r="M2317">
        <v>120</v>
      </c>
      <c r="N2317">
        <v>3604.09</v>
      </c>
      <c r="O2317">
        <v>12.02</v>
      </c>
      <c r="P2317">
        <v>1.06</v>
      </c>
      <c r="Q2317">
        <v>569</v>
      </c>
      <c r="R2317">
        <v>0.1</v>
      </c>
      <c r="S2317" t="s">
        <v>47</v>
      </c>
      <c r="T2317" s="1">
        <v>44883</v>
      </c>
      <c r="U2317">
        <v>1</v>
      </c>
    </row>
    <row r="2318" spans="1:21" x14ac:dyDescent="0.25">
      <c r="A2318" t="s">
        <v>2365</v>
      </c>
      <c r="B2318">
        <v>47</v>
      </c>
      <c r="C2318" t="s">
        <v>21</v>
      </c>
      <c r="D2318" t="s">
        <v>22</v>
      </c>
      <c r="E2318" t="s">
        <v>23</v>
      </c>
      <c r="F2318" t="s">
        <v>32</v>
      </c>
      <c r="G2318">
        <v>500</v>
      </c>
      <c r="H2318">
        <v>179.57</v>
      </c>
      <c r="I2318">
        <v>5048.7299999999996</v>
      </c>
      <c r="J2318" t="s">
        <v>37</v>
      </c>
      <c r="K2318" t="s">
        <v>38</v>
      </c>
      <c r="L2318">
        <v>0</v>
      </c>
      <c r="M2318">
        <v>0</v>
      </c>
      <c r="N2318">
        <v>0</v>
      </c>
      <c r="O2318">
        <v>0</v>
      </c>
      <c r="P2318">
        <v>0</v>
      </c>
      <c r="Q2318">
        <v>485</v>
      </c>
      <c r="R2318">
        <v>0.84</v>
      </c>
      <c r="S2318" t="s">
        <v>39</v>
      </c>
      <c r="T2318" s="1">
        <v>44547</v>
      </c>
      <c r="U2318">
        <v>0</v>
      </c>
    </row>
    <row r="2319" spans="1:21" x14ac:dyDescent="0.25">
      <c r="A2319" t="s">
        <v>2366</v>
      </c>
      <c r="B2319">
        <v>52</v>
      </c>
      <c r="C2319" t="s">
        <v>21</v>
      </c>
      <c r="D2319" t="s">
        <v>41</v>
      </c>
      <c r="E2319" t="s">
        <v>31</v>
      </c>
      <c r="F2319" t="s">
        <v>24</v>
      </c>
      <c r="G2319">
        <v>4198.04</v>
      </c>
      <c r="H2319">
        <v>3164.36</v>
      </c>
      <c r="I2319">
        <v>26806.99</v>
      </c>
      <c r="J2319" t="s">
        <v>37</v>
      </c>
      <c r="K2319" t="s">
        <v>38</v>
      </c>
      <c r="L2319">
        <v>0</v>
      </c>
      <c r="M2319">
        <v>0</v>
      </c>
      <c r="N2319">
        <v>0</v>
      </c>
      <c r="O2319">
        <v>0</v>
      </c>
      <c r="P2319">
        <v>0</v>
      </c>
      <c r="Q2319">
        <v>387</v>
      </c>
      <c r="R2319">
        <v>0.53</v>
      </c>
      <c r="S2319" t="s">
        <v>47</v>
      </c>
      <c r="T2319" s="1">
        <v>44537</v>
      </c>
      <c r="U2319">
        <v>0</v>
      </c>
    </row>
    <row r="2320" spans="1:21" x14ac:dyDescent="0.25">
      <c r="A2320" t="s">
        <v>2367</v>
      </c>
      <c r="B2320">
        <v>38</v>
      </c>
      <c r="C2320" t="s">
        <v>29</v>
      </c>
      <c r="D2320" t="s">
        <v>22</v>
      </c>
      <c r="E2320" t="s">
        <v>31</v>
      </c>
      <c r="F2320" t="s">
        <v>63</v>
      </c>
      <c r="G2320">
        <v>7038.11</v>
      </c>
      <c r="H2320">
        <v>3645.75</v>
      </c>
      <c r="I2320">
        <v>26042.7</v>
      </c>
      <c r="J2320" t="s">
        <v>37</v>
      </c>
      <c r="K2320" t="s">
        <v>38</v>
      </c>
      <c r="L2320">
        <v>0</v>
      </c>
      <c r="M2320">
        <v>0</v>
      </c>
      <c r="N2320">
        <v>0</v>
      </c>
      <c r="O2320">
        <v>0</v>
      </c>
      <c r="P2320">
        <v>0</v>
      </c>
      <c r="Q2320">
        <v>453</v>
      </c>
      <c r="R2320">
        <v>0.31</v>
      </c>
      <c r="S2320" t="s">
        <v>27</v>
      </c>
      <c r="T2320" s="1">
        <v>44689</v>
      </c>
      <c r="U2320">
        <v>0</v>
      </c>
    </row>
    <row r="2321" spans="1:21" x14ac:dyDescent="0.25">
      <c r="A2321" t="s">
        <v>2368</v>
      </c>
      <c r="B2321">
        <v>46</v>
      </c>
      <c r="C2321" t="s">
        <v>21</v>
      </c>
      <c r="D2321" t="s">
        <v>41</v>
      </c>
      <c r="E2321" t="s">
        <v>51</v>
      </c>
      <c r="F2321" t="s">
        <v>42</v>
      </c>
      <c r="G2321">
        <v>1388.55</v>
      </c>
      <c r="H2321">
        <v>1070.8800000000001</v>
      </c>
      <c r="I2321">
        <v>5448.96</v>
      </c>
      <c r="J2321" t="s">
        <v>37</v>
      </c>
      <c r="K2321" t="s">
        <v>38</v>
      </c>
      <c r="L2321">
        <v>0</v>
      </c>
      <c r="M2321">
        <v>0</v>
      </c>
      <c r="N2321">
        <v>0</v>
      </c>
      <c r="O2321">
        <v>0</v>
      </c>
      <c r="P2321">
        <v>0</v>
      </c>
      <c r="Q2321">
        <v>520</v>
      </c>
      <c r="R2321">
        <v>0.33</v>
      </c>
      <c r="S2321" t="s">
        <v>47</v>
      </c>
      <c r="T2321" s="1">
        <v>45584</v>
      </c>
      <c r="U2321">
        <v>0</v>
      </c>
    </row>
    <row r="2322" spans="1:21" x14ac:dyDescent="0.25">
      <c r="A2322" t="s">
        <v>2369</v>
      </c>
      <c r="B2322">
        <v>57</v>
      </c>
      <c r="C2322" t="s">
        <v>29</v>
      </c>
      <c r="D2322" t="s">
        <v>41</v>
      </c>
      <c r="E2322" t="s">
        <v>51</v>
      </c>
      <c r="F2322" t="s">
        <v>32</v>
      </c>
      <c r="G2322">
        <v>7897.82</v>
      </c>
      <c r="H2322">
        <v>3751.98</v>
      </c>
      <c r="I2322">
        <v>40364.959999999999</v>
      </c>
      <c r="J2322" t="s">
        <v>37</v>
      </c>
      <c r="K2322" t="s">
        <v>38</v>
      </c>
      <c r="L2322">
        <v>0</v>
      </c>
      <c r="M2322">
        <v>0</v>
      </c>
      <c r="N2322">
        <v>0</v>
      </c>
      <c r="O2322">
        <v>0</v>
      </c>
      <c r="P2322">
        <v>0</v>
      </c>
      <c r="Q2322">
        <v>792</v>
      </c>
      <c r="R2322">
        <v>0.43</v>
      </c>
      <c r="S2322" t="s">
        <v>39</v>
      </c>
      <c r="T2322" s="1">
        <v>44862</v>
      </c>
      <c r="U2322">
        <v>0</v>
      </c>
    </row>
    <row r="2323" spans="1:21" x14ac:dyDescent="0.25">
      <c r="A2323" t="s">
        <v>2370</v>
      </c>
      <c r="B2323">
        <v>61</v>
      </c>
      <c r="C2323" t="s">
        <v>29</v>
      </c>
      <c r="D2323" t="s">
        <v>35</v>
      </c>
      <c r="E2323" t="s">
        <v>31</v>
      </c>
      <c r="F2323" t="s">
        <v>49</v>
      </c>
      <c r="G2323">
        <v>4834.82</v>
      </c>
      <c r="H2323">
        <v>3142.89</v>
      </c>
      <c r="I2323">
        <v>15167.66</v>
      </c>
      <c r="J2323" t="s">
        <v>37</v>
      </c>
      <c r="K2323" t="s">
        <v>38</v>
      </c>
      <c r="L2323">
        <v>0</v>
      </c>
      <c r="M2323">
        <v>0</v>
      </c>
      <c r="N2323">
        <v>0</v>
      </c>
      <c r="O2323">
        <v>0</v>
      </c>
      <c r="P2323">
        <v>0</v>
      </c>
      <c r="Q2323">
        <v>317</v>
      </c>
      <c r="R2323">
        <v>0.26</v>
      </c>
      <c r="S2323" t="s">
        <v>47</v>
      </c>
      <c r="T2323" s="1">
        <v>45189</v>
      </c>
      <c r="U2323">
        <v>0</v>
      </c>
    </row>
    <row r="2324" spans="1:21" x14ac:dyDescent="0.25">
      <c r="A2324" t="s">
        <v>2371</v>
      </c>
      <c r="B2324">
        <v>20</v>
      </c>
      <c r="C2324" t="s">
        <v>29</v>
      </c>
      <c r="D2324" t="s">
        <v>41</v>
      </c>
      <c r="E2324" t="s">
        <v>23</v>
      </c>
      <c r="F2324" t="s">
        <v>52</v>
      </c>
      <c r="G2324">
        <v>4764.28</v>
      </c>
      <c r="H2324">
        <v>1479.18</v>
      </c>
      <c r="I2324">
        <v>47953.61</v>
      </c>
      <c r="J2324" t="s">
        <v>25</v>
      </c>
      <c r="K2324" t="s">
        <v>54</v>
      </c>
      <c r="L2324">
        <v>97985.95</v>
      </c>
      <c r="M2324">
        <v>120</v>
      </c>
      <c r="N2324">
        <v>1146.3</v>
      </c>
      <c r="O2324">
        <v>7.17</v>
      </c>
      <c r="P2324">
        <v>0.24</v>
      </c>
      <c r="Q2324">
        <v>438</v>
      </c>
      <c r="R2324">
        <v>0.84</v>
      </c>
      <c r="S2324" t="s">
        <v>72</v>
      </c>
      <c r="T2324" s="1">
        <v>45318</v>
      </c>
      <c r="U2324">
        <v>0</v>
      </c>
    </row>
    <row r="2325" spans="1:21" x14ac:dyDescent="0.25">
      <c r="A2325" t="s">
        <v>2372</v>
      </c>
      <c r="B2325">
        <v>31</v>
      </c>
      <c r="C2325" t="s">
        <v>21</v>
      </c>
      <c r="D2325" t="s">
        <v>41</v>
      </c>
      <c r="E2325" t="s">
        <v>49</v>
      </c>
      <c r="F2325" t="s">
        <v>32</v>
      </c>
      <c r="G2325">
        <v>6744.02</v>
      </c>
      <c r="H2325">
        <v>4806.4799999999996</v>
      </c>
      <c r="I2325">
        <v>24380.71</v>
      </c>
      <c r="J2325" t="s">
        <v>25</v>
      </c>
      <c r="K2325" t="s">
        <v>33</v>
      </c>
      <c r="L2325">
        <v>18360.89</v>
      </c>
      <c r="M2325">
        <v>12</v>
      </c>
      <c r="N2325">
        <v>1739.4</v>
      </c>
      <c r="O2325">
        <v>24.36</v>
      </c>
      <c r="P2325">
        <v>0.26</v>
      </c>
      <c r="Q2325">
        <v>430</v>
      </c>
      <c r="R2325">
        <v>0.3</v>
      </c>
      <c r="S2325" t="s">
        <v>30</v>
      </c>
      <c r="T2325" s="1">
        <v>45046</v>
      </c>
      <c r="U2325">
        <v>0</v>
      </c>
    </row>
    <row r="2326" spans="1:21" x14ac:dyDescent="0.25">
      <c r="A2326" t="s">
        <v>2373</v>
      </c>
      <c r="B2326">
        <v>25</v>
      </c>
      <c r="C2326" t="s">
        <v>21</v>
      </c>
      <c r="D2326" t="s">
        <v>22</v>
      </c>
      <c r="E2326" t="s">
        <v>31</v>
      </c>
      <c r="F2326" t="s">
        <v>49</v>
      </c>
      <c r="G2326">
        <v>6108.63</v>
      </c>
      <c r="H2326">
        <v>1833.99</v>
      </c>
      <c r="I2326">
        <v>32349.93</v>
      </c>
      <c r="J2326" t="s">
        <v>37</v>
      </c>
      <c r="K2326" t="s">
        <v>38</v>
      </c>
      <c r="L2326">
        <v>0</v>
      </c>
      <c r="M2326">
        <v>0</v>
      </c>
      <c r="N2326">
        <v>0</v>
      </c>
      <c r="O2326">
        <v>0</v>
      </c>
      <c r="P2326">
        <v>0</v>
      </c>
      <c r="Q2326">
        <v>551</v>
      </c>
      <c r="R2326">
        <v>0.44</v>
      </c>
      <c r="S2326" t="s">
        <v>39</v>
      </c>
      <c r="T2326" s="1">
        <v>45159</v>
      </c>
      <c r="U2326">
        <v>0</v>
      </c>
    </row>
    <row r="2327" spans="1:21" x14ac:dyDescent="0.25">
      <c r="A2327" t="s">
        <v>2374</v>
      </c>
      <c r="B2327">
        <v>63</v>
      </c>
      <c r="C2327" t="s">
        <v>29</v>
      </c>
      <c r="D2327" t="s">
        <v>41</v>
      </c>
      <c r="E2327" t="s">
        <v>31</v>
      </c>
      <c r="F2327" t="s">
        <v>24</v>
      </c>
      <c r="G2327">
        <v>4891.3</v>
      </c>
      <c r="H2327">
        <v>1529.81</v>
      </c>
      <c r="I2327">
        <v>23011.53</v>
      </c>
      <c r="J2327" t="s">
        <v>25</v>
      </c>
      <c r="K2327" t="s">
        <v>54</v>
      </c>
      <c r="L2327">
        <v>467510.41</v>
      </c>
      <c r="M2327">
        <v>360</v>
      </c>
      <c r="N2327">
        <v>7693.02</v>
      </c>
      <c r="O2327">
        <v>19.690000000000001</v>
      </c>
      <c r="P2327">
        <v>1.57</v>
      </c>
      <c r="Q2327">
        <v>474</v>
      </c>
      <c r="R2327">
        <v>0.39</v>
      </c>
      <c r="S2327" t="s">
        <v>47</v>
      </c>
      <c r="T2327" s="1">
        <v>44578</v>
      </c>
      <c r="U2327">
        <v>1</v>
      </c>
    </row>
    <row r="2328" spans="1:21" x14ac:dyDescent="0.25">
      <c r="A2328" t="s">
        <v>2375</v>
      </c>
      <c r="B2328">
        <v>64</v>
      </c>
      <c r="C2328" t="s">
        <v>30</v>
      </c>
      <c r="D2328" t="s">
        <v>22</v>
      </c>
      <c r="E2328" t="s">
        <v>31</v>
      </c>
      <c r="F2328" t="s">
        <v>24</v>
      </c>
      <c r="G2328">
        <v>2934.9</v>
      </c>
      <c r="H2328">
        <v>2353.6799999999998</v>
      </c>
      <c r="I2328">
        <v>18009.63</v>
      </c>
      <c r="J2328" t="s">
        <v>37</v>
      </c>
      <c r="K2328" t="s">
        <v>38</v>
      </c>
      <c r="L2328">
        <v>0</v>
      </c>
      <c r="M2328">
        <v>0</v>
      </c>
      <c r="N2328">
        <v>0</v>
      </c>
      <c r="O2328">
        <v>0</v>
      </c>
      <c r="P2328">
        <v>0</v>
      </c>
      <c r="Q2328">
        <v>429</v>
      </c>
      <c r="R2328">
        <v>0.51</v>
      </c>
      <c r="S2328" t="s">
        <v>47</v>
      </c>
      <c r="T2328" s="1">
        <v>44478</v>
      </c>
      <c r="U2328">
        <v>0</v>
      </c>
    </row>
    <row r="2329" spans="1:21" x14ac:dyDescent="0.25">
      <c r="A2329" t="s">
        <v>2376</v>
      </c>
      <c r="B2329">
        <v>66</v>
      </c>
      <c r="C2329" t="s">
        <v>29</v>
      </c>
      <c r="D2329" t="s">
        <v>35</v>
      </c>
      <c r="E2329" t="s">
        <v>31</v>
      </c>
      <c r="F2329" t="s">
        <v>24</v>
      </c>
      <c r="G2329">
        <v>4366.4399999999996</v>
      </c>
      <c r="H2329">
        <v>1746.32</v>
      </c>
      <c r="I2329">
        <v>40992.269999999997</v>
      </c>
      <c r="J2329" t="s">
        <v>37</v>
      </c>
      <c r="K2329" t="s">
        <v>38</v>
      </c>
      <c r="L2329">
        <v>0</v>
      </c>
      <c r="M2329">
        <v>0</v>
      </c>
      <c r="N2329">
        <v>0</v>
      </c>
      <c r="O2329">
        <v>0</v>
      </c>
      <c r="P2329">
        <v>0</v>
      </c>
      <c r="Q2329">
        <v>831</v>
      </c>
      <c r="R2329">
        <v>0.78</v>
      </c>
      <c r="S2329" t="s">
        <v>30</v>
      </c>
      <c r="T2329" s="1">
        <v>45616</v>
      </c>
      <c r="U2329">
        <v>0</v>
      </c>
    </row>
    <row r="2330" spans="1:21" x14ac:dyDescent="0.25">
      <c r="A2330" t="s">
        <v>2377</v>
      </c>
      <c r="B2330">
        <v>20</v>
      </c>
      <c r="C2330" t="s">
        <v>21</v>
      </c>
      <c r="D2330" t="s">
        <v>41</v>
      </c>
      <c r="E2330" t="s">
        <v>31</v>
      </c>
      <c r="F2330" t="s">
        <v>49</v>
      </c>
      <c r="G2330">
        <v>2482.5</v>
      </c>
      <c r="H2330">
        <v>1638.75</v>
      </c>
      <c r="I2330">
        <v>13245.93</v>
      </c>
      <c r="J2330" t="s">
        <v>37</v>
      </c>
      <c r="K2330" t="s">
        <v>38</v>
      </c>
      <c r="L2330">
        <v>0</v>
      </c>
      <c r="M2330">
        <v>0</v>
      </c>
      <c r="N2330">
        <v>0</v>
      </c>
      <c r="O2330">
        <v>0</v>
      </c>
      <c r="P2330">
        <v>0</v>
      </c>
      <c r="Q2330">
        <v>499</v>
      </c>
      <c r="R2330">
        <v>0.44</v>
      </c>
      <c r="S2330" t="s">
        <v>27</v>
      </c>
      <c r="T2330" s="1">
        <v>44865</v>
      </c>
      <c r="U2330">
        <v>0</v>
      </c>
    </row>
    <row r="2331" spans="1:21" x14ac:dyDescent="0.25">
      <c r="A2331" t="s">
        <v>2378</v>
      </c>
      <c r="B2331">
        <v>55</v>
      </c>
      <c r="C2331" t="s">
        <v>29</v>
      </c>
      <c r="D2331" t="s">
        <v>22</v>
      </c>
      <c r="E2331" t="s">
        <v>23</v>
      </c>
      <c r="F2331" t="s">
        <v>44</v>
      </c>
      <c r="G2331">
        <v>5583.52</v>
      </c>
      <c r="H2331">
        <v>3628.35</v>
      </c>
      <c r="I2331">
        <v>19334.13</v>
      </c>
      <c r="J2331" t="s">
        <v>37</v>
      </c>
      <c r="K2331" t="s">
        <v>38</v>
      </c>
      <c r="L2331">
        <v>0</v>
      </c>
      <c r="M2331">
        <v>0</v>
      </c>
      <c r="N2331">
        <v>0</v>
      </c>
      <c r="O2331">
        <v>0</v>
      </c>
      <c r="P2331">
        <v>0</v>
      </c>
      <c r="Q2331">
        <v>811</v>
      </c>
      <c r="R2331">
        <v>0.28999999999999998</v>
      </c>
      <c r="S2331" t="s">
        <v>27</v>
      </c>
      <c r="T2331" s="1">
        <v>45575</v>
      </c>
      <c r="U2331">
        <v>0</v>
      </c>
    </row>
    <row r="2332" spans="1:21" x14ac:dyDescent="0.25">
      <c r="A2332" t="s">
        <v>2379</v>
      </c>
      <c r="B2332">
        <v>63</v>
      </c>
      <c r="C2332" t="s">
        <v>29</v>
      </c>
      <c r="D2332" t="s">
        <v>41</v>
      </c>
      <c r="E2332" t="s">
        <v>31</v>
      </c>
      <c r="F2332" t="s">
        <v>49</v>
      </c>
      <c r="G2332">
        <v>899.88</v>
      </c>
      <c r="H2332">
        <v>610.74</v>
      </c>
      <c r="I2332">
        <v>9332.66</v>
      </c>
      <c r="J2332" t="s">
        <v>25</v>
      </c>
      <c r="K2332" t="s">
        <v>33</v>
      </c>
      <c r="L2332">
        <v>56480.81</v>
      </c>
      <c r="M2332">
        <v>300</v>
      </c>
      <c r="N2332">
        <v>627.25</v>
      </c>
      <c r="O2332">
        <v>12.77</v>
      </c>
      <c r="P2332">
        <v>0.7</v>
      </c>
      <c r="Q2332">
        <v>405</v>
      </c>
      <c r="R2332">
        <v>0.86</v>
      </c>
      <c r="S2332" t="s">
        <v>27</v>
      </c>
      <c r="T2332" s="1">
        <v>45236</v>
      </c>
      <c r="U2332">
        <v>1</v>
      </c>
    </row>
    <row r="2333" spans="1:21" x14ac:dyDescent="0.25">
      <c r="A2333" t="s">
        <v>2380</v>
      </c>
      <c r="B2333">
        <v>61</v>
      </c>
      <c r="C2333" t="s">
        <v>21</v>
      </c>
      <c r="D2333" t="s">
        <v>30</v>
      </c>
      <c r="E2333" t="s">
        <v>31</v>
      </c>
      <c r="F2333" t="s">
        <v>36</v>
      </c>
      <c r="G2333">
        <v>4522.4799999999996</v>
      </c>
      <c r="H2333">
        <v>2593.0500000000002</v>
      </c>
      <c r="I2333">
        <v>6896.23</v>
      </c>
      <c r="J2333" t="s">
        <v>25</v>
      </c>
      <c r="K2333" t="s">
        <v>33</v>
      </c>
      <c r="L2333">
        <v>59772.28</v>
      </c>
      <c r="M2333">
        <v>36</v>
      </c>
      <c r="N2333">
        <v>2064.7199999999998</v>
      </c>
      <c r="O2333">
        <v>14.75</v>
      </c>
      <c r="P2333">
        <v>0.46</v>
      </c>
      <c r="Q2333">
        <v>720</v>
      </c>
      <c r="R2333">
        <v>0.13</v>
      </c>
      <c r="S2333" t="s">
        <v>27</v>
      </c>
      <c r="T2333" s="1">
        <v>45536</v>
      </c>
      <c r="U2333">
        <v>1</v>
      </c>
    </row>
    <row r="2334" spans="1:21" x14ac:dyDescent="0.25">
      <c r="A2334" t="s">
        <v>2381</v>
      </c>
      <c r="B2334">
        <v>52</v>
      </c>
      <c r="C2334" t="s">
        <v>21</v>
      </c>
      <c r="D2334" t="s">
        <v>41</v>
      </c>
      <c r="E2334" t="s">
        <v>31</v>
      </c>
      <c r="F2334" t="s">
        <v>23</v>
      </c>
      <c r="G2334">
        <v>6242.68</v>
      </c>
      <c r="H2334">
        <v>2453.7800000000002</v>
      </c>
      <c r="I2334">
        <v>7717.56</v>
      </c>
      <c r="J2334" t="s">
        <v>25</v>
      </c>
      <c r="K2334" t="s">
        <v>33</v>
      </c>
      <c r="L2334">
        <v>131203.48000000001</v>
      </c>
      <c r="M2334">
        <v>36</v>
      </c>
      <c r="N2334">
        <v>4549.5</v>
      </c>
      <c r="O2334">
        <v>15.02</v>
      </c>
      <c r="P2334">
        <v>0.73</v>
      </c>
      <c r="Q2334">
        <v>455</v>
      </c>
      <c r="R2334">
        <v>0.1</v>
      </c>
      <c r="S2334" t="s">
        <v>39</v>
      </c>
      <c r="T2334" s="1">
        <v>44583</v>
      </c>
      <c r="U2334">
        <v>1</v>
      </c>
    </row>
    <row r="2335" spans="1:21" x14ac:dyDescent="0.25">
      <c r="A2335" t="s">
        <v>2382</v>
      </c>
      <c r="B2335">
        <v>34</v>
      </c>
      <c r="C2335" t="s">
        <v>21</v>
      </c>
      <c r="D2335" t="s">
        <v>35</v>
      </c>
      <c r="E2335" t="s">
        <v>31</v>
      </c>
      <c r="F2335" t="s">
        <v>42</v>
      </c>
      <c r="G2335">
        <v>4236.75</v>
      </c>
      <c r="H2335">
        <v>3778.41</v>
      </c>
      <c r="I2335">
        <v>37768.080000000002</v>
      </c>
      <c r="J2335" t="s">
        <v>37</v>
      </c>
      <c r="K2335" t="s">
        <v>38</v>
      </c>
      <c r="L2335">
        <v>0</v>
      </c>
      <c r="M2335">
        <v>0</v>
      </c>
      <c r="N2335">
        <v>0</v>
      </c>
      <c r="O2335">
        <v>0</v>
      </c>
      <c r="P2335">
        <v>0</v>
      </c>
      <c r="Q2335">
        <v>512</v>
      </c>
      <c r="R2335">
        <v>0.74</v>
      </c>
      <c r="S2335" t="s">
        <v>47</v>
      </c>
      <c r="T2335" s="1">
        <v>44528</v>
      </c>
      <c r="U2335">
        <v>0</v>
      </c>
    </row>
    <row r="2336" spans="1:21" x14ac:dyDescent="0.25">
      <c r="A2336" t="s">
        <v>2383</v>
      </c>
      <c r="B2336">
        <v>50</v>
      </c>
      <c r="C2336" t="s">
        <v>29</v>
      </c>
      <c r="D2336" t="s">
        <v>22</v>
      </c>
      <c r="E2336" t="s">
        <v>23</v>
      </c>
      <c r="F2336" t="s">
        <v>49</v>
      </c>
      <c r="G2336">
        <v>702.49</v>
      </c>
      <c r="H2336">
        <v>264.36</v>
      </c>
      <c r="I2336">
        <v>3429.23</v>
      </c>
      <c r="J2336" t="s">
        <v>37</v>
      </c>
      <c r="K2336" t="s">
        <v>38</v>
      </c>
      <c r="L2336">
        <v>0</v>
      </c>
      <c r="M2336">
        <v>0</v>
      </c>
      <c r="N2336">
        <v>0</v>
      </c>
      <c r="O2336">
        <v>0</v>
      </c>
      <c r="P2336">
        <v>0</v>
      </c>
      <c r="Q2336">
        <v>651</v>
      </c>
      <c r="R2336">
        <v>0.41</v>
      </c>
      <c r="S2336" t="s">
        <v>27</v>
      </c>
      <c r="T2336" s="1">
        <v>45441</v>
      </c>
      <c r="U2336">
        <v>0</v>
      </c>
    </row>
    <row r="2337" spans="1:21" x14ac:dyDescent="0.25">
      <c r="A2337" t="s">
        <v>2384</v>
      </c>
      <c r="B2337">
        <v>32</v>
      </c>
      <c r="C2337" t="s">
        <v>29</v>
      </c>
      <c r="D2337" t="s">
        <v>56</v>
      </c>
      <c r="E2337" t="s">
        <v>51</v>
      </c>
      <c r="F2337" t="s">
        <v>42</v>
      </c>
      <c r="G2337">
        <v>2179.15</v>
      </c>
      <c r="H2337">
        <v>1610.51</v>
      </c>
      <c r="I2337">
        <v>3506.94</v>
      </c>
      <c r="J2337" t="s">
        <v>25</v>
      </c>
      <c r="K2337" t="s">
        <v>45</v>
      </c>
      <c r="L2337">
        <v>173315.19</v>
      </c>
      <c r="M2337">
        <v>180</v>
      </c>
      <c r="N2337">
        <v>3618.05</v>
      </c>
      <c r="O2337">
        <v>24.38</v>
      </c>
      <c r="P2337">
        <v>1.66</v>
      </c>
      <c r="Q2337">
        <v>633</v>
      </c>
      <c r="R2337">
        <v>0.13</v>
      </c>
      <c r="S2337" t="s">
        <v>30</v>
      </c>
      <c r="T2337" s="1">
        <v>45044</v>
      </c>
      <c r="U2337">
        <v>1</v>
      </c>
    </row>
    <row r="2338" spans="1:21" x14ac:dyDescent="0.25">
      <c r="A2338" t="s">
        <v>2385</v>
      </c>
      <c r="B2338">
        <v>25</v>
      </c>
      <c r="C2338" t="s">
        <v>21</v>
      </c>
      <c r="D2338" t="s">
        <v>41</v>
      </c>
      <c r="E2338" t="s">
        <v>51</v>
      </c>
      <c r="F2338" t="s">
        <v>42</v>
      </c>
      <c r="G2338">
        <v>3200.16</v>
      </c>
      <c r="H2338">
        <v>2666.96</v>
      </c>
      <c r="I2338">
        <v>29916.26</v>
      </c>
      <c r="J2338" t="s">
        <v>25</v>
      </c>
      <c r="K2338" t="s">
        <v>33</v>
      </c>
      <c r="L2338">
        <v>309715.77</v>
      </c>
      <c r="M2338">
        <v>300</v>
      </c>
      <c r="N2338">
        <v>3483.76</v>
      </c>
      <c r="O2338">
        <v>12.96</v>
      </c>
      <c r="P2338">
        <v>1.0900000000000001</v>
      </c>
      <c r="Q2338">
        <v>540</v>
      </c>
      <c r="R2338">
        <v>0.78</v>
      </c>
      <c r="S2338" t="s">
        <v>47</v>
      </c>
      <c r="T2338" s="1">
        <v>45697</v>
      </c>
      <c r="U2338">
        <v>1</v>
      </c>
    </row>
    <row r="2339" spans="1:21" x14ac:dyDescent="0.25">
      <c r="A2339" t="s">
        <v>2386</v>
      </c>
      <c r="B2339">
        <v>63</v>
      </c>
      <c r="C2339" t="s">
        <v>29</v>
      </c>
      <c r="D2339" t="s">
        <v>35</v>
      </c>
      <c r="E2339" t="s">
        <v>49</v>
      </c>
      <c r="F2339" t="s">
        <v>32</v>
      </c>
      <c r="G2339">
        <v>4166.63</v>
      </c>
      <c r="H2339">
        <v>3123.81</v>
      </c>
      <c r="I2339">
        <v>44502.36</v>
      </c>
      <c r="J2339" t="s">
        <v>37</v>
      </c>
      <c r="K2339" t="s">
        <v>38</v>
      </c>
      <c r="L2339">
        <v>0</v>
      </c>
      <c r="M2339">
        <v>0</v>
      </c>
      <c r="N2339">
        <v>0</v>
      </c>
      <c r="O2339">
        <v>0</v>
      </c>
      <c r="P2339">
        <v>0</v>
      </c>
      <c r="Q2339">
        <v>811</v>
      </c>
      <c r="R2339">
        <v>0.89</v>
      </c>
      <c r="S2339" t="s">
        <v>72</v>
      </c>
      <c r="T2339" s="1">
        <v>45796</v>
      </c>
      <c r="U2339">
        <v>0</v>
      </c>
    </row>
    <row r="2340" spans="1:21" x14ac:dyDescent="0.25">
      <c r="A2340" t="s">
        <v>2387</v>
      </c>
      <c r="B2340">
        <v>67</v>
      </c>
      <c r="C2340" t="s">
        <v>30</v>
      </c>
      <c r="D2340" t="s">
        <v>41</v>
      </c>
      <c r="E2340" t="s">
        <v>31</v>
      </c>
      <c r="F2340" t="s">
        <v>52</v>
      </c>
      <c r="G2340">
        <v>5293.74</v>
      </c>
      <c r="H2340">
        <v>3369.32</v>
      </c>
      <c r="I2340">
        <v>24702.54</v>
      </c>
      <c r="J2340" t="s">
        <v>37</v>
      </c>
      <c r="K2340" t="s">
        <v>38</v>
      </c>
      <c r="L2340">
        <v>0</v>
      </c>
      <c r="M2340">
        <v>0</v>
      </c>
      <c r="N2340">
        <v>0</v>
      </c>
      <c r="O2340">
        <v>0</v>
      </c>
      <c r="P2340">
        <v>0</v>
      </c>
      <c r="Q2340">
        <v>818</v>
      </c>
      <c r="R2340">
        <v>0.39</v>
      </c>
      <c r="S2340" t="s">
        <v>30</v>
      </c>
      <c r="T2340" s="1">
        <v>44890</v>
      </c>
      <c r="U2340">
        <v>0</v>
      </c>
    </row>
    <row r="2341" spans="1:21" x14ac:dyDescent="0.25">
      <c r="A2341" t="s">
        <v>2388</v>
      </c>
      <c r="B2341">
        <v>51</v>
      </c>
      <c r="C2341" t="s">
        <v>21</v>
      </c>
      <c r="D2341" t="s">
        <v>41</v>
      </c>
      <c r="E2341" t="s">
        <v>49</v>
      </c>
      <c r="F2341" t="s">
        <v>24</v>
      </c>
      <c r="G2341">
        <v>6783.63</v>
      </c>
      <c r="H2341">
        <v>5387.89</v>
      </c>
      <c r="I2341">
        <v>68171.320000000007</v>
      </c>
      <c r="J2341" t="s">
        <v>37</v>
      </c>
      <c r="K2341" t="s">
        <v>38</v>
      </c>
      <c r="L2341">
        <v>0</v>
      </c>
      <c r="M2341">
        <v>0</v>
      </c>
      <c r="N2341">
        <v>0</v>
      </c>
      <c r="O2341">
        <v>0</v>
      </c>
      <c r="P2341">
        <v>0</v>
      </c>
      <c r="Q2341">
        <v>435</v>
      </c>
      <c r="R2341">
        <v>0.84</v>
      </c>
      <c r="S2341" t="s">
        <v>39</v>
      </c>
      <c r="T2341" s="1">
        <v>45666</v>
      </c>
      <c r="U2341">
        <v>0</v>
      </c>
    </row>
    <row r="2342" spans="1:21" x14ac:dyDescent="0.25">
      <c r="A2342" t="s">
        <v>2389</v>
      </c>
      <c r="B2342">
        <v>26</v>
      </c>
      <c r="C2342" t="s">
        <v>21</v>
      </c>
      <c r="D2342" t="s">
        <v>41</v>
      </c>
      <c r="E2342" t="s">
        <v>51</v>
      </c>
      <c r="F2342" t="s">
        <v>63</v>
      </c>
      <c r="G2342">
        <v>6354.26</v>
      </c>
      <c r="H2342">
        <v>4878.6899999999996</v>
      </c>
      <c r="I2342">
        <v>54891.05</v>
      </c>
      <c r="J2342" t="s">
        <v>25</v>
      </c>
      <c r="K2342" t="s">
        <v>45</v>
      </c>
      <c r="L2342">
        <v>441179.39</v>
      </c>
      <c r="M2342">
        <v>300</v>
      </c>
      <c r="N2342">
        <v>3200.25</v>
      </c>
      <c r="O2342">
        <v>7.29</v>
      </c>
      <c r="P2342">
        <v>0.5</v>
      </c>
      <c r="Q2342">
        <v>537</v>
      </c>
      <c r="R2342">
        <v>0.72</v>
      </c>
      <c r="S2342" t="s">
        <v>39</v>
      </c>
      <c r="T2342" s="1">
        <v>45503</v>
      </c>
      <c r="U2342">
        <v>1</v>
      </c>
    </row>
    <row r="2343" spans="1:21" x14ac:dyDescent="0.25">
      <c r="A2343" t="s">
        <v>2390</v>
      </c>
      <c r="B2343">
        <v>22</v>
      </c>
      <c r="C2343" t="s">
        <v>21</v>
      </c>
      <c r="D2343" t="s">
        <v>35</v>
      </c>
      <c r="E2343" t="s">
        <v>31</v>
      </c>
      <c r="F2343" t="s">
        <v>49</v>
      </c>
      <c r="G2343">
        <v>2271.87</v>
      </c>
      <c r="H2343">
        <v>1229.01</v>
      </c>
      <c r="I2343">
        <v>7850.34</v>
      </c>
      <c r="J2343" t="s">
        <v>37</v>
      </c>
      <c r="K2343" t="s">
        <v>38</v>
      </c>
      <c r="L2343">
        <v>0</v>
      </c>
      <c r="M2343">
        <v>0</v>
      </c>
      <c r="N2343">
        <v>0</v>
      </c>
      <c r="O2343">
        <v>0</v>
      </c>
      <c r="P2343">
        <v>0</v>
      </c>
      <c r="Q2343">
        <v>717</v>
      </c>
      <c r="R2343">
        <v>0.28999999999999998</v>
      </c>
      <c r="S2343" t="s">
        <v>39</v>
      </c>
      <c r="T2343" s="1">
        <v>45254</v>
      </c>
      <c r="U2343">
        <v>0</v>
      </c>
    </row>
    <row r="2344" spans="1:21" x14ac:dyDescent="0.25">
      <c r="A2344" t="s">
        <v>2391</v>
      </c>
      <c r="B2344">
        <v>18</v>
      </c>
      <c r="C2344" t="s">
        <v>29</v>
      </c>
      <c r="D2344" t="s">
        <v>41</v>
      </c>
      <c r="E2344" t="s">
        <v>31</v>
      </c>
      <c r="F2344" t="s">
        <v>42</v>
      </c>
      <c r="G2344">
        <v>3868.84</v>
      </c>
      <c r="H2344">
        <v>1256.71</v>
      </c>
      <c r="I2344">
        <v>21110.11</v>
      </c>
      <c r="J2344" t="s">
        <v>37</v>
      </c>
      <c r="K2344" t="s">
        <v>38</v>
      </c>
      <c r="L2344">
        <v>0</v>
      </c>
      <c r="M2344">
        <v>0</v>
      </c>
      <c r="N2344">
        <v>0</v>
      </c>
      <c r="O2344">
        <v>0</v>
      </c>
      <c r="P2344">
        <v>0</v>
      </c>
      <c r="Q2344">
        <v>768</v>
      </c>
      <c r="R2344">
        <v>0.45</v>
      </c>
      <c r="S2344" t="s">
        <v>39</v>
      </c>
      <c r="T2344" s="1">
        <v>45352</v>
      </c>
      <c r="U2344">
        <v>0</v>
      </c>
    </row>
    <row r="2345" spans="1:21" x14ac:dyDescent="0.25">
      <c r="A2345" t="s">
        <v>2392</v>
      </c>
      <c r="B2345">
        <v>69</v>
      </c>
      <c r="C2345" t="s">
        <v>29</v>
      </c>
      <c r="D2345" t="s">
        <v>35</v>
      </c>
      <c r="E2345" t="s">
        <v>31</v>
      </c>
      <c r="F2345" t="s">
        <v>32</v>
      </c>
      <c r="G2345">
        <v>3831.39</v>
      </c>
      <c r="H2345">
        <v>3330.71</v>
      </c>
      <c r="I2345">
        <v>43249.43</v>
      </c>
      <c r="J2345" t="s">
        <v>37</v>
      </c>
      <c r="K2345" t="s">
        <v>38</v>
      </c>
      <c r="L2345">
        <v>0</v>
      </c>
      <c r="M2345">
        <v>0</v>
      </c>
      <c r="N2345">
        <v>0</v>
      </c>
      <c r="O2345">
        <v>0</v>
      </c>
      <c r="P2345">
        <v>0</v>
      </c>
      <c r="Q2345">
        <v>522</v>
      </c>
      <c r="R2345">
        <v>0.94</v>
      </c>
      <c r="S2345" t="s">
        <v>47</v>
      </c>
      <c r="T2345" s="1">
        <v>44489</v>
      </c>
      <c r="U2345">
        <v>0</v>
      </c>
    </row>
    <row r="2346" spans="1:21" x14ac:dyDescent="0.25">
      <c r="A2346" t="s">
        <v>2393</v>
      </c>
      <c r="B2346">
        <v>19</v>
      </c>
      <c r="C2346" t="s">
        <v>21</v>
      </c>
      <c r="D2346" t="s">
        <v>41</v>
      </c>
      <c r="E2346" t="s">
        <v>23</v>
      </c>
      <c r="F2346" t="s">
        <v>24</v>
      </c>
      <c r="G2346">
        <v>2833.99</v>
      </c>
      <c r="H2346">
        <v>2103.4299999999998</v>
      </c>
      <c r="I2346">
        <v>21389.5</v>
      </c>
      <c r="J2346" t="s">
        <v>37</v>
      </c>
      <c r="K2346" t="s">
        <v>38</v>
      </c>
      <c r="L2346">
        <v>0</v>
      </c>
      <c r="M2346">
        <v>0</v>
      </c>
      <c r="N2346">
        <v>0</v>
      </c>
      <c r="O2346">
        <v>0</v>
      </c>
      <c r="P2346">
        <v>0</v>
      </c>
      <c r="Q2346">
        <v>575</v>
      </c>
      <c r="R2346">
        <v>0.63</v>
      </c>
      <c r="S2346" t="s">
        <v>30</v>
      </c>
      <c r="T2346" s="1">
        <v>44587</v>
      </c>
      <c r="U2346">
        <v>0</v>
      </c>
    </row>
    <row r="2347" spans="1:21" x14ac:dyDescent="0.25">
      <c r="A2347" t="s">
        <v>2394</v>
      </c>
      <c r="B2347">
        <v>28</v>
      </c>
      <c r="C2347" t="s">
        <v>29</v>
      </c>
      <c r="D2347" t="s">
        <v>41</v>
      </c>
      <c r="E2347" t="s">
        <v>49</v>
      </c>
      <c r="F2347" t="s">
        <v>52</v>
      </c>
      <c r="G2347">
        <v>1802.54</v>
      </c>
      <c r="H2347">
        <v>1056.55</v>
      </c>
      <c r="I2347">
        <v>11579.05</v>
      </c>
      <c r="J2347" t="s">
        <v>37</v>
      </c>
      <c r="K2347" t="s">
        <v>38</v>
      </c>
      <c r="L2347">
        <v>0</v>
      </c>
      <c r="M2347">
        <v>0</v>
      </c>
      <c r="N2347">
        <v>0</v>
      </c>
      <c r="O2347">
        <v>0</v>
      </c>
      <c r="P2347">
        <v>0</v>
      </c>
      <c r="Q2347">
        <v>745</v>
      </c>
      <c r="R2347">
        <v>0.54</v>
      </c>
      <c r="S2347" t="s">
        <v>30</v>
      </c>
      <c r="T2347" s="1">
        <v>45722</v>
      </c>
      <c r="U2347">
        <v>0</v>
      </c>
    </row>
    <row r="2348" spans="1:21" x14ac:dyDescent="0.25">
      <c r="A2348" t="s">
        <v>2395</v>
      </c>
      <c r="B2348">
        <v>46</v>
      </c>
      <c r="C2348" t="s">
        <v>29</v>
      </c>
      <c r="D2348" t="s">
        <v>30</v>
      </c>
      <c r="E2348" t="s">
        <v>31</v>
      </c>
      <c r="F2348" t="s">
        <v>24</v>
      </c>
      <c r="G2348">
        <v>6790.08</v>
      </c>
      <c r="H2348">
        <v>5911.73</v>
      </c>
      <c r="I2348">
        <v>73269.75</v>
      </c>
      <c r="J2348" t="s">
        <v>37</v>
      </c>
      <c r="K2348" t="s">
        <v>38</v>
      </c>
      <c r="L2348">
        <v>0</v>
      </c>
      <c r="M2348">
        <v>0</v>
      </c>
      <c r="N2348">
        <v>0</v>
      </c>
      <c r="O2348">
        <v>0</v>
      </c>
      <c r="P2348">
        <v>0</v>
      </c>
      <c r="Q2348">
        <v>416</v>
      </c>
      <c r="R2348">
        <v>0.9</v>
      </c>
      <c r="S2348" t="s">
        <v>47</v>
      </c>
      <c r="T2348" s="1">
        <v>44737</v>
      </c>
      <c r="U2348">
        <v>0</v>
      </c>
    </row>
    <row r="2349" spans="1:21" x14ac:dyDescent="0.25">
      <c r="A2349" t="s">
        <v>2396</v>
      </c>
      <c r="B2349">
        <v>50</v>
      </c>
      <c r="C2349" t="s">
        <v>29</v>
      </c>
      <c r="D2349" t="s">
        <v>22</v>
      </c>
      <c r="E2349" t="s">
        <v>31</v>
      </c>
      <c r="F2349" t="s">
        <v>52</v>
      </c>
      <c r="G2349">
        <v>500</v>
      </c>
      <c r="H2349">
        <v>153.01</v>
      </c>
      <c r="I2349">
        <v>1997.79</v>
      </c>
      <c r="J2349" t="s">
        <v>37</v>
      </c>
      <c r="K2349" t="s">
        <v>38</v>
      </c>
      <c r="L2349">
        <v>0</v>
      </c>
      <c r="M2349">
        <v>0</v>
      </c>
      <c r="N2349">
        <v>0</v>
      </c>
      <c r="O2349">
        <v>0</v>
      </c>
      <c r="P2349">
        <v>0</v>
      </c>
      <c r="Q2349">
        <v>330</v>
      </c>
      <c r="R2349">
        <v>0.33</v>
      </c>
      <c r="S2349" t="s">
        <v>30</v>
      </c>
      <c r="T2349" s="1">
        <v>45657</v>
      </c>
      <c r="U2349">
        <v>0</v>
      </c>
    </row>
    <row r="2350" spans="1:21" x14ac:dyDescent="0.25">
      <c r="A2350" t="s">
        <v>2397</v>
      </c>
      <c r="B2350">
        <v>32</v>
      </c>
      <c r="C2350" t="s">
        <v>30</v>
      </c>
      <c r="D2350" t="s">
        <v>22</v>
      </c>
      <c r="E2350" t="s">
        <v>31</v>
      </c>
      <c r="F2350" t="s">
        <v>52</v>
      </c>
      <c r="G2350">
        <v>2253.5700000000002</v>
      </c>
      <c r="H2350">
        <v>2000.08</v>
      </c>
      <c r="I2350">
        <v>21950.07</v>
      </c>
      <c r="J2350" t="s">
        <v>37</v>
      </c>
      <c r="K2350" t="s">
        <v>38</v>
      </c>
      <c r="L2350">
        <v>0</v>
      </c>
      <c r="M2350">
        <v>0</v>
      </c>
      <c r="N2350">
        <v>0</v>
      </c>
      <c r="O2350">
        <v>0</v>
      </c>
      <c r="P2350">
        <v>0</v>
      </c>
      <c r="Q2350">
        <v>692</v>
      </c>
      <c r="R2350">
        <v>0.81</v>
      </c>
      <c r="S2350" t="s">
        <v>30</v>
      </c>
      <c r="T2350" s="1">
        <v>45388</v>
      </c>
      <c r="U2350">
        <v>0</v>
      </c>
    </row>
    <row r="2351" spans="1:21" x14ac:dyDescent="0.25">
      <c r="A2351" t="s">
        <v>2398</v>
      </c>
      <c r="B2351">
        <v>35</v>
      </c>
      <c r="C2351" t="s">
        <v>21</v>
      </c>
      <c r="D2351" t="s">
        <v>22</v>
      </c>
      <c r="E2351" t="s">
        <v>31</v>
      </c>
      <c r="F2351" t="s">
        <v>49</v>
      </c>
      <c r="G2351">
        <v>7176.72</v>
      </c>
      <c r="H2351">
        <v>5306.74</v>
      </c>
      <c r="I2351">
        <v>28915.439999999999</v>
      </c>
      <c r="J2351" t="s">
        <v>37</v>
      </c>
      <c r="K2351" t="s">
        <v>38</v>
      </c>
      <c r="L2351">
        <v>0</v>
      </c>
      <c r="M2351">
        <v>0</v>
      </c>
      <c r="N2351">
        <v>0</v>
      </c>
      <c r="O2351">
        <v>0</v>
      </c>
      <c r="P2351">
        <v>0</v>
      </c>
      <c r="Q2351">
        <v>550</v>
      </c>
      <c r="R2351">
        <v>0.34</v>
      </c>
      <c r="S2351" t="s">
        <v>30</v>
      </c>
      <c r="T2351" s="1">
        <v>45860</v>
      </c>
      <c r="U2351">
        <v>0</v>
      </c>
    </row>
    <row r="2352" spans="1:21" x14ac:dyDescent="0.25">
      <c r="A2352" t="s">
        <v>2399</v>
      </c>
      <c r="B2352">
        <v>18</v>
      </c>
      <c r="C2352" t="s">
        <v>21</v>
      </c>
      <c r="D2352" t="s">
        <v>22</v>
      </c>
      <c r="E2352" t="s">
        <v>51</v>
      </c>
      <c r="F2352" t="s">
        <v>24</v>
      </c>
      <c r="G2352">
        <v>2511.1999999999998</v>
      </c>
      <c r="H2352">
        <v>2031.69</v>
      </c>
      <c r="I2352">
        <v>26864.35</v>
      </c>
      <c r="J2352" t="s">
        <v>37</v>
      </c>
      <c r="K2352" t="s">
        <v>38</v>
      </c>
      <c r="L2352">
        <v>0</v>
      </c>
      <c r="M2352">
        <v>0</v>
      </c>
      <c r="N2352">
        <v>0</v>
      </c>
      <c r="O2352">
        <v>0</v>
      </c>
      <c r="P2352">
        <v>0</v>
      </c>
      <c r="Q2352">
        <v>414</v>
      </c>
      <c r="R2352">
        <v>0.89</v>
      </c>
      <c r="S2352" t="s">
        <v>72</v>
      </c>
      <c r="T2352" s="1">
        <v>45196</v>
      </c>
      <c r="U2352">
        <v>0</v>
      </c>
    </row>
    <row r="2353" spans="1:21" x14ac:dyDescent="0.25">
      <c r="A2353" t="s">
        <v>2400</v>
      </c>
      <c r="B2353">
        <v>33</v>
      </c>
      <c r="C2353" t="s">
        <v>21</v>
      </c>
      <c r="D2353" t="s">
        <v>41</v>
      </c>
      <c r="E2353" t="s">
        <v>49</v>
      </c>
      <c r="F2353" t="s">
        <v>42</v>
      </c>
      <c r="G2353">
        <v>2768.83</v>
      </c>
      <c r="H2353">
        <v>1169.8399999999999</v>
      </c>
      <c r="I2353">
        <v>8440.16</v>
      </c>
      <c r="J2353" t="s">
        <v>37</v>
      </c>
      <c r="K2353" t="s">
        <v>38</v>
      </c>
      <c r="L2353">
        <v>0</v>
      </c>
      <c r="M2353">
        <v>0</v>
      </c>
      <c r="N2353">
        <v>0</v>
      </c>
      <c r="O2353">
        <v>0</v>
      </c>
      <c r="P2353">
        <v>0</v>
      </c>
      <c r="Q2353">
        <v>812</v>
      </c>
      <c r="R2353">
        <v>0.25</v>
      </c>
      <c r="S2353" t="s">
        <v>47</v>
      </c>
      <c r="T2353" s="1">
        <v>44660</v>
      </c>
      <c r="U2353">
        <v>0</v>
      </c>
    </row>
    <row r="2354" spans="1:21" x14ac:dyDescent="0.25">
      <c r="A2354" t="s">
        <v>2401</v>
      </c>
      <c r="B2354">
        <v>33</v>
      </c>
      <c r="C2354" t="s">
        <v>21</v>
      </c>
      <c r="D2354" t="s">
        <v>22</v>
      </c>
      <c r="E2354" t="s">
        <v>49</v>
      </c>
      <c r="F2354" t="s">
        <v>32</v>
      </c>
      <c r="G2354">
        <v>1894.02</v>
      </c>
      <c r="H2354">
        <v>1614.09</v>
      </c>
      <c r="I2354">
        <v>9277.16</v>
      </c>
      <c r="J2354" t="s">
        <v>37</v>
      </c>
      <c r="K2354" t="s">
        <v>38</v>
      </c>
      <c r="L2354">
        <v>0</v>
      </c>
      <c r="M2354">
        <v>0</v>
      </c>
      <c r="N2354">
        <v>0</v>
      </c>
      <c r="O2354">
        <v>0</v>
      </c>
      <c r="P2354">
        <v>0</v>
      </c>
      <c r="Q2354">
        <v>379</v>
      </c>
      <c r="R2354">
        <v>0.41</v>
      </c>
      <c r="S2354" t="s">
        <v>39</v>
      </c>
      <c r="T2354" s="1">
        <v>45571</v>
      </c>
      <c r="U2354">
        <v>0</v>
      </c>
    </row>
    <row r="2355" spans="1:21" x14ac:dyDescent="0.25">
      <c r="A2355" t="s">
        <v>2402</v>
      </c>
      <c r="B2355">
        <v>66</v>
      </c>
      <c r="C2355" t="s">
        <v>29</v>
      </c>
      <c r="D2355" t="s">
        <v>56</v>
      </c>
      <c r="E2355" t="s">
        <v>31</v>
      </c>
      <c r="F2355" t="s">
        <v>32</v>
      </c>
      <c r="G2355">
        <v>5626.6</v>
      </c>
      <c r="H2355">
        <v>3897.82</v>
      </c>
      <c r="I2355">
        <v>48165.61</v>
      </c>
      <c r="J2355" t="s">
        <v>25</v>
      </c>
      <c r="K2355" t="s">
        <v>26</v>
      </c>
      <c r="L2355">
        <v>205509.22</v>
      </c>
      <c r="M2355">
        <v>300</v>
      </c>
      <c r="N2355">
        <v>3245.35</v>
      </c>
      <c r="O2355">
        <v>18.77</v>
      </c>
      <c r="P2355">
        <v>0.57999999999999996</v>
      </c>
      <c r="Q2355">
        <v>399</v>
      </c>
      <c r="R2355">
        <v>0.71</v>
      </c>
      <c r="S2355" t="s">
        <v>47</v>
      </c>
      <c r="T2355" s="1">
        <v>45766</v>
      </c>
      <c r="U2355">
        <v>1</v>
      </c>
    </row>
    <row r="2356" spans="1:21" x14ac:dyDescent="0.25">
      <c r="A2356" t="s">
        <v>2403</v>
      </c>
      <c r="B2356">
        <v>57</v>
      </c>
      <c r="C2356" t="s">
        <v>21</v>
      </c>
      <c r="D2356" t="s">
        <v>35</v>
      </c>
      <c r="E2356" t="s">
        <v>31</v>
      </c>
      <c r="F2356" t="s">
        <v>49</v>
      </c>
      <c r="G2356">
        <v>4989.2700000000004</v>
      </c>
      <c r="H2356">
        <v>1577.44</v>
      </c>
      <c r="I2356">
        <v>47717.23</v>
      </c>
      <c r="J2356" t="s">
        <v>37</v>
      </c>
      <c r="K2356" t="s">
        <v>38</v>
      </c>
      <c r="L2356">
        <v>0</v>
      </c>
      <c r="M2356">
        <v>0</v>
      </c>
      <c r="N2356">
        <v>0</v>
      </c>
      <c r="O2356">
        <v>0</v>
      </c>
      <c r="P2356">
        <v>0</v>
      </c>
      <c r="Q2356">
        <v>351</v>
      </c>
      <c r="R2356">
        <v>0.8</v>
      </c>
      <c r="S2356" t="s">
        <v>39</v>
      </c>
      <c r="T2356" s="1">
        <v>45719</v>
      </c>
      <c r="U2356">
        <v>0</v>
      </c>
    </row>
    <row r="2357" spans="1:21" x14ac:dyDescent="0.25">
      <c r="A2357" t="s">
        <v>2404</v>
      </c>
      <c r="B2357">
        <v>56</v>
      </c>
      <c r="C2357" t="s">
        <v>21</v>
      </c>
      <c r="D2357" t="s">
        <v>35</v>
      </c>
      <c r="E2357" t="s">
        <v>49</v>
      </c>
      <c r="F2357" t="s">
        <v>23</v>
      </c>
      <c r="G2357">
        <v>6280.46</v>
      </c>
      <c r="H2357">
        <v>4827.76</v>
      </c>
      <c r="I2357">
        <v>73516.67</v>
      </c>
      <c r="J2357" t="s">
        <v>25</v>
      </c>
      <c r="K2357" t="s">
        <v>33</v>
      </c>
      <c r="L2357">
        <v>106832.12</v>
      </c>
      <c r="M2357">
        <v>360</v>
      </c>
      <c r="N2357">
        <v>1126.93</v>
      </c>
      <c r="O2357">
        <v>12.34</v>
      </c>
      <c r="P2357">
        <v>0.18</v>
      </c>
      <c r="Q2357">
        <v>575</v>
      </c>
      <c r="R2357">
        <v>0.98</v>
      </c>
      <c r="S2357" t="s">
        <v>39</v>
      </c>
      <c r="T2357" s="1">
        <v>45692</v>
      </c>
      <c r="U2357">
        <v>0</v>
      </c>
    </row>
    <row r="2358" spans="1:21" x14ac:dyDescent="0.25">
      <c r="A2358" t="s">
        <v>2405</v>
      </c>
      <c r="B2358">
        <v>51</v>
      </c>
      <c r="C2358" t="s">
        <v>21</v>
      </c>
      <c r="D2358" t="s">
        <v>41</v>
      </c>
      <c r="E2358" t="s">
        <v>31</v>
      </c>
      <c r="F2358" t="s">
        <v>44</v>
      </c>
      <c r="G2358">
        <v>6203.56</v>
      </c>
      <c r="H2358">
        <v>3462.08</v>
      </c>
      <c r="I2358">
        <v>12471.1</v>
      </c>
      <c r="J2358" t="s">
        <v>25</v>
      </c>
      <c r="K2358" t="s">
        <v>26</v>
      </c>
      <c r="L2358">
        <v>27976.18</v>
      </c>
      <c r="M2358">
        <v>360</v>
      </c>
      <c r="N2358">
        <v>285.39999999999998</v>
      </c>
      <c r="O2358">
        <v>11.89</v>
      </c>
      <c r="P2358">
        <v>0.05</v>
      </c>
      <c r="Q2358">
        <v>706</v>
      </c>
      <c r="R2358">
        <v>0.17</v>
      </c>
      <c r="S2358" t="s">
        <v>30</v>
      </c>
      <c r="T2358" s="1">
        <v>45507</v>
      </c>
      <c r="U2358">
        <v>0</v>
      </c>
    </row>
    <row r="2359" spans="1:21" x14ac:dyDescent="0.25">
      <c r="A2359" t="s">
        <v>2406</v>
      </c>
      <c r="B2359">
        <v>68</v>
      </c>
      <c r="C2359" t="s">
        <v>29</v>
      </c>
      <c r="D2359" t="s">
        <v>35</v>
      </c>
      <c r="E2359" t="s">
        <v>31</v>
      </c>
      <c r="F2359" t="s">
        <v>36</v>
      </c>
      <c r="G2359">
        <v>2957.78</v>
      </c>
      <c r="H2359">
        <v>2582.15</v>
      </c>
      <c r="I2359">
        <v>14448.53</v>
      </c>
      <c r="J2359" t="s">
        <v>25</v>
      </c>
      <c r="K2359" t="s">
        <v>54</v>
      </c>
      <c r="L2359">
        <v>30611.68</v>
      </c>
      <c r="M2359">
        <v>360</v>
      </c>
      <c r="N2359">
        <v>280.47000000000003</v>
      </c>
      <c r="O2359">
        <v>10.52</v>
      </c>
      <c r="P2359">
        <v>0.09</v>
      </c>
      <c r="Q2359">
        <v>753</v>
      </c>
      <c r="R2359">
        <v>0.41</v>
      </c>
      <c r="S2359" t="s">
        <v>47</v>
      </c>
      <c r="T2359" s="1">
        <v>44482</v>
      </c>
      <c r="U2359">
        <v>0</v>
      </c>
    </row>
    <row r="2360" spans="1:21" x14ac:dyDescent="0.25">
      <c r="A2360" t="s">
        <v>2407</v>
      </c>
      <c r="B2360">
        <v>31</v>
      </c>
      <c r="C2360" t="s">
        <v>30</v>
      </c>
      <c r="D2360" t="s">
        <v>41</v>
      </c>
      <c r="E2360" t="s">
        <v>51</v>
      </c>
      <c r="F2360" t="s">
        <v>42</v>
      </c>
      <c r="G2360">
        <v>2737.49</v>
      </c>
      <c r="H2360">
        <v>1665.36</v>
      </c>
      <c r="I2360">
        <v>15731.55</v>
      </c>
      <c r="J2360" t="s">
        <v>37</v>
      </c>
      <c r="K2360" t="s">
        <v>38</v>
      </c>
      <c r="L2360">
        <v>0</v>
      </c>
      <c r="M2360">
        <v>0</v>
      </c>
      <c r="N2360">
        <v>0</v>
      </c>
      <c r="O2360">
        <v>0</v>
      </c>
      <c r="P2360">
        <v>0</v>
      </c>
      <c r="Q2360">
        <v>700</v>
      </c>
      <c r="R2360">
        <v>0.48</v>
      </c>
      <c r="S2360" t="s">
        <v>72</v>
      </c>
      <c r="T2360" s="1">
        <v>44740</v>
      </c>
      <c r="U2360">
        <v>0</v>
      </c>
    </row>
    <row r="2361" spans="1:21" x14ac:dyDescent="0.25">
      <c r="A2361" t="s">
        <v>2408</v>
      </c>
      <c r="B2361">
        <v>35</v>
      </c>
      <c r="C2361" t="s">
        <v>21</v>
      </c>
      <c r="D2361" t="s">
        <v>41</v>
      </c>
      <c r="E2361" t="s">
        <v>31</v>
      </c>
      <c r="F2361" t="s">
        <v>32</v>
      </c>
      <c r="G2361">
        <v>6286.03</v>
      </c>
      <c r="H2361">
        <v>1994.63</v>
      </c>
      <c r="I2361">
        <v>18263.41</v>
      </c>
      <c r="J2361" t="s">
        <v>37</v>
      </c>
      <c r="K2361" t="s">
        <v>38</v>
      </c>
      <c r="L2361">
        <v>0</v>
      </c>
      <c r="M2361">
        <v>0</v>
      </c>
      <c r="N2361">
        <v>0</v>
      </c>
      <c r="O2361">
        <v>0</v>
      </c>
      <c r="P2361">
        <v>0</v>
      </c>
      <c r="Q2361">
        <v>713</v>
      </c>
      <c r="R2361">
        <v>0.24</v>
      </c>
      <c r="S2361" t="s">
        <v>39</v>
      </c>
      <c r="T2361" s="1">
        <v>45078</v>
      </c>
      <c r="U2361">
        <v>0</v>
      </c>
    </row>
    <row r="2362" spans="1:21" x14ac:dyDescent="0.25">
      <c r="A2362" t="s">
        <v>2409</v>
      </c>
      <c r="B2362">
        <v>56</v>
      </c>
      <c r="C2362" t="s">
        <v>29</v>
      </c>
      <c r="D2362" t="s">
        <v>41</v>
      </c>
      <c r="E2362" t="s">
        <v>31</v>
      </c>
      <c r="F2362" t="s">
        <v>24</v>
      </c>
      <c r="G2362">
        <v>4810.37</v>
      </c>
      <c r="H2362">
        <v>4274.07</v>
      </c>
      <c r="I2362">
        <v>15913.36</v>
      </c>
      <c r="J2362" t="s">
        <v>37</v>
      </c>
      <c r="K2362" t="s">
        <v>38</v>
      </c>
      <c r="L2362">
        <v>0</v>
      </c>
      <c r="M2362">
        <v>0</v>
      </c>
      <c r="N2362">
        <v>0</v>
      </c>
      <c r="O2362">
        <v>0</v>
      </c>
      <c r="P2362">
        <v>0</v>
      </c>
      <c r="Q2362">
        <v>614</v>
      </c>
      <c r="R2362">
        <v>0.28000000000000003</v>
      </c>
      <c r="S2362" t="s">
        <v>47</v>
      </c>
      <c r="T2362" s="1">
        <v>44841</v>
      </c>
      <c r="U2362">
        <v>0</v>
      </c>
    </row>
    <row r="2363" spans="1:21" x14ac:dyDescent="0.25">
      <c r="A2363" t="s">
        <v>2410</v>
      </c>
      <c r="B2363">
        <v>38</v>
      </c>
      <c r="C2363" t="s">
        <v>29</v>
      </c>
      <c r="D2363" t="s">
        <v>41</v>
      </c>
      <c r="E2363" t="s">
        <v>31</v>
      </c>
      <c r="F2363" t="s">
        <v>36</v>
      </c>
      <c r="G2363">
        <v>2804.92</v>
      </c>
      <c r="H2363">
        <v>2332.4499999999998</v>
      </c>
      <c r="I2363">
        <v>11680.41</v>
      </c>
      <c r="J2363" t="s">
        <v>25</v>
      </c>
      <c r="K2363" t="s">
        <v>26</v>
      </c>
      <c r="L2363">
        <v>348519.5</v>
      </c>
      <c r="M2363">
        <v>180</v>
      </c>
      <c r="N2363">
        <v>4432.57</v>
      </c>
      <c r="O2363">
        <v>13.1</v>
      </c>
      <c r="P2363">
        <v>1.58</v>
      </c>
      <c r="Q2363">
        <v>358</v>
      </c>
      <c r="R2363">
        <v>0.35</v>
      </c>
      <c r="S2363" t="s">
        <v>47</v>
      </c>
      <c r="T2363" s="1">
        <v>45341</v>
      </c>
      <c r="U2363">
        <v>1</v>
      </c>
    </row>
    <row r="2364" spans="1:21" x14ac:dyDescent="0.25">
      <c r="A2364" t="s">
        <v>2411</v>
      </c>
      <c r="B2364">
        <v>31</v>
      </c>
      <c r="C2364" t="s">
        <v>21</v>
      </c>
      <c r="D2364" t="s">
        <v>41</v>
      </c>
      <c r="E2364" t="s">
        <v>31</v>
      </c>
      <c r="F2364" t="s">
        <v>32</v>
      </c>
      <c r="G2364">
        <v>3401.41</v>
      </c>
      <c r="H2364">
        <v>1692.33</v>
      </c>
      <c r="I2364">
        <v>20935.55</v>
      </c>
      <c r="J2364" t="s">
        <v>37</v>
      </c>
      <c r="K2364" t="s">
        <v>38</v>
      </c>
      <c r="L2364">
        <v>0</v>
      </c>
      <c r="M2364">
        <v>0</v>
      </c>
      <c r="N2364">
        <v>0</v>
      </c>
      <c r="O2364">
        <v>0</v>
      </c>
      <c r="P2364">
        <v>0</v>
      </c>
      <c r="Q2364">
        <v>581</v>
      </c>
      <c r="R2364">
        <v>0.51</v>
      </c>
      <c r="S2364" t="s">
        <v>72</v>
      </c>
      <c r="T2364" s="1">
        <v>45253</v>
      </c>
      <c r="U2364">
        <v>0</v>
      </c>
    </row>
    <row r="2365" spans="1:21" x14ac:dyDescent="0.25">
      <c r="A2365" t="s">
        <v>2412</v>
      </c>
      <c r="B2365">
        <v>67</v>
      </c>
      <c r="C2365" t="s">
        <v>29</v>
      </c>
      <c r="D2365" t="s">
        <v>35</v>
      </c>
      <c r="E2365" t="s">
        <v>31</v>
      </c>
      <c r="F2365" t="s">
        <v>42</v>
      </c>
      <c r="G2365">
        <v>5167.03</v>
      </c>
      <c r="H2365">
        <v>3303.09</v>
      </c>
      <c r="I2365">
        <v>12716.79</v>
      </c>
      <c r="J2365" t="s">
        <v>25</v>
      </c>
      <c r="K2365" t="s">
        <v>45</v>
      </c>
      <c r="L2365">
        <v>95983.39</v>
      </c>
      <c r="M2365">
        <v>300</v>
      </c>
      <c r="N2365">
        <v>1733.58</v>
      </c>
      <c r="O2365">
        <v>21.57</v>
      </c>
      <c r="P2365">
        <v>0.34</v>
      </c>
      <c r="Q2365">
        <v>833</v>
      </c>
      <c r="R2365">
        <v>0.21</v>
      </c>
      <c r="S2365" t="s">
        <v>72</v>
      </c>
      <c r="T2365" s="1">
        <v>45464</v>
      </c>
      <c r="U2365">
        <v>0</v>
      </c>
    </row>
    <row r="2366" spans="1:21" x14ac:dyDescent="0.25">
      <c r="A2366" t="s">
        <v>2413</v>
      </c>
      <c r="B2366">
        <v>44</v>
      </c>
      <c r="C2366" t="s">
        <v>21</v>
      </c>
      <c r="D2366" t="s">
        <v>35</v>
      </c>
      <c r="E2366" t="s">
        <v>31</v>
      </c>
      <c r="F2366" t="s">
        <v>42</v>
      </c>
      <c r="G2366">
        <v>500</v>
      </c>
      <c r="H2366">
        <v>256.35000000000002</v>
      </c>
      <c r="I2366">
        <v>2513.88</v>
      </c>
      <c r="J2366" t="s">
        <v>37</v>
      </c>
      <c r="K2366" t="s">
        <v>38</v>
      </c>
      <c r="L2366">
        <v>0</v>
      </c>
      <c r="M2366">
        <v>0</v>
      </c>
      <c r="N2366">
        <v>0</v>
      </c>
      <c r="O2366">
        <v>0</v>
      </c>
      <c r="P2366">
        <v>0</v>
      </c>
      <c r="Q2366">
        <v>781</v>
      </c>
      <c r="R2366">
        <v>0.42</v>
      </c>
      <c r="S2366" t="s">
        <v>39</v>
      </c>
      <c r="T2366" s="1">
        <v>45724</v>
      </c>
      <c r="U2366">
        <v>0</v>
      </c>
    </row>
    <row r="2367" spans="1:21" x14ac:dyDescent="0.25">
      <c r="A2367" t="s">
        <v>2414</v>
      </c>
      <c r="B2367">
        <v>32</v>
      </c>
      <c r="C2367" t="s">
        <v>21</v>
      </c>
      <c r="D2367" t="s">
        <v>41</v>
      </c>
      <c r="E2367" t="s">
        <v>31</v>
      </c>
      <c r="F2367" t="s">
        <v>32</v>
      </c>
      <c r="G2367">
        <v>2989.12</v>
      </c>
      <c r="H2367">
        <v>2420.77</v>
      </c>
      <c r="I2367">
        <v>18967.14</v>
      </c>
      <c r="J2367" t="s">
        <v>37</v>
      </c>
      <c r="K2367" t="s">
        <v>38</v>
      </c>
      <c r="L2367">
        <v>0</v>
      </c>
      <c r="M2367">
        <v>0</v>
      </c>
      <c r="N2367">
        <v>0</v>
      </c>
      <c r="O2367">
        <v>0</v>
      </c>
      <c r="P2367">
        <v>0</v>
      </c>
      <c r="Q2367">
        <v>651</v>
      </c>
      <c r="R2367">
        <v>0.53</v>
      </c>
      <c r="S2367" t="s">
        <v>27</v>
      </c>
      <c r="T2367" s="1">
        <v>45553</v>
      </c>
      <c r="U2367">
        <v>0</v>
      </c>
    </row>
    <row r="2368" spans="1:21" x14ac:dyDescent="0.25">
      <c r="A2368" t="s">
        <v>2415</v>
      </c>
      <c r="B2368">
        <v>19</v>
      </c>
      <c r="C2368" t="s">
        <v>29</v>
      </c>
      <c r="D2368" t="s">
        <v>41</v>
      </c>
      <c r="E2368" t="s">
        <v>31</v>
      </c>
      <c r="F2368" t="s">
        <v>32</v>
      </c>
      <c r="G2368">
        <v>6968.68</v>
      </c>
      <c r="H2368">
        <v>5553.87</v>
      </c>
      <c r="I2368">
        <v>65254.26</v>
      </c>
      <c r="J2368" t="s">
        <v>37</v>
      </c>
      <c r="K2368" t="s">
        <v>38</v>
      </c>
      <c r="L2368">
        <v>0</v>
      </c>
      <c r="M2368">
        <v>0</v>
      </c>
      <c r="N2368">
        <v>0</v>
      </c>
      <c r="O2368">
        <v>0</v>
      </c>
      <c r="P2368">
        <v>0</v>
      </c>
      <c r="Q2368">
        <v>737</v>
      </c>
      <c r="R2368">
        <v>0.78</v>
      </c>
      <c r="S2368" t="s">
        <v>72</v>
      </c>
      <c r="T2368" s="1">
        <v>45350</v>
      </c>
      <c r="U2368">
        <v>0</v>
      </c>
    </row>
    <row r="2369" spans="1:21" x14ac:dyDescent="0.25">
      <c r="A2369" t="s">
        <v>2416</v>
      </c>
      <c r="B2369">
        <v>65</v>
      </c>
      <c r="C2369" t="s">
        <v>29</v>
      </c>
      <c r="D2369" t="s">
        <v>22</v>
      </c>
      <c r="E2369" t="s">
        <v>31</v>
      </c>
      <c r="F2369" t="s">
        <v>63</v>
      </c>
      <c r="G2369">
        <v>3290.98</v>
      </c>
      <c r="H2369">
        <v>2525.11</v>
      </c>
      <c r="I2369">
        <v>5152.76</v>
      </c>
      <c r="J2369" t="s">
        <v>25</v>
      </c>
      <c r="K2369" t="s">
        <v>54</v>
      </c>
      <c r="L2369">
        <v>429999.63</v>
      </c>
      <c r="M2369">
        <v>300</v>
      </c>
      <c r="N2369">
        <v>3416.23</v>
      </c>
      <c r="O2369">
        <v>8.34</v>
      </c>
      <c r="P2369">
        <v>1.04</v>
      </c>
      <c r="Q2369">
        <v>643</v>
      </c>
      <c r="R2369">
        <v>0.13</v>
      </c>
      <c r="S2369" t="s">
        <v>39</v>
      </c>
      <c r="T2369" s="1">
        <v>44492</v>
      </c>
      <c r="U2369">
        <v>1</v>
      </c>
    </row>
    <row r="2370" spans="1:21" x14ac:dyDescent="0.25">
      <c r="A2370" t="s">
        <v>2417</v>
      </c>
      <c r="B2370">
        <v>32</v>
      </c>
      <c r="C2370" t="s">
        <v>29</v>
      </c>
      <c r="D2370" t="s">
        <v>22</v>
      </c>
      <c r="E2370" t="s">
        <v>31</v>
      </c>
      <c r="F2370" t="s">
        <v>32</v>
      </c>
      <c r="G2370">
        <v>5544.79</v>
      </c>
      <c r="H2370">
        <v>3213.01</v>
      </c>
      <c r="I2370">
        <v>53400.21</v>
      </c>
      <c r="J2370" t="s">
        <v>37</v>
      </c>
      <c r="K2370" t="s">
        <v>38</v>
      </c>
      <c r="L2370">
        <v>0</v>
      </c>
      <c r="M2370">
        <v>0</v>
      </c>
      <c r="N2370">
        <v>0</v>
      </c>
      <c r="O2370">
        <v>0</v>
      </c>
      <c r="P2370">
        <v>0</v>
      </c>
      <c r="Q2370">
        <v>386</v>
      </c>
      <c r="R2370">
        <v>0.8</v>
      </c>
      <c r="S2370" t="s">
        <v>39</v>
      </c>
      <c r="T2370" s="1">
        <v>45566</v>
      </c>
      <c r="U2370">
        <v>0</v>
      </c>
    </row>
    <row r="2371" spans="1:21" x14ac:dyDescent="0.25">
      <c r="A2371" t="s">
        <v>2418</v>
      </c>
      <c r="B2371">
        <v>56</v>
      </c>
      <c r="C2371" t="s">
        <v>29</v>
      </c>
      <c r="D2371" t="s">
        <v>22</v>
      </c>
      <c r="E2371" t="s">
        <v>23</v>
      </c>
      <c r="F2371" t="s">
        <v>44</v>
      </c>
      <c r="G2371">
        <v>1680.46</v>
      </c>
      <c r="H2371">
        <v>1509.4</v>
      </c>
      <c r="I2371">
        <v>18281.87</v>
      </c>
      <c r="J2371" t="s">
        <v>37</v>
      </c>
      <c r="K2371" t="s">
        <v>38</v>
      </c>
      <c r="L2371">
        <v>0</v>
      </c>
      <c r="M2371">
        <v>0</v>
      </c>
      <c r="N2371">
        <v>0</v>
      </c>
      <c r="O2371">
        <v>0</v>
      </c>
      <c r="P2371">
        <v>0</v>
      </c>
      <c r="Q2371">
        <v>724</v>
      </c>
      <c r="R2371">
        <v>0.91</v>
      </c>
      <c r="S2371" t="s">
        <v>72</v>
      </c>
      <c r="T2371" s="1">
        <v>45568</v>
      </c>
      <c r="U2371">
        <v>0</v>
      </c>
    </row>
    <row r="2372" spans="1:21" x14ac:dyDescent="0.25">
      <c r="A2372" t="s">
        <v>2419</v>
      </c>
      <c r="B2372">
        <v>27</v>
      </c>
      <c r="C2372" t="s">
        <v>21</v>
      </c>
      <c r="D2372" t="s">
        <v>22</v>
      </c>
      <c r="E2372" t="s">
        <v>31</v>
      </c>
      <c r="F2372" t="s">
        <v>52</v>
      </c>
      <c r="G2372">
        <v>3862.27</v>
      </c>
      <c r="H2372">
        <v>1942.11</v>
      </c>
      <c r="I2372">
        <v>34957.9</v>
      </c>
      <c r="J2372" t="s">
        <v>37</v>
      </c>
      <c r="K2372" t="s">
        <v>38</v>
      </c>
      <c r="L2372">
        <v>0</v>
      </c>
      <c r="M2372">
        <v>0</v>
      </c>
      <c r="N2372">
        <v>0</v>
      </c>
      <c r="O2372">
        <v>0</v>
      </c>
      <c r="P2372">
        <v>0</v>
      </c>
      <c r="Q2372">
        <v>327</v>
      </c>
      <c r="R2372">
        <v>0.75</v>
      </c>
      <c r="S2372" t="s">
        <v>27</v>
      </c>
      <c r="T2372" s="1">
        <v>45175</v>
      </c>
      <c r="U2372">
        <v>0</v>
      </c>
    </row>
    <row r="2373" spans="1:21" x14ac:dyDescent="0.25">
      <c r="A2373" t="s">
        <v>2420</v>
      </c>
      <c r="B2373">
        <v>51</v>
      </c>
      <c r="C2373" t="s">
        <v>29</v>
      </c>
      <c r="D2373" t="s">
        <v>35</v>
      </c>
      <c r="E2373" t="s">
        <v>49</v>
      </c>
      <c r="F2373" t="s">
        <v>36</v>
      </c>
      <c r="G2373">
        <v>4961.58</v>
      </c>
      <c r="H2373">
        <v>3427.42</v>
      </c>
      <c r="I2373">
        <v>17504.88</v>
      </c>
      <c r="J2373" t="s">
        <v>37</v>
      </c>
      <c r="K2373" t="s">
        <v>38</v>
      </c>
      <c r="L2373">
        <v>0</v>
      </c>
      <c r="M2373">
        <v>0</v>
      </c>
      <c r="N2373">
        <v>0</v>
      </c>
      <c r="O2373">
        <v>0</v>
      </c>
      <c r="P2373">
        <v>0</v>
      </c>
      <c r="Q2373">
        <v>827</v>
      </c>
      <c r="R2373">
        <v>0.28999999999999998</v>
      </c>
      <c r="S2373" t="s">
        <v>27</v>
      </c>
      <c r="T2373" s="1">
        <v>45153</v>
      </c>
      <c r="U2373">
        <v>0</v>
      </c>
    </row>
    <row r="2374" spans="1:21" x14ac:dyDescent="0.25">
      <c r="A2374" t="s">
        <v>2421</v>
      </c>
      <c r="B2374">
        <v>57</v>
      </c>
      <c r="C2374" t="s">
        <v>21</v>
      </c>
      <c r="D2374" t="s">
        <v>35</v>
      </c>
      <c r="E2374" t="s">
        <v>49</v>
      </c>
      <c r="F2374" t="s">
        <v>36</v>
      </c>
      <c r="G2374">
        <v>5301.56</v>
      </c>
      <c r="H2374">
        <v>3150.19</v>
      </c>
      <c r="I2374">
        <v>52548.19</v>
      </c>
      <c r="J2374" t="s">
        <v>37</v>
      </c>
      <c r="K2374" t="s">
        <v>38</v>
      </c>
      <c r="L2374">
        <v>0</v>
      </c>
      <c r="M2374">
        <v>0</v>
      </c>
      <c r="N2374">
        <v>0</v>
      </c>
      <c r="O2374">
        <v>0</v>
      </c>
      <c r="P2374">
        <v>0</v>
      </c>
      <c r="Q2374">
        <v>711</v>
      </c>
      <c r="R2374">
        <v>0.83</v>
      </c>
      <c r="S2374" t="s">
        <v>39</v>
      </c>
      <c r="T2374" s="1">
        <v>45696</v>
      </c>
      <c r="U2374">
        <v>0</v>
      </c>
    </row>
    <row r="2375" spans="1:21" x14ac:dyDescent="0.25">
      <c r="A2375" t="s">
        <v>2422</v>
      </c>
      <c r="B2375">
        <v>69</v>
      </c>
      <c r="C2375" t="s">
        <v>29</v>
      </c>
      <c r="D2375" t="s">
        <v>56</v>
      </c>
      <c r="E2375" t="s">
        <v>51</v>
      </c>
      <c r="F2375" t="s">
        <v>63</v>
      </c>
      <c r="G2375">
        <v>6751.67</v>
      </c>
      <c r="H2375">
        <v>2835.83</v>
      </c>
      <c r="I2375">
        <v>56448.55</v>
      </c>
      <c r="J2375" t="s">
        <v>37</v>
      </c>
      <c r="K2375" t="s">
        <v>38</v>
      </c>
      <c r="L2375">
        <v>0</v>
      </c>
      <c r="M2375">
        <v>0</v>
      </c>
      <c r="N2375">
        <v>0</v>
      </c>
      <c r="O2375">
        <v>0</v>
      </c>
      <c r="P2375">
        <v>0</v>
      </c>
      <c r="Q2375">
        <v>710</v>
      </c>
      <c r="R2375">
        <v>0.7</v>
      </c>
      <c r="S2375" t="s">
        <v>39</v>
      </c>
      <c r="T2375" s="1">
        <v>45039</v>
      </c>
      <c r="U2375">
        <v>0</v>
      </c>
    </row>
    <row r="2376" spans="1:21" x14ac:dyDescent="0.25">
      <c r="A2376" t="s">
        <v>2423</v>
      </c>
      <c r="B2376">
        <v>26</v>
      </c>
      <c r="C2376" t="s">
        <v>21</v>
      </c>
      <c r="D2376" t="s">
        <v>41</v>
      </c>
      <c r="E2376" t="s">
        <v>23</v>
      </c>
      <c r="F2376" t="s">
        <v>44</v>
      </c>
      <c r="G2376">
        <v>4597.8100000000004</v>
      </c>
      <c r="H2376">
        <v>1786.27</v>
      </c>
      <c r="I2376">
        <v>17945.41</v>
      </c>
      <c r="J2376" t="s">
        <v>37</v>
      </c>
      <c r="K2376" t="s">
        <v>38</v>
      </c>
      <c r="L2376">
        <v>0</v>
      </c>
      <c r="M2376">
        <v>0</v>
      </c>
      <c r="N2376">
        <v>0</v>
      </c>
      <c r="O2376">
        <v>0</v>
      </c>
      <c r="P2376">
        <v>0</v>
      </c>
      <c r="Q2376">
        <v>829</v>
      </c>
      <c r="R2376">
        <v>0.33</v>
      </c>
      <c r="S2376" t="s">
        <v>30</v>
      </c>
      <c r="T2376" s="1">
        <v>44553</v>
      </c>
      <c r="U2376">
        <v>0</v>
      </c>
    </row>
    <row r="2377" spans="1:21" x14ac:dyDescent="0.25">
      <c r="A2377" t="s">
        <v>2424</v>
      </c>
      <c r="B2377">
        <v>49</v>
      </c>
      <c r="C2377" t="s">
        <v>29</v>
      </c>
      <c r="D2377" t="s">
        <v>35</v>
      </c>
      <c r="E2377" t="s">
        <v>31</v>
      </c>
      <c r="F2377" t="s">
        <v>42</v>
      </c>
      <c r="G2377">
        <v>4492.3500000000004</v>
      </c>
      <c r="H2377">
        <v>3208.16</v>
      </c>
      <c r="I2377">
        <v>8887.6</v>
      </c>
      <c r="J2377" t="s">
        <v>37</v>
      </c>
      <c r="K2377" t="s">
        <v>38</v>
      </c>
      <c r="L2377">
        <v>0</v>
      </c>
      <c r="M2377">
        <v>0</v>
      </c>
      <c r="N2377">
        <v>0</v>
      </c>
      <c r="O2377">
        <v>0</v>
      </c>
      <c r="P2377">
        <v>0</v>
      </c>
      <c r="Q2377">
        <v>346</v>
      </c>
      <c r="R2377">
        <v>0.16</v>
      </c>
      <c r="S2377" t="s">
        <v>39</v>
      </c>
      <c r="T2377" s="1">
        <v>44741</v>
      </c>
      <c r="U2377">
        <v>0</v>
      </c>
    </row>
    <row r="2378" spans="1:21" x14ac:dyDescent="0.25">
      <c r="A2378" t="s">
        <v>2425</v>
      </c>
      <c r="B2378">
        <v>56</v>
      </c>
      <c r="C2378" t="s">
        <v>30</v>
      </c>
      <c r="D2378" t="s">
        <v>22</v>
      </c>
      <c r="E2378" t="s">
        <v>49</v>
      </c>
      <c r="F2378" t="s">
        <v>32</v>
      </c>
      <c r="G2378">
        <v>1830.32</v>
      </c>
      <c r="H2378">
        <v>1144.8699999999999</v>
      </c>
      <c r="I2378">
        <v>17449.22</v>
      </c>
      <c r="J2378" t="s">
        <v>37</v>
      </c>
      <c r="K2378" t="s">
        <v>38</v>
      </c>
      <c r="L2378">
        <v>0</v>
      </c>
      <c r="M2378">
        <v>0</v>
      </c>
      <c r="N2378">
        <v>0</v>
      </c>
      <c r="O2378">
        <v>0</v>
      </c>
      <c r="P2378">
        <v>0</v>
      </c>
      <c r="Q2378">
        <v>681</v>
      </c>
      <c r="R2378">
        <v>0.79</v>
      </c>
      <c r="S2378" t="s">
        <v>47</v>
      </c>
      <c r="T2378" s="1">
        <v>45597</v>
      </c>
      <c r="U2378">
        <v>0</v>
      </c>
    </row>
    <row r="2379" spans="1:21" x14ac:dyDescent="0.25">
      <c r="A2379" t="s">
        <v>2426</v>
      </c>
      <c r="B2379">
        <v>29</v>
      </c>
      <c r="C2379" t="s">
        <v>21</v>
      </c>
      <c r="D2379" t="s">
        <v>35</v>
      </c>
      <c r="E2379" t="s">
        <v>31</v>
      </c>
      <c r="F2379" t="s">
        <v>49</v>
      </c>
      <c r="G2379">
        <v>1483.18</v>
      </c>
      <c r="H2379">
        <v>891.7</v>
      </c>
      <c r="I2379">
        <v>9457.5400000000009</v>
      </c>
      <c r="J2379" t="s">
        <v>37</v>
      </c>
      <c r="K2379" t="s">
        <v>38</v>
      </c>
      <c r="L2379">
        <v>0</v>
      </c>
      <c r="M2379">
        <v>0</v>
      </c>
      <c r="N2379">
        <v>0</v>
      </c>
      <c r="O2379">
        <v>0</v>
      </c>
      <c r="P2379">
        <v>0</v>
      </c>
      <c r="Q2379">
        <v>742</v>
      </c>
      <c r="R2379">
        <v>0.53</v>
      </c>
      <c r="S2379" t="s">
        <v>47</v>
      </c>
      <c r="T2379" s="1">
        <v>44793</v>
      </c>
      <c r="U2379">
        <v>0</v>
      </c>
    </row>
    <row r="2380" spans="1:21" x14ac:dyDescent="0.25">
      <c r="A2380" t="s">
        <v>2427</v>
      </c>
      <c r="B2380">
        <v>38</v>
      </c>
      <c r="C2380" t="s">
        <v>29</v>
      </c>
      <c r="D2380" t="s">
        <v>22</v>
      </c>
      <c r="E2380" t="s">
        <v>31</v>
      </c>
      <c r="F2380" t="s">
        <v>23</v>
      </c>
      <c r="G2380">
        <v>3696.24</v>
      </c>
      <c r="H2380">
        <v>3201.25</v>
      </c>
      <c r="I2380">
        <v>38675.83</v>
      </c>
      <c r="J2380" t="s">
        <v>37</v>
      </c>
      <c r="K2380" t="s">
        <v>38</v>
      </c>
      <c r="L2380">
        <v>0</v>
      </c>
      <c r="M2380">
        <v>0</v>
      </c>
      <c r="N2380">
        <v>0</v>
      </c>
      <c r="O2380">
        <v>0</v>
      </c>
      <c r="P2380">
        <v>0</v>
      </c>
      <c r="Q2380">
        <v>516</v>
      </c>
      <c r="R2380">
        <v>0.87</v>
      </c>
      <c r="S2380" t="s">
        <v>72</v>
      </c>
      <c r="T2380" s="1">
        <v>45236</v>
      </c>
      <c r="U2380">
        <v>0</v>
      </c>
    </row>
    <row r="2381" spans="1:21" x14ac:dyDescent="0.25">
      <c r="A2381" t="s">
        <v>2428</v>
      </c>
      <c r="B2381">
        <v>28</v>
      </c>
      <c r="C2381" t="s">
        <v>29</v>
      </c>
      <c r="D2381" t="s">
        <v>41</v>
      </c>
      <c r="E2381" t="s">
        <v>31</v>
      </c>
      <c r="F2381" t="s">
        <v>52</v>
      </c>
      <c r="G2381">
        <v>1279.03</v>
      </c>
      <c r="H2381">
        <v>757.36</v>
      </c>
      <c r="I2381">
        <v>3526.02</v>
      </c>
      <c r="J2381" t="s">
        <v>37</v>
      </c>
      <c r="K2381" t="s">
        <v>38</v>
      </c>
      <c r="L2381">
        <v>0</v>
      </c>
      <c r="M2381">
        <v>0</v>
      </c>
      <c r="N2381">
        <v>0</v>
      </c>
      <c r="O2381">
        <v>0</v>
      </c>
      <c r="P2381">
        <v>0</v>
      </c>
      <c r="Q2381">
        <v>805</v>
      </c>
      <c r="R2381">
        <v>0.23</v>
      </c>
      <c r="S2381" t="s">
        <v>27</v>
      </c>
      <c r="T2381" s="1">
        <v>44739</v>
      </c>
      <c r="U2381">
        <v>0</v>
      </c>
    </row>
    <row r="2382" spans="1:21" x14ac:dyDescent="0.25">
      <c r="A2382" t="s">
        <v>2429</v>
      </c>
      <c r="B2382">
        <v>47</v>
      </c>
      <c r="C2382" t="s">
        <v>29</v>
      </c>
      <c r="D2382" t="s">
        <v>35</v>
      </c>
      <c r="E2382" t="s">
        <v>31</v>
      </c>
      <c r="F2382" t="s">
        <v>32</v>
      </c>
      <c r="G2382">
        <v>4185.4399999999996</v>
      </c>
      <c r="H2382">
        <v>3086.81</v>
      </c>
      <c r="I2382">
        <v>47944.34</v>
      </c>
      <c r="J2382" t="s">
        <v>37</v>
      </c>
      <c r="K2382" t="s">
        <v>38</v>
      </c>
      <c r="L2382">
        <v>0</v>
      </c>
      <c r="M2382">
        <v>0</v>
      </c>
      <c r="N2382">
        <v>0</v>
      </c>
      <c r="O2382">
        <v>0</v>
      </c>
      <c r="P2382">
        <v>0</v>
      </c>
      <c r="Q2382">
        <v>822</v>
      </c>
      <c r="R2382">
        <v>0.95</v>
      </c>
      <c r="S2382" t="s">
        <v>47</v>
      </c>
      <c r="T2382" s="1">
        <v>45117</v>
      </c>
      <c r="U2382">
        <v>0</v>
      </c>
    </row>
    <row r="2383" spans="1:21" x14ac:dyDescent="0.25">
      <c r="A2383" t="s">
        <v>2430</v>
      </c>
      <c r="B2383">
        <v>32</v>
      </c>
      <c r="C2383" t="s">
        <v>29</v>
      </c>
      <c r="D2383" t="s">
        <v>22</v>
      </c>
      <c r="E2383" t="s">
        <v>49</v>
      </c>
      <c r="F2383" t="s">
        <v>23</v>
      </c>
      <c r="G2383">
        <v>4541.96</v>
      </c>
      <c r="H2383">
        <v>2384.31</v>
      </c>
      <c r="I2383">
        <v>16754.09</v>
      </c>
      <c r="J2383" t="s">
        <v>25</v>
      </c>
      <c r="K2383" t="s">
        <v>54</v>
      </c>
      <c r="L2383">
        <v>127755.84</v>
      </c>
      <c r="M2383">
        <v>300</v>
      </c>
      <c r="N2383">
        <v>2373.19</v>
      </c>
      <c r="O2383">
        <v>22.2</v>
      </c>
      <c r="P2383">
        <v>0.52</v>
      </c>
      <c r="Q2383">
        <v>735</v>
      </c>
      <c r="R2383">
        <v>0.31</v>
      </c>
      <c r="S2383" t="s">
        <v>27</v>
      </c>
      <c r="T2383" s="1">
        <v>44585</v>
      </c>
      <c r="U2383">
        <v>1</v>
      </c>
    </row>
    <row r="2384" spans="1:21" x14ac:dyDescent="0.25">
      <c r="A2384" t="s">
        <v>2431</v>
      </c>
      <c r="B2384">
        <v>27</v>
      </c>
      <c r="C2384" t="s">
        <v>21</v>
      </c>
      <c r="D2384" t="s">
        <v>41</v>
      </c>
      <c r="E2384" t="s">
        <v>31</v>
      </c>
      <c r="F2384" t="s">
        <v>32</v>
      </c>
      <c r="G2384">
        <v>4022.04</v>
      </c>
      <c r="H2384">
        <v>2074.42</v>
      </c>
      <c r="I2384">
        <v>45649.64</v>
      </c>
      <c r="J2384" t="s">
        <v>37</v>
      </c>
      <c r="K2384" t="s">
        <v>38</v>
      </c>
      <c r="L2384">
        <v>0</v>
      </c>
      <c r="M2384">
        <v>0</v>
      </c>
      <c r="N2384">
        <v>0</v>
      </c>
      <c r="O2384">
        <v>0</v>
      </c>
      <c r="P2384">
        <v>0</v>
      </c>
      <c r="Q2384">
        <v>304</v>
      </c>
      <c r="R2384">
        <v>0.95</v>
      </c>
      <c r="S2384" t="s">
        <v>27</v>
      </c>
      <c r="T2384" s="1">
        <v>44496</v>
      </c>
      <c r="U2384">
        <v>0</v>
      </c>
    </row>
    <row r="2385" spans="1:21" x14ac:dyDescent="0.25">
      <c r="A2385" t="s">
        <v>2432</v>
      </c>
      <c r="B2385">
        <v>39</v>
      </c>
      <c r="C2385" t="s">
        <v>29</v>
      </c>
      <c r="D2385" t="s">
        <v>41</v>
      </c>
      <c r="E2385" t="s">
        <v>51</v>
      </c>
      <c r="F2385" t="s">
        <v>49</v>
      </c>
      <c r="G2385">
        <v>2397.0500000000002</v>
      </c>
      <c r="H2385">
        <v>1956.85</v>
      </c>
      <c r="I2385">
        <v>11810.25</v>
      </c>
      <c r="J2385" t="s">
        <v>37</v>
      </c>
      <c r="K2385" t="s">
        <v>38</v>
      </c>
      <c r="L2385">
        <v>0</v>
      </c>
      <c r="M2385">
        <v>0</v>
      </c>
      <c r="N2385">
        <v>0</v>
      </c>
      <c r="O2385">
        <v>0</v>
      </c>
      <c r="P2385">
        <v>0</v>
      </c>
      <c r="Q2385">
        <v>834</v>
      </c>
      <c r="R2385">
        <v>0.41</v>
      </c>
      <c r="S2385" t="s">
        <v>39</v>
      </c>
      <c r="T2385" s="1">
        <v>44692</v>
      </c>
      <c r="U2385">
        <v>0</v>
      </c>
    </row>
    <row r="2386" spans="1:21" x14ac:dyDescent="0.25">
      <c r="A2386" t="s">
        <v>2433</v>
      </c>
      <c r="B2386">
        <v>45</v>
      </c>
      <c r="C2386" t="s">
        <v>21</v>
      </c>
      <c r="D2386" t="s">
        <v>30</v>
      </c>
      <c r="E2386" t="s">
        <v>51</v>
      </c>
      <c r="F2386" t="s">
        <v>49</v>
      </c>
      <c r="G2386">
        <v>733.41</v>
      </c>
      <c r="H2386">
        <v>456.18</v>
      </c>
      <c r="I2386">
        <v>7597.32</v>
      </c>
      <c r="J2386" t="s">
        <v>37</v>
      </c>
      <c r="K2386" t="s">
        <v>38</v>
      </c>
      <c r="L2386">
        <v>0</v>
      </c>
      <c r="M2386">
        <v>0</v>
      </c>
      <c r="N2386">
        <v>0</v>
      </c>
      <c r="O2386">
        <v>0</v>
      </c>
      <c r="P2386">
        <v>0</v>
      </c>
      <c r="Q2386">
        <v>344</v>
      </c>
      <c r="R2386">
        <v>0.86</v>
      </c>
      <c r="S2386" t="s">
        <v>30</v>
      </c>
      <c r="T2386" s="1">
        <v>45573</v>
      </c>
      <c r="U2386">
        <v>0</v>
      </c>
    </row>
    <row r="2387" spans="1:21" x14ac:dyDescent="0.25">
      <c r="A2387" t="s">
        <v>2434</v>
      </c>
      <c r="B2387">
        <v>41</v>
      </c>
      <c r="C2387" t="s">
        <v>29</v>
      </c>
      <c r="D2387" t="s">
        <v>35</v>
      </c>
      <c r="E2387" t="s">
        <v>31</v>
      </c>
      <c r="F2387" t="s">
        <v>63</v>
      </c>
      <c r="G2387">
        <v>5716.68</v>
      </c>
      <c r="H2387">
        <v>3554.83</v>
      </c>
      <c r="I2387">
        <v>22970.57</v>
      </c>
      <c r="J2387" t="s">
        <v>25</v>
      </c>
      <c r="K2387" t="s">
        <v>33</v>
      </c>
      <c r="L2387">
        <v>289908.96999999997</v>
      </c>
      <c r="M2387">
        <v>120</v>
      </c>
      <c r="N2387">
        <v>5353.19</v>
      </c>
      <c r="O2387">
        <v>18.690000000000001</v>
      </c>
      <c r="P2387">
        <v>0.94</v>
      </c>
      <c r="Q2387">
        <v>715</v>
      </c>
      <c r="R2387">
        <v>0.33</v>
      </c>
      <c r="S2387" t="s">
        <v>72</v>
      </c>
      <c r="T2387" s="1">
        <v>44528</v>
      </c>
      <c r="U2387">
        <v>1</v>
      </c>
    </row>
    <row r="2388" spans="1:21" x14ac:dyDescent="0.25">
      <c r="A2388" t="s">
        <v>2435</v>
      </c>
      <c r="B2388">
        <v>50</v>
      </c>
      <c r="C2388" t="s">
        <v>21</v>
      </c>
      <c r="D2388" t="s">
        <v>35</v>
      </c>
      <c r="E2388" t="s">
        <v>31</v>
      </c>
      <c r="F2388" t="s">
        <v>23</v>
      </c>
      <c r="G2388">
        <v>6801.18</v>
      </c>
      <c r="H2388">
        <v>3563.98</v>
      </c>
      <c r="I2388">
        <v>22228.03</v>
      </c>
      <c r="J2388" t="s">
        <v>25</v>
      </c>
      <c r="K2388" t="s">
        <v>54</v>
      </c>
      <c r="L2388">
        <v>112068.81</v>
      </c>
      <c r="M2388">
        <v>180</v>
      </c>
      <c r="N2388">
        <v>2679.82</v>
      </c>
      <c r="O2388">
        <v>28.26</v>
      </c>
      <c r="P2388">
        <v>0.39</v>
      </c>
      <c r="Q2388">
        <v>764</v>
      </c>
      <c r="R2388">
        <v>0.27</v>
      </c>
      <c r="S2388" t="s">
        <v>47</v>
      </c>
      <c r="T2388" s="1">
        <v>45556</v>
      </c>
      <c r="U2388">
        <v>0</v>
      </c>
    </row>
    <row r="2389" spans="1:21" x14ac:dyDescent="0.25">
      <c r="A2389" t="s">
        <v>2436</v>
      </c>
      <c r="B2389">
        <v>27</v>
      </c>
      <c r="C2389" t="s">
        <v>29</v>
      </c>
      <c r="D2389" t="s">
        <v>35</v>
      </c>
      <c r="E2389" t="s">
        <v>31</v>
      </c>
      <c r="F2389" t="s">
        <v>23</v>
      </c>
      <c r="G2389">
        <v>5387.48</v>
      </c>
      <c r="H2389">
        <v>2832.85</v>
      </c>
      <c r="I2389">
        <v>40988.54</v>
      </c>
      <c r="J2389" t="s">
        <v>37</v>
      </c>
      <c r="K2389" t="s">
        <v>38</v>
      </c>
      <c r="L2389">
        <v>0</v>
      </c>
      <c r="M2389">
        <v>0</v>
      </c>
      <c r="N2389">
        <v>0</v>
      </c>
      <c r="O2389">
        <v>0</v>
      </c>
      <c r="P2389">
        <v>0</v>
      </c>
      <c r="Q2389">
        <v>561</v>
      </c>
      <c r="R2389">
        <v>0.63</v>
      </c>
      <c r="S2389" t="s">
        <v>47</v>
      </c>
      <c r="T2389" s="1">
        <v>44988</v>
      </c>
      <c r="U2389">
        <v>0</v>
      </c>
    </row>
    <row r="2390" spans="1:21" x14ac:dyDescent="0.25">
      <c r="A2390" t="s">
        <v>2437</v>
      </c>
      <c r="B2390">
        <v>25</v>
      </c>
      <c r="C2390" t="s">
        <v>29</v>
      </c>
      <c r="D2390" t="s">
        <v>41</v>
      </c>
      <c r="E2390" t="s">
        <v>23</v>
      </c>
      <c r="F2390" t="s">
        <v>63</v>
      </c>
      <c r="G2390">
        <v>3356.24</v>
      </c>
      <c r="H2390">
        <v>1700.34</v>
      </c>
      <c r="I2390">
        <v>28751.09</v>
      </c>
      <c r="J2390" t="s">
        <v>37</v>
      </c>
      <c r="K2390" t="s">
        <v>38</v>
      </c>
      <c r="L2390">
        <v>0</v>
      </c>
      <c r="M2390">
        <v>0</v>
      </c>
      <c r="N2390">
        <v>0</v>
      </c>
      <c r="O2390">
        <v>0</v>
      </c>
      <c r="P2390">
        <v>0</v>
      </c>
      <c r="Q2390">
        <v>761</v>
      </c>
      <c r="R2390">
        <v>0.71</v>
      </c>
      <c r="S2390" t="s">
        <v>72</v>
      </c>
      <c r="T2390" s="1">
        <v>44592</v>
      </c>
      <c r="U2390">
        <v>0</v>
      </c>
    </row>
    <row r="2391" spans="1:21" x14ac:dyDescent="0.25">
      <c r="A2391" t="s">
        <v>2438</v>
      </c>
      <c r="B2391">
        <v>19</v>
      </c>
      <c r="C2391" t="s">
        <v>29</v>
      </c>
      <c r="D2391" t="s">
        <v>41</v>
      </c>
      <c r="E2391" t="s">
        <v>31</v>
      </c>
      <c r="F2391" t="s">
        <v>23</v>
      </c>
      <c r="G2391">
        <v>6837.88</v>
      </c>
      <c r="H2391">
        <v>3808.11</v>
      </c>
      <c r="I2391">
        <v>76958.44</v>
      </c>
      <c r="J2391" t="s">
        <v>37</v>
      </c>
      <c r="K2391" t="s">
        <v>38</v>
      </c>
      <c r="L2391">
        <v>0</v>
      </c>
      <c r="M2391">
        <v>0</v>
      </c>
      <c r="N2391">
        <v>0</v>
      </c>
      <c r="O2391">
        <v>0</v>
      </c>
      <c r="P2391">
        <v>0</v>
      </c>
      <c r="Q2391">
        <v>468</v>
      </c>
      <c r="R2391">
        <v>0.94</v>
      </c>
      <c r="S2391" t="s">
        <v>39</v>
      </c>
      <c r="T2391" s="1">
        <v>44579</v>
      </c>
      <c r="U2391">
        <v>0</v>
      </c>
    </row>
    <row r="2392" spans="1:21" x14ac:dyDescent="0.25">
      <c r="A2392" t="s">
        <v>2439</v>
      </c>
      <c r="B2392">
        <v>48</v>
      </c>
      <c r="C2392" t="s">
        <v>29</v>
      </c>
      <c r="D2392" t="s">
        <v>41</v>
      </c>
      <c r="E2392" t="s">
        <v>23</v>
      </c>
      <c r="F2392" t="s">
        <v>36</v>
      </c>
      <c r="G2392">
        <v>3309.64</v>
      </c>
      <c r="H2392">
        <v>2525.27</v>
      </c>
      <c r="I2392">
        <v>8432.3700000000008</v>
      </c>
      <c r="J2392" t="s">
        <v>37</v>
      </c>
      <c r="K2392" t="s">
        <v>38</v>
      </c>
      <c r="L2392">
        <v>0</v>
      </c>
      <c r="M2392">
        <v>0</v>
      </c>
      <c r="N2392">
        <v>0</v>
      </c>
      <c r="O2392">
        <v>0</v>
      </c>
      <c r="P2392">
        <v>0</v>
      </c>
      <c r="Q2392">
        <v>396</v>
      </c>
      <c r="R2392">
        <v>0.21</v>
      </c>
      <c r="S2392" t="s">
        <v>27</v>
      </c>
      <c r="T2392" s="1">
        <v>45839</v>
      </c>
      <c r="U2392">
        <v>0</v>
      </c>
    </row>
    <row r="2393" spans="1:21" x14ac:dyDescent="0.25">
      <c r="A2393" t="s">
        <v>2440</v>
      </c>
      <c r="B2393">
        <v>33</v>
      </c>
      <c r="C2393" t="s">
        <v>21</v>
      </c>
      <c r="D2393" t="s">
        <v>41</v>
      </c>
      <c r="E2393" t="s">
        <v>31</v>
      </c>
      <c r="F2393" t="s">
        <v>63</v>
      </c>
      <c r="G2393">
        <v>4583.3999999999996</v>
      </c>
      <c r="H2393">
        <v>2484.71</v>
      </c>
      <c r="I2393">
        <v>42292.2</v>
      </c>
      <c r="J2393" t="s">
        <v>37</v>
      </c>
      <c r="K2393" t="s">
        <v>38</v>
      </c>
      <c r="L2393">
        <v>0</v>
      </c>
      <c r="M2393">
        <v>0</v>
      </c>
      <c r="N2393">
        <v>0</v>
      </c>
      <c r="O2393">
        <v>0</v>
      </c>
      <c r="P2393">
        <v>0</v>
      </c>
      <c r="Q2393">
        <v>507</v>
      </c>
      <c r="R2393">
        <v>0.77</v>
      </c>
      <c r="S2393" t="s">
        <v>39</v>
      </c>
      <c r="T2393" s="1">
        <v>44925</v>
      </c>
      <c r="U2393">
        <v>0</v>
      </c>
    </row>
    <row r="2394" spans="1:21" x14ac:dyDescent="0.25">
      <c r="A2394" t="s">
        <v>2441</v>
      </c>
      <c r="B2394">
        <v>47</v>
      </c>
      <c r="C2394" t="s">
        <v>21</v>
      </c>
      <c r="D2394" t="s">
        <v>41</v>
      </c>
      <c r="E2394" t="s">
        <v>49</v>
      </c>
      <c r="F2394" t="s">
        <v>44</v>
      </c>
      <c r="G2394">
        <v>6289.66</v>
      </c>
      <c r="H2394">
        <v>3439.13</v>
      </c>
      <c r="I2394">
        <v>21106.73</v>
      </c>
      <c r="J2394" t="s">
        <v>37</v>
      </c>
      <c r="K2394" t="s">
        <v>38</v>
      </c>
      <c r="L2394">
        <v>0</v>
      </c>
      <c r="M2394">
        <v>0</v>
      </c>
      <c r="N2394">
        <v>0</v>
      </c>
      <c r="O2394">
        <v>0</v>
      </c>
      <c r="P2394">
        <v>0</v>
      </c>
      <c r="Q2394">
        <v>751</v>
      </c>
      <c r="R2394">
        <v>0.28000000000000003</v>
      </c>
      <c r="S2394" t="s">
        <v>39</v>
      </c>
      <c r="T2394" s="1">
        <v>45590</v>
      </c>
      <c r="U2394">
        <v>0</v>
      </c>
    </row>
    <row r="2395" spans="1:21" x14ac:dyDescent="0.25">
      <c r="A2395" t="s">
        <v>2442</v>
      </c>
      <c r="B2395">
        <v>44</v>
      </c>
      <c r="C2395" t="s">
        <v>29</v>
      </c>
      <c r="D2395" t="s">
        <v>41</v>
      </c>
      <c r="E2395" t="s">
        <v>49</v>
      </c>
      <c r="F2395" t="s">
        <v>63</v>
      </c>
      <c r="G2395">
        <v>4713.88</v>
      </c>
      <c r="H2395">
        <v>3738.56</v>
      </c>
      <c r="I2395">
        <v>12389.2</v>
      </c>
      <c r="J2395" t="s">
        <v>37</v>
      </c>
      <c r="K2395" t="s">
        <v>38</v>
      </c>
      <c r="L2395">
        <v>0</v>
      </c>
      <c r="M2395">
        <v>0</v>
      </c>
      <c r="N2395">
        <v>0</v>
      </c>
      <c r="O2395">
        <v>0</v>
      </c>
      <c r="P2395">
        <v>0</v>
      </c>
      <c r="Q2395">
        <v>724</v>
      </c>
      <c r="R2395">
        <v>0.22</v>
      </c>
      <c r="S2395" t="s">
        <v>39</v>
      </c>
      <c r="T2395" s="1">
        <v>45759</v>
      </c>
      <c r="U2395">
        <v>0</v>
      </c>
    </row>
    <row r="2396" spans="1:21" x14ac:dyDescent="0.25">
      <c r="A2396" t="s">
        <v>2443</v>
      </c>
      <c r="B2396">
        <v>55</v>
      </c>
      <c r="C2396" t="s">
        <v>30</v>
      </c>
      <c r="D2396" t="s">
        <v>22</v>
      </c>
      <c r="E2396" t="s">
        <v>31</v>
      </c>
      <c r="F2396" t="s">
        <v>23</v>
      </c>
      <c r="G2396">
        <v>3956.88</v>
      </c>
      <c r="H2396">
        <v>3466.75</v>
      </c>
      <c r="I2396">
        <v>36717.58</v>
      </c>
      <c r="J2396" t="s">
        <v>25</v>
      </c>
      <c r="K2396" t="s">
        <v>45</v>
      </c>
      <c r="L2396">
        <v>224264.91</v>
      </c>
      <c r="M2396">
        <v>120</v>
      </c>
      <c r="N2396">
        <v>4666.0600000000004</v>
      </c>
      <c r="O2396">
        <v>22.2</v>
      </c>
      <c r="P2396">
        <v>1.18</v>
      </c>
      <c r="Q2396">
        <v>703</v>
      </c>
      <c r="R2396">
        <v>0.77</v>
      </c>
      <c r="S2396" t="s">
        <v>30</v>
      </c>
      <c r="T2396" s="1">
        <v>45498</v>
      </c>
      <c r="U2396">
        <v>1</v>
      </c>
    </row>
    <row r="2397" spans="1:21" x14ac:dyDescent="0.25">
      <c r="A2397" t="s">
        <v>2444</v>
      </c>
      <c r="B2397">
        <v>36</v>
      </c>
      <c r="C2397" t="s">
        <v>21</v>
      </c>
      <c r="D2397" t="s">
        <v>35</v>
      </c>
      <c r="E2397" t="s">
        <v>31</v>
      </c>
      <c r="F2397" t="s">
        <v>44</v>
      </c>
      <c r="G2397">
        <v>2735.95</v>
      </c>
      <c r="H2397">
        <v>2327.2800000000002</v>
      </c>
      <c r="I2397">
        <v>30526.15</v>
      </c>
      <c r="J2397" t="s">
        <v>25</v>
      </c>
      <c r="K2397" t="s">
        <v>26</v>
      </c>
      <c r="L2397">
        <v>148131.31</v>
      </c>
      <c r="M2397">
        <v>300</v>
      </c>
      <c r="N2397">
        <v>2723.82</v>
      </c>
      <c r="O2397">
        <v>21.97</v>
      </c>
      <c r="P2397">
        <v>1</v>
      </c>
      <c r="Q2397">
        <v>734</v>
      </c>
      <c r="R2397">
        <v>0.93</v>
      </c>
      <c r="S2397" t="s">
        <v>27</v>
      </c>
      <c r="T2397" s="1">
        <v>45641</v>
      </c>
      <c r="U2397">
        <v>1</v>
      </c>
    </row>
    <row r="2398" spans="1:21" x14ac:dyDescent="0.25">
      <c r="A2398" t="s">
        <v>2445</v>
      </c>
      <c r="B2398">
        <v>19</v>
      </c>
      <c r="C2398" t="s">
        <v>21</v>
      </c>
      <c r="D2398" t="s">
        <v>41</v>
      </c>
      <c r="E2398" t="s">
        <v>31</v>
      </c>
      <c r="F2398" t="s">
        <v>44</v>
      </c>
      <c r="G2398">
        <v>2538.7199999999998</v>
      </c>
      <c r="H2398">
        <v>1501.21</v>
      </c>
      <c r="I2398">
        <v>6214.16</v>
      </c>
      <c r="J2398" t="s">
        <v>37</v>
      </c>
      <c r="K2398" t="s">
        <v>38</v>
      </c>
      <c r="L2398">
        <v>0</v>
      </c>
      <c r="M2398">
        <v>0</v>
      </c>
      <c r="N2398">
        <v>0</v>
      </c>
      <c r="O2398">
        <v>0</v>
      </c>
      <c r="P2398">
        <v>0</v>
      </c>
      <c r="Q2398">
        <v>806</v>
      </c>
      <c r="R2398">
        <v>0.2</v>
      </c>
      <c r="S2398" t="s">
        <v>30</v>
      </c>
      <c r="T2398" s="1">
        <v>44600</v>
      </c>
      <c r="U2398">
        <v>0</v>
      </c>
    </row>
    <row r="2399" spans="1:21" x14ac:dyDescent="0.25">
      <c r="A2399" t="s">
        <v>2446</v>
      </c>
      <c r="B2399">
        <v>63</v>
      </c>
      <c r="C2399" t="s">
        <v>29</v>
      </c>
      <c r="D2399" t="s">
        <v>35</v>
      </c>
      <c r="E2399" t="s">
        <v>51</v>
      </c>
      <c r="F2399" t="s">
        <v>24</v>
      </c>
      <c r="G2399">
        <v>8170.39</v>
      </c>
      <c r="H2399">
        <v>6682.01</v>
      </c>
      <c r="I2399">
        <v>29537.279999999999</v>
      </c>
      <c r="J2399" t="s">
        <v>37</v>
      </c>
      <c r="K2399" t="s">
        <v>38</v>
      </c>
      <c r="L2399">
        <v>0</v>
      </c>
      <c r="M2399">
        <v>0</v>
      </c>
      <c r="N2399">
        <v>0</v>
      </c>
      <c r="O2399">
        <v>0</v>
      </c>
      <c r="P2399">
        <v>0</v>
      </c>
      <c r="Q2399">
        <v>602</v>
      </c>
      <c r="R2399">
        <v>0.3</v>
      </c>
      <c r="S2399" t="s">
        <v>47</v>
      </c>
      <c r="T2399" s="1">
        <v>45008</v>
      </c>
      <c r="U2399">
        <v>0</v>
      </c>
    </row>
    <row r="2400" spans="1:21" x14ac:dyDescent="0.25">
      <c r="A2400" t="s">
        <v>2447</v>
      </c>
      <c r="B2400">
        <v>69</v>
      </c>
      <c r="C2400" t="s">
        <v>29</v>
      </c>
      <c r="D2400" t="s">
        <v>41</v>
      </c>
      <c r="E2400" t="s">
        <v>31</v>
      </c>
      <c r="F2400" t="s">
        <v>36</v>
      </c>
      <c r="G2400">
        <v>4894.41</v>
      </c>
      <c r="H2400">
        <v>1971.61</v>
      </c>
      <c r="I2400">
        <v>20377.63</v>
      </c>
      <c r="J2400" t="s">
        <v>25</v>
      </c>
      <c r="K2400" t="s">
        <v>45</v>
      </c>
      <c r="L2400">
        <v>391263.21</v>
      </c>
      <c r="M2400">
        <v>240</v>
      </c>
      <c r="N2400">
        <v>9528.0499999999993</v>
      </c>
      <c r="O2400">
        <v>29.13</v>
      </c>
      <c r="P2400">
        <v>1.95</v>
      </c>
      <c r="Q2400">
        <v>635</v>
      </c>
      <c r="R2400">
        <v>0.35</v>
      </c>
      <c r="S2400" t="s">
        <v>39</v>
      </c>
      <c r="T2400" s="1">
        <v>44738</v>
      </c>
      <c r="U2400">
        <v>1</v>
      </c>
    </row>
    <row r="2401" spans="1:21" x14ac:dyDescent="0.25">
      <c r="A2401" t="s">
        <v>2448</v>
      </c>
      <c r="B2401">
        <v>19</v>
      </c>
      <c r="C2401" t="s">
        <v>29</v>
      </c>
      <c r="D2401" t="s">
        <v>35</v>
      </c>
      <c r="E2401" t="s">
        <v>51</v>
      </c>
      <c r="F2401" t="s">
        <v>42</v>
      </c>
      <c r="G2401">
        <v>8540.8700000000008</v>
      </c>
      <c r="H2401">
        <v>6395.43</v>
      </c>
      <c r="I2401">
        <v>36299.96</v>
      </c>
      <c r="J2401" t="s">
        <v>37</v>
      </c>
      <c r="K2401" t="s">
        <v>38</v>
      </c>
      <c r="L2401">
        <v>0</v>
      </c>
      <c r="M2401">
        <v>0</v>
      </c>
      <c r="N2401">
        <v>0</v>
      </c>
      <c r="O2401">
        <v>0</v>
      </c>
      <c r="P2401">
        <v>0</v>
      </c>
      <c r="Q2401">
        <v>533</v>
      </c>
      <c r="R2401">
        <v>0.35</v>
      </c>
      <c r="S2401" t="s">
        <v>30</v>
      </c>
      <c r="T2401" s="1">
        <v>45174</v>
      </c>
      <c r="U2401">
        <v>0</v>
      </c>
    </row>
    <row r="2402" spans="1:21" x14ac:dyDescent="0.25">
      <c r="A2402" t="s">
        <v>2449</v>
      </c>
      <c r="B2402">
        <v>44</v>
      </c>
      <c r="C2402" t="s">
        <v>21</v>
      </c>
      <c r="D2402" t="s">
        <v>35</v>
      </c>
      <c r="E2402" t="s">
        <v>49</v>
      </c>
      <c r="F2402" t="s">
        <v>63</v>
      </c>
      <c r="G2402">
        <v>3521.02</v>
      </c>
      <c r="H2402">
        <v>3084.13</v>
      </c>
      <c r="I2402">
        <v>35430.07</v>
      </c>
      <c r="J2402" t="s">
        <v>25</v>
      </c>
      <c r="K2402" t="s">
        <v>45</v>
      </c>
      <c r="L2402">
        <v>373929.85</v>
      </c>
      <c r="M2402">
        <v>240</v>
      </c>
      <c r="N2402">
        <v>5157.49</v>
      </c>
      <c r="O2402">
        <v>15.84</v>
      </c>
      <c r="P2402">
        <v>1.46</v>
      </c>
      <c r="Q2402">
        <v>330</v>
      </c>
      <c r="R2402">
        <v>0.84</v>
      </c>
      <c r="S2402" t="s">
        <v>47</v>
      </c>
      <c r="T2402" s="1">
        <v>45682</v>
      </c>
      <c r="U2402">
        <v>1</v>
      </c>
    </row>
    <row r="2403" spans="1:21" x14ac:dyDescent="0.25">
      <c r="A2403" t="s">
        <v>2450</v>
      </c>
      <c r="B2403">
        <v>68</v>
      </c>
      <c r="C2403" t="s">
        <v>29</v>
      </c>
      <c r="D2403" t="s">
        <v>35</v>
      </c>
      <c r="E2403" t="s">
        <v>49</v>
      </c>
      <c r="F2403" t="s">
        <v>49</v>
      </c>
      <c r="G2403">
        <v>6767.77</v>
      </c>
      <c r="H2403">
        <v>5896.25</v>
      </c>
      <c r="I2403">
        <v>49206.98</v>
      </c>
      <c r="J2403" t="s">
        <v>37</v>
      </c>
      <c r="K2403" t="s">
        <v>38</v>
      </c>
      <c r="L2403">
        <v>0</v>
      </c>
      <c r="M2403">
        <v>0</v>
      </c>
      <c r="N2403">
        <v>0</v>
      </c>
      <c r="O2403">
        <v>0</v>
      </c>
      <c r="P2403">
        <v>0</v>
      </c>
      <c r="Q2403">
        <v>804</v>
      </c>
      <c r="R2403">
        <v>0.61</v>
      </c>
      <c r="S2403" t="s">
        <v>30</v>
      </c>
      <c r="T2403" s="1">
        <v>44867</v>
      </c>
      <c r="U2403">
        <v>0</v>
      </c>
    </row>
    <row r="2404" spans="1:21" x14ac:dyDescent="0.25">
      <c r="A2404" t="s">
        <v>2451</v>
      </c>
      <c r="B2404">
        <v>34</v>
      </c>
      <c r="C2404" t="s">
        <v>21</v>
      </c>
      <c r="D2404" t="s">
        <v>35</v>
      </c>
      <c r="E2404" t="s">
        <v>31</v>
      </c>
      <c r="F2404" t="s">
        <v>24</v>
      </c>
      <c r="G2404">
        <v>1242.2</v>
      </c>
      <c r="H2404">
        <v>422.46</v>
      </c>
      <c r="I2404">
        <v>7500.41</v>
      </c>
      <c r="J2404" t="s">
        <v>37</v>
      </c>
      <c r="K2404" t="s">
        <v>38</v>
      </c>
      <c r="L2404">
        <v>0</v>
      </c>
      <c r="M2404">
        <v>0</v>
      </c>
      <c r="N2404">
        <v>0</v>
      </c>
      <c r="O2404">
        <v>0</v>
      </c>
      <c r="P2404">
        <v>0</v>
      </c>
      <c r="Q2404">
        <v>322</v>
      </c>
      <c r="R2404">
        <v>0.5</v>
      </c>
      <c r="S2404" t="s">
        <v>47</v>
      </c>
      <c r="T2404" s="1">
        <v>45347</v>
      </c>
      <c r="U2404">
        <v>0</v>
      </c>
    </row>
    <row r="2405" spans="1:21" x14ac:dyDescent="0.25">
      <c r="A2405" t="s">
        <v>2452</v>
      </c>
      <c r="B2405">
        <v>63</v>
      </c>
      <c r="C2405" t="s">
        <v>21</v>
      </c>
      <c r="D2405" t="s">
        <v>22</v>
      </c>
      <c r="E2405" t="s">
        <v>31</v>
      </c>
      <c r="F2405" t="s">
        <v>49</v>
      </c>
      <c r="G2405">
        <v>2674.27</v>
      </c>
      <c r="H2405">
        <v>1614.98</v>
      </c>
      <c r="I2405">
        <v>15024.92</v>
      </c>
      <c r="J2405" t="s">
        <v>25</v>
      </c>
      <c r="K2405" t="s">
        <v>45</v>
      </c>
      <c r="L2405">
        <v>70336.960000000006</v>
      </c>
      <c r="M2405">
        <v>120</v>
      </c>
      <c r="N2405">
        <v>821.03</v>
      </c>
      <c r="O2405">
        <v>7.12</v>
      </c>
      <c r="P2405">
        <v>0.31</v>
      </c>
      <c r="Q2405">
        <v>479</v>
      </c>
      <c r="R2405">
        <v>0.47</v>
      </c>
      <c r="S2405" t="s">
        <v>39</v>
      </c>
      <c r="T2405" s="1">
        <v>45845</v>
      </c>
      <c r="U2405">
        <v>0</v>
      </c>
    </row>
    <row r="2406" spans="1:21" x14ac:dyDescent="0.25">
      <c r="A2406" t="s">
        <v>2453</v>
      </c>
      <c r="B2406">
        <v>65</v>
      </c>
      <c r="C2406" t="s">
        <v>29</v>
      </c>
      <c r="D2406" t="s">
        <v>35</v>
      </c>
      <c r="E2406" t="s">
        <v>51</v>
      </c>
      <c r="F2406" t="s">
        <v>44</v>
      </c>
      <c r="G2406">
        <v>6005.75</v>
      </c>
      <c r="H2406">
        <v>5382.72</v>
      </c>
      <c r="I2406">
        <v>12793.52</v>
      </c>
      <c r="J2406" t="s">
        <v>37</v>
      </c>
      <c r="K2406" t="s">
        <v>38</v>
      </c>
      <c r="L2406">
        <v>0</v>
      </c>
      <c r="M2406">
        <v>0</v>
      </c>
      <c r="N2406">
        <v>0</v>
      </c>
      <c r="O2406">
        <v>0</v>
      </c>
      <c r="P2406">
        <v>0</v>
      </c>
      <c r="Q2406">
        <v>582</v>
      </c>
      <c r="R2406">
        <v>0.18</v>
      </c>
      <c r="S2406" t="s">
        <v>72</v>
      </c>
      <c r="T2406" s="1">
        <v>44767</v>
      </c>
      <c r="U2406">
        <v>0</v>
      </c>
    </row>
    <row r="2407" spans="1:21" x14ac:dyDescent="0.25">
      <c r="A2407" t="s">
        <v>2454</v>
      </c>
      <c r="B2407">
        <v>64</v>
      </c>
      <c r="C2407" t="s">
        <v>21</v>
      </c>
      <c r="D2407" t="s">
        <v>41</v>
      </c>
      <c r="E2407" t="s">
        <v>31</v>
      </c>
      <c r="F2407" t="s">
        <v>24</v>
      </c>
      <c r="G2407">
        <v>9259.2900000000009</v>
      </c>
      <c r="H2407">
        <v>6937.6</v>
      </c>
      <c r="I2407">
        <v>75216.09</v>
      </c>
      <c r="J2407" t="s">
        <v>37</v>
      </c>
      <c r="K2407" t="s">
        <v>38</v>
      </c>
      <c r="L2407">
        <v>0</v>
      </c>
      <c r="M2407">
        <v>0</v>
      </c>
      <c r="N2407">
        <v>0</v>
      </c>
      <c r="O2407">
        <v>0</v>
      </c>
      <c r="P2407">
        <v>0</v>
      </c>
      <c r="Q2407">
        <v>500</v>
      </c>
      <c r="R2407">
        <v>0.68</v>
      </c>
      <c r="S2407" t="s">
        <v>72</v>
      </c>
      <c r="T2407" s="1">
        <v>45549</v>
      </c>
      <c r="U2407">
        <v>0</v>
      </c>
    </row>
    <row r="2408" spans="1:21" x14ac:dyDescent="0.25">
      <c r="A2408" t="s">
        <v>2455</v>
      </c>
      <c r="B2408">
        <v>32</v>
      </c>
      <c r="C2408" t="s">
        <v>21</v>
      </c>
      <c r="D2408" t="s">
        <v>22</v>
      </c>
      <c r="E2408" t="s">
        <v>51</v>
      </c>
      <c r="F2408" t="s">
        <v>49</v>
      </c>
      <c r="G2408">
        <v>500</v>
      </c>
      <c r="H2408">
        <v>227.21</v>
      </c>
      <c r="I2408">
        <v>4817.26</v>
      </c>
      <c r="J2408" t="s">
        <v>37</v>
      </c>
      <c r="K2408" t="s">
        <v>38</v>
      </c>
      <c r="L2408">
        <v>0</v>
      </c>
      <c r="M2408">
        <v>0</v>
      </c>
      <c r="N2408">
        <v>0</v>
      </c>
      <c r="O2408">
        <v>0</v>
      </c>
      <c r="P2408">
        <v>0</v>
      </c>
      <c r="Q2408">
        <v>716</v>
      </c>
      <c r="R2408">
        <v>0.8</v>
      </c>
      <c r="S2408" t="s">
        <v>39</v>
      </c>
      <c r="T2408" s="1">
        <v>45725</v>
      </c>
      <c r="U2408">
        <v>0</v>
      </c>
    </row>
    <row r="2409" spans="1:21" x14ac:dyDescent="0.25">
      <c r="A2409" t="s">
        <v>2456</v>
      </c>
      <c r="B2409">
        <v>50</v>
      </c>
      <c r="C2409" t="s">
        <v>21</v>
      </c>
      <c r="D2409" t="s">
        <v>41</v>
      </c>
      <c r="E2409" t="s">
        <v>31</v>
      </c>
      <c r="F2409" t="s">
        <v>49</v>
      </c>
      <c r="G2409">
        <v>4068.91</v>
      </c>
      <c r="H2409">
        <v>2100.96</v>
      </c>
      <c r="I2409">
        <v>13792.66</v>
      </c>
      <c r="J2409" t="s">
        <v>37</v>
      </c>
      <c r="K2409" t="s">
        <v>38</v>
      </c>
      <c r="L2409">
        <v>0</v>
      </c>
      <c r="M2409">
        <v>0</v>
      </c>
      <c r="N2409">
        <v>0</v>
      </c>
      <c r="O2409">
        <v>0</v>
      </c>
      <c r="P2409">
        <v>0</v>
      </c>
      <c r="Q2409">
        <v>575</v>
      </c>
      <c r="R2409">
        <v>0.28000000000000003</v>
      </c>
      <c r="S2409" t="s">
        <v>27</v>
      </c>
      <c r="T2409" s="1">
        <v>45240</v>
      </c>
      <c r="U2409">
        <v>0</v>
      </c>
    </row>
    <row r="2410" spans="1:21" x14ac:dyDescent="0.25">
      <c r="A2410" t="s">
        <v>2457</v>
      </c>
      <c r="B2410">
        <v>49</v>
      </c>
      <c r="C2410" t="s">
        <v>21</v>
      </c>
      <c r="D2410" t="s">
        <v>41</v>
      </c>
      <c r="E2410" t="s">
        <v>31</v>
      </c>
      <c r="F2410" t="s">
        <v>42</v>
      </c>
      <c r="G2410">
        <v>5684.3</v>
      </c>
      <c r="H2410">
        <v>2424.11</v>
      </c>
      <c r="I2410">
        <v>61969.99</v>
      </c>
      <c r="J2410" t="s">
        <v>37</v>
      </c>
      <c r="K2410" t="s">
        <v>38</v>
      </c>
      <c r="L2410">
        <v>0</v>
      </c>
      <c r="M2410">
        <v>0</v>
      </c>
      <c r="N2410">
        <v>0</v>
      </c>
      <c r="O2410">
        <v>0</v>
      </c>
      <c r="P2410">
        <v>0</v>
      </c>
      <c r="Q2410">
        <v>582</v>
      </c>
      <c r="R2410">
        <v>0.91</v>
      </c>
      <c r="S2410" t="s">
        <v>27</v>
      </c>
      <c r="T2410" s="1">
        <v>44419</v>
      </c>
      <c r="U2410">
        <v>0</v>
      </c>
    </row>
    <row r="2411" spans="1:21" x14ac:dyDescent="0.25">
      <c r="A2411" t="s">
        <v>2458</v>
      </c>
      <c r="B2411">
        <v>48</v>
      </c>
      <c r="C2411" t="s">
        <v>29</v>
      </c>
      <c r="D2411" t="s">
        <v>22</v>
      </c>
      <c r="E2411" t="s">
        <v>31</v>
      </c>
      <c r="F2411" t="s">
        <v>63</v>
      </c>
      <c r="G2411">
        <v>2627.81</v>
      </c>
      <c r="H2411">
        <v>1828.17</v>
      </c>
      <c r="I2411">
        <v>20952.05</v>
      </c>
      <c r="J2411" t="s">
        <v>25</v>
      </c>
      <c r="K2411" t="s">
        <v>33</v>
      </c>
      <c r="L2411">
        <v>6561.47</v>
      </c>
      <c r="M2411">
        <v>12</v>
      </c>
      <c r="N2411">
        <v>612.57000000000005</v>
      </c>
      <c r="O2411">
        <v>21.51</v>
      </c>
      <c r="P2411">
        <v>0.23</v>
      </c>
      <c r="Q2411">
        <v>649</v>
      </c>
      <c r="R2411">
        <v>0.66</v>
      </c>
      <c r="S2411" t="s">
        <v>27</v>
      </c>
      <c r="T2411" s="1">
        <v>45386</v>
      </c>
      <c r="U2411">
        <v>0</v>
      </c>
    </row>
    <row r="2412" spans="1:21" x14ac:dyDescent="0.25">
      <c r="A2412" t="s">
        <v>2459</v>
      </c>
      <c r="B2412">
        <v>59</v>
      </c>
      <c r="C2412" t="s">
        <v>21</v>
      </c>
      <c r="D2412" t="s">
        <v>22</v>
      </c>
      <c r="E2412" t="s">
        <v>31</v>
      </c>
      <c r="F2412" t="s">
        <v>52</v>
      </c>
      <c r="G2412">
        <v>7788.45</v>
      </c>
      <c r="H2412">
        <v>6900.68</v>
      </c>
      <c r="I2412">
        <v>45040.67</v>
      </c>
      <c r="J2412" t="s">
        <v>25</v>
      </c>
      <c r="K2412" t="s">
        <v>54</v>
      </c>
      <c r="L2412">
        <v>274422.59999999998</v>
      </c>
      <c r="M2412">
        <v>24</v>
      </c>
      <c r="N2412">
        <v>14561.12</v>
      </c>
      <c r="O2412">
        <v>24.38</v>
      </c>
      <c r="P2412">
        <v>1.87</v>
      </c>
      <c r="Q2412">
        <v>705</v>
      </c>
      <c r="R2412">
        <v>0.48</v>
      </c>
      <c r="S2412" t="s">
        <v>27</v>
      </c>
      <c r="T2412" s="1">
        <v>44705</v>
      </c>
      <c r="U2412">
        <v>1</v>
      </c>
    </row>
    <row r="2413" spans="1:21" x14ac:dyDescent="0.25">
      <c r="A2413" t="s">
        <v>2460</v>
      </c>
      <c r="B2413">
        <v>60</v>
      </c>
      <c r="C2413" t="s">
        <v>29</v>
      </c>
      <c r="D2413" t="s">
        <v>30</v>
      </c>
      <c r="E2413" t="s">
        <v>51</v>
      </c>
      <c r="F2413" t="s">
        <v>36</v>
      </c>
      <c r="G2413">
        <v>2789.49</v>
      </c>
      <c r="H2413">
        <v>2448.27</v>
      </c>
      <c r="I2413">
        <v>29979.98</v>
      </c>
      <c r="J2413" t="s">
        <v>25</v>
      </c>
      <c r="K2413" t="s">
        <v>45</v>
      </c>
      <c r="L2413">
        <v>211100.94</v>
      </c>
      <c r="M2413">
        <v>240</v>
      </c>
      <c r="N2413">
        <v>3513.47</v>
      </c>
      <c r="O2413">
        <v>19.559999999999999</v>
      </c>
      <c r="P2413">
        <v>1.26</v>
      </c>
      <c r="Q2413">
        <v>305</v>
      </c>
      <c r="R2413">
        <v>0.9</v>
      </c>
      <c r="S2413" t="s">
        <v>27</v>
      </c>
      <c r="T2413" s="1">
        <v>45498</v>
      </c>
      <c r="U2413">
        <v>1</v>
      </c>
    </row>
    <row r="2414" spans="1:21" x14ac:dyDescent="0.25">
      <c r="A2414" t="s">
        <v>2461</v>
      </c>
      <c r="B2414">
        <v>51</v>
      </c>
      <c r="C2414" t="s">
        <v>21</v>
      </c>
      <c r="D2414" t="s">
        <v>41</v>
      </c>
      <c r="E2414" t="s">
        <v>49</v>
      </c>
      <c r="F2414" t="s">
        <v>49</v>
      </c>
      <c r="G2414">
        <v>3459.1</v>
      </c>
      <c r="H2414">
        <v>1994.8</v>
      </c>
      <c r="I2414">
        <v>18803.599999999999</v>
      </c>
      <c r="J2414" t="s">
        <v>37</v>
      </c>
      <c r="K2414" t="s">
        <v>38</v>
      </c>
      <c r="L2414">
        <v>0</v>
      </c>
      <c r="M2414">
        <v>0</v>
      </c>
      <c r="N2414">
        <v>0</v>
      </c>
      <c r="O2414">
        <v>0</v>
      </c>
      <c r="P2414">
        <v>0</v>
      </c>
      <c r="Q2414">
        <v>690</v>
      </c>
      <c r="R2414">
        <v>0.45</v>
      </c>
      <c r="S2414" t="s">
        <v>30</v>
      </c>
      <c r="T2414" s="1">
        <v>44477</v>
      </c>
      <c r="U2414">
        <v>0</v>
      </c>
    </row>
    <row r="2415" spans="1:21" x14ac:dyDescent="0.25">
      <c r="A2415" t="s">
        <v>2462</v>
      </c>
      <c r="B2415">
        <v>46</v>
      </c>
      <c r="C2415" t="s">
        <v>21</v>
      </c>
      <c r="D2415" t="s">
        <v>41</v>
      </c>
      <c r="E2415" t="s">
        <v>31</v>
      </c>
      <c r="F2415" t="s">
        <v>42</v>
      </c>
      <c r="G2415">
        <v>4415.0600000000004</v>
      </c>
      <c r="H2415">
        <v>2534.9699999999998</v>
      </c>
      <c r="I2415">
        <v>31157</v>
      </c>
      <c r="J2415" t="s">
        <v>37</v>
      </c>
      <c r="K2415" t="s">
        <v>38</v>
      </c>
      <c r="L2415">
        <v>0</v>
      </c>
      <c r="M2415">
        <v>0</v>
      </c>
      <c r="N2415">
        <v>0</v>
      </c>
      <c r="O2415">
        <v>0</v>
      </c>
      <c r="P2415">
        <v>0</v>
      </c>
      <c r="Q2415">
        <v>582</v>
      </c>
      <c r="R2415">
        <v>0.59</v>
      </c>
      <c r="S2415" t="s">
        <v>47</v>
      </c>
      <c r="T2415" s="1">
        <v>45199</v>
      </c>
      <c r="U2415">
        <v>0</v>
      </c>
    </row>
    <row r="2416" spans="1:21" x14ac:dyDescent="0.25">
      <c r="A2416" t="s">
        <v>2463</v>
      </c>
      <c r="B2416">
        <v>25</v>
      </c>
      <c r="C2416" t="s">
        <v>29</v>
      </c>
      <c r="D2416" t="s">
        <v>35</v>
      </c>
      <c r="E2416" t="s">
        <v>31</v>
      </c>
      <c r="F2416" t="s">
        <v>63</v>
      </c>
      <c r="G2416">
        <v>7823.52</v>
      </c>
      <c r="H2416">
        <v>6040.64</v>
      </c>
      <c r="I2416">
        <v>15561.5</v>
      </c>
      <c r="J2416" t="s">
        <v>25</v>
      </c>
      <c r="K2416" t="s">
        <v>26</v>
      </c>
      <c r="L2416">
        <v>153417.44</v>
      </c>
      <c r="M2416">
        <v>12</v>
      </c>
      <c r="N2416">
        <v>13116.81</v>
      </c>
      <c r="O2416">
        <v>4.76</v>
      </c>
      <c r="P2416">
        <v>1.68</v>
      </c>
      <c r="Q2416">
        <v>410</v>
      </c>
      <c r="R2416">
        <v>0.17</v>
      </c>
      <c r="S2416" t="s">
        <v>39</v>
      </c>
      <c r="T2416" s="1">
        <v>44612</v>
      </c>
      <c r="U2416">
        <v>1</v>
      </c>
    </row>
    <row r="2417" spans="1:21" x14ac:dyDescent="0.25">
      <c r="A2417" t="s">
        <v>2464</v>
      </c>
      <c r="B2417">
        <v>58</v>
      </c>
      <c r="C2417" t="s">
        <v>21</v>
      </c>
      <c r="D2417" t="s">
        <v>35</v>
      </c>
      <c r="E2417" t="s">
        <v>31</v>
      </c>
      <c r="F2417" t="s">
        <v>63</v>
      </c>
      <c r="G2417">
        <v>7763.31</v>
      </c>
      <c r="H2417">
        <v>4245.38</v>
      </c>
      <c r="I2417">
        <v>10922.89</v>
      </c>
      <c r="J2417" t="s">
        <v>37</v>
      </c>
      <c r="K2417" t="s">
        <v>38</v>
      </c>
      <c r="L2417">
        <v>0</v>
      </c>
      <c r="M2417">
        <v>0</v>
      </c>
      <c r="N2417">
        <v>0</v>
      </c>
      <c r="O2417">
        <v>0</v>
      </c>
      <c r="P2417">
        <v>0</v>
      </c>
      <c r="Q2417">
        <v>746</v>
      </c>
      <c r="R2417">
        <v>0.12</v>
      </c>
      <c r="S2417" t="s">
        <v>72</v>
      </c>
      <c r="T2417" s="1">
        <v>45642</v>
      </c>
      <c r="U2417">
        <v>0</v>
      </c>
    </row>
    <row r="2418" spans="1:21" x14ac:dyDescent="0.25">
      <c r="A2418" t="s">
        <v>2465</v>
      </c>
      <c r="B2418">
        <v>63</v>
      </c>
      <c r="C2418" t="s">
        <v>21</v>
      </c>
      <c r="D2418" t="s">
        <v>41</v>
      </c>
      <c r="E2418" t="s">
        <v>31</v>
      </c>
      <c r="F2418" t="s">
        <v>36</v>
      </c>
      <c r="G2418">
        <v>500</v>
      </c>
      <c r="H2418">
        <v>352.34</v>
      </c>
      <c r="I2418">
        <v>5717.82</v>
      </c>
      <c r="J2418" t="s">
        <v>37</v>
      </c>
      <c r="K2418" t="s">
        <v>38</v>
      </c>
      <c r="L2418">
        <v>0</v>
      </c>
      <c r="M2418">
        <v>0</v>
      </c>
      <c r="N2418">
        <v>0</v>
      </c>
      <c r="O2418">
        <v>0</v>
      </c>
      <c r="P2418">
        <v>0</v>
      </c>
      <c r="Q2418">
        <v>717</v>
      </c>
      <c r="R2418">
        <v>0.95</v>
      </c>
      <c r="S2418" t="s">
        <v>47</v>
      </c>
      <c r="T2418" s="1">
        <v>45252</v>
      </c>
      <c r="U2418">
        <v>0</v>
      </c>
    </row>
    <row r="2419" spans="1:21" x14ac:dyDescent="0.25">
      <c r="A2419" t="s">
        <v>2466</v>
      </c>
      <c r="B2419">
        <v>29</v>
      </c>
      <c r="C2419" t="s">
        <v>21</v>
      </c>
      <c r="D2419" t="s">
        <v>35</v>
      </c>
      <c r="E2419" t="s">
        <v>31</v>
      </c>
      <c r="F2419" t="s">
        <v>32</v>
      </c>
      <c r="G2419">
        <v>1819.11</v>
      </c>
      <c r="H2419">
        <v>1527.11</v>
      </c>
      <c r="I2419">
        <v>18842.43</v>
      </c>
      <c r="J2419" t="s">
        <v>37</v>
      </c>
      <c r="K2419" t="s">
        <v>38</v>
      </c>
      <c r="L2419">
        <v>0</v>
      </c>
      <c r="M2419">
        <v>0</v>
      </c>
      <c r="N2419">
        <v>0</v>
      </c>
      <c r="O2419">
        <v>0</v>
      </c>
      <c r="P2419">
        <v>0</v>
      </c>
      <c r="Q2419">
        <v>671</v>
      </c>
      <c r="R2419">
        <v>0.86</v>
      </c>
      <c r="S2419" t="s">
        <v>47</v>
      </c>
      <c r="T2419" s="1">
        <v>45343</v>
      </c>
      <c r="U2419">
        <v>0</v>
      </c>
    </row>
    <row r="2420" spans="1:21" x14ac:dyDescent="0.25">
      <c r="A2420" t="s">
        <v>2467</v>
      </c>
      <c r="B2420">
        <v>38</v>
      </c>
      <c r="C2420" t="s">
        <v>21</v>
      </c>
      <c r="D2420" t="s">
        <v>41</v>
      </c>
      <c r="E2420" t="s">
        <v>51</v>
      </c>
      <c r="F2420" t="s">
        <v>24</v>
      </c>
      <c r="G2420">
        <v>1361.37</v>
      </c>
      <c r="H2420">
        <v>503.94</v>
      </c>
      <c r="I2420">
        <v>15657.68</v>
      </c>
      <c r="J2420" t="s">
        <v>37</v>
      </c>
      <c r="K2420" t="s">
        <v>38</v>
      </c>
      <c r="L2420">
        <v>0</v>
      </c>
      <c r="M2420">
        <v>0</v>
      </c>
      <c r="N2420">
        <v>0</v>
      </c>
      <c r="O2420">
        <v>0</v>
      </c>
      <c r="P2420">
        <v>0</v>
      </c>
      <c r="Q2420">
        <v>825</v>
      </c>
      <c r="R2420">
        <v>0.96</v>
      </c>
      <c r="S2420" t="s">
        <v>39</v>
      </c>
      <c r="T2420" s="1">
        <v>45812</v>
      </c>
      <c r="U2420">
        <v>0</v>
      </c>
    </row>
    <row r="2421" spans="1:21" x14ac:dyDescent="0.25">
      <c r="A2421" t="s">
        <v>2468</v>
      </c>
      <c r="B2421">
        <v>45</v>
      </c>
      <c r="C2421" t="s">
        <v>29</v>
      </c>
      <c r="D2421" t="s">
        <v>41</v>
      </c>
      <c r="E2421" t="s">
        <v>51</v>
      </c>
      <c r="F2421" t="s">
        <v>24</v>
      </c>
      <c r="G2421">
        <v>2720.46</v>
      </c>
      <c r="H2421">
        <v>1652</v>
      </c>
      <c r="I2421">
        <v>6132.19</v>
      </c>
      <c r="J2421" t="s">
        <v>37</v>
      </c>
      <c r="K2421" t="s">
        <v>38</v>
      </c>
      <c r="L2421">
        <v>0</v>
      </c>
      <c r="M2421">
        <v>0</v>
      </c>
      <c r="N2421">
        <v>0</v>
      </c>
      <c r="O2421">
        <v>0</v>
      </c>
      <c r="P2421">
        <v>0</v>
      </c>
      <c r="Q2421">
        <v>553</v>
      </c>
      <c r="R2421">
        <v>0.19</v>
      </c>
      <c r="S2421" t="s">
        <v>47</v>
      </c>
      <c r="T2421" s="1">
        <v>44766</v>
      </c>
      <c r="U2421">
        <v>0</v>
      </c>
    </row>
    <row r="2422" spans="1:21" x14ac:dyDescent="0.25">
      <c r="A2422" t="s">
        <v>2469</v>
      </c>
      <c r="B2422">
        <v>68</v>
      </c>
      <c r="C2422" t="s">
        <v>29</v>
      </c>
      <c r="D2422" t="s">
        <v>35</v>
      </c>
      <c r="E2422" t="s">
        <v>31</v>
      </c>
      <c r="F2422" t="s">
        <v>36</v>
      </c>
      <c r="G2422">
        <v>4783.75</v>
      </c>
      <c r="H2422">
        <v>1486.27</v>
      </c>
      <c r="I2422">
        <v>29361.81</v>
      </c>
      <c r="J2422" t="s">
        <v>37</v>
      </c>
      <c r="K2422" t="s">
        <v>38</v>
      </c>
      <c r="L2422">
        <v>0</v>
      </c>
      <c r="M2422">
        <v>0</v>
      </c>
      <c r="N2422">
        <v>0</v>
      </c>
      <c r="O2422">
        <v>0</v>
      </c>
      <c r="P2422">
        <v>0</v>
      </c>
      <c r="Q2422">
        <v>384</v>
      </c>
      <c r="R2422">
        <v>0.51</v>
      </c>
      <c r="S2422" t="s">
        <v>72</v>
      </c>
      <c r="T2422" s="1">
        <v>44693</v>
      </c>
      <c r="U2422">
        <v>0</v>
      </c>
    </row>
    <row r="2423" spans="1:21" x14ac:dyDescent="0.25">
      <c r="A2423" t="s">
        <v>2470</v>
      </c>
      <c r="B2423">
        <v>24</v>
      </c>
      <c r="C2423" t="s">
        <v>29</v>
      </c>
      <c r="D2423" t="s">
        <v>41</v>
      </c>
      <c r="E2423" t="s">
        <v>31</v>
      </c>
      <c r="F2423" t="s">
        <v>49</v>
      </c>
      <c r="G2423">
        <v>4942.83</v>
      </c>
      <c r="H2423">
        <v>2118.2600000000002</v>
      </c>
      <c r="I2423">
        <v>18657.009999999998</v>
      </c>
      <c r="J2423" t="s">
        <v>37</v>
      </c>
      <c r="K2423" t="s">
        <v>38</v>
      </c>
      <c r="L2423">
        <v>0</v>
      </c>
      <c r="M2423">
        <v>0</v>
      </c>
      <c r="N2423">
        <v>0</v>
      </c>
      <c r="O2423">
        <v>0</v>
      </c>
      <c r="P2423">
        <v>0</v>
      </c>
      <c r="Q2423">
        <v>812</v>
      </c>
      <c r="R2423">
        <v>0.31</v>
      </c>
      <c r="S2423" t="s">
        <v>47</v>
      </c>
      <c r="T2423" s="1">
        <v>44790</v>
      </c>
      <c r="U2423">
        <v>0</v>
      </c>
    </row>
    <row r="2424" spans="1:21" x14ac:dyDescent="0.25">
      <c r="A2424" t="s">
        <v>2471</v>
      </c>
      <c r="B2424">
        <v>66</v>
      </c>
      <c r="C2424" t="s">
        <v>21</v>
      </c>
      <c r="D2424" t="s">
        <v>41</v>
      </c>
      <c r="E2424" t="s">
        <v>31</v>
      </c>
      <c r="F2424" t="s">
        <v>32</v>
      </c>
      <c r="G2424">
        <v>3179.01</v>
      </c>
      <c r="H2424">
        <v>2247.89</v>
      </c>
      <c r="I2424">
        <v>18098.53</v>
      </c>
      <c r="J2424" t="s">
        <v>25</v>
      </c>
      <c r="K2424" t="s">
        <v>45</v>
      </c>
      <c r="L2424">
        <v>189083.11</v>
      </c>
      <c r="M2424">
        <v>60</v>
      </c>
      <c r="N2424">
        <v>5150.5</v>
      </c>
      <c r="O2424">
        <v>21.33</v>
      </c>
      <c r="P2424">
        <v>1.62</v>
      </c>
      <c r="Q2424">
        <v>381</v>
      </c>
      <c r="R2424">
        <v>0.47</v>
      </c>
      <c r="S2424" t="s">
        <v>27</v>
      </c>
      <c r="T2424" s="1">
        <v>45358</v>
      </c>
      <c r="U2424">
        <v>1</v>
      </c>
    </row>
    <row r="2425" spans="1:21" x14ac:dyDescent="0.25">
      <c r="A2425" t="s">
        <v>2472</v>
      </c>
      <c r="B2425">
        <v>24</v>
      </c>
      <c r="C2425" t="s">
        <v>29</v>
      </c>
      <c r="D2425" t="s">
        <v>41</v>
      </c>
      <c r="E2425" t="s">
        <v>31</v>
      </c>
      <c r="F2425" t="s">
        <v>32</v>
      </c>
      <c r="G2425">
        <v>2018.99</v>
      </c>
      <c r="H2425">
        <v>1269.58</v>
      </c>
      <c r="I2425">
        <v>5708.79</v>
      </c>
      <c r="J2425" t="s">
        <v>37</v>
      </c>
      <c r="K2425" t="s">
        <v>38</v>
      </c>
      <c r="L2425">
        <v>0</v>
      </c>
      <c r="M2425">
        <v>0</v>
      </c>
      <c r="N2425">
        <v>0</v>
      </c>
      <c r="O2425">
        <v>0</v>
      </c>
      <c r="P2425">
        <v>0</v>
      </c>
      <c r="Q2425">
        <v>714</v>
      </c>
      <c r="R2425">
        <v>0.24</v>
      </c>
      <c r="S2425" t="s">
        <v>30</v>
      </c>
      <c r="T2425" s="1">
        <v>44865</v>
      </c>
      <c r="U2425">
        <v>0</v>
      </c>
    </row>
    <row r="2426" spans="1:21" x14ac:dyDescent="0.25">
      <c r="A2426" t="s">
        <v>2473</v>
      </c>
      <c r="B2426">
        <v>32</v>
      </c>
      <c r="C2426" t="s">
        <v>29</v>
      </c>
      <c r="D2426" t="s">
        <v>35</v>
      </c>
      <c r="E2426" t="s">
        <v>31</v>
      </c>
      <c r="F2426" t="s">
        <v>32</v>
      </c>
      <c r="G2426">
        <v>2319.42</v>
      </c>
      <c r="H2426">
        <v>756.41</v>
      </c>
      <c r="I2426">
        <v>22243.47</v>
      </c>
      <c r="J2426" t="s">
        <v>37</v>
      </c>
      <c r="K2426" t="s">
        <v>38</v>
      </c>
      <c r="L2426">
        <v>0</v>
      </c>
      <c r="M2426">
        <v>0</v>
      </c>
      <c r="N2426">
        <v>0</v>
      </c>
      <c r="O2426">
        <v>0</v>
      </c>
      <c r="P2426">
        <v>0</v>
      </c>
      <c r="Q2426">
        <v>310</v>
      </c>
      <c r="R2426">
        <v>0.8</v>
      </c>
      <c r="S2426" t="s">
        <v>30</v>
      </c>
      <c r="T2426" s="1">
        <v>44654</v>
      </c>
      <c r="U2426">
        <v>0</v>
      </c>
    </row>
    <row r="2427" spans="1:21" x14ac:dyDescent="0.25">
      <c r="A2427" t="s">
        <v>2474</v>
      </c>
      <c r="B2427">
        <v>43</v>
      </c>
      <c r="C2427" t="s">
        <v>29</v>
      </c>
      <c r="D2427" t="s">
        <v>22</v>
      </c>
      <c r="E2427" t="s">
        <v>23</v>
      </c>
      <c r="F2427" t="s">
        <v>23</v>
      </c>
      <c r="G2427">
        <v>3907.81</v>
      </c>
      <c r="H2427">
        <v>2780.98</v>
      </c>
      <c r="I2427">
        <v>28849.040000000001</v>
      </c>
      <c r="J2427" t="s">
        <v>37</v>
      </c>
      <c r="K2427" t="s">
        <v>38</v>
      </c>
      <c r="L2427">
        <v>0</v>
      </c>
      <c r="M2427">
        <v>0</v>
      </c>
      <c r="N2427">
        <v>0</v>
      </c>
      <c r="O2427">
        <v>0</v>
      </c>
      <c r="P2427">
        <v>0</v>
      </c>
      <c r="Q2427">
        <v>656</v>
      </c>
      <c r="R2427">
        <v>0.62</v>
      </c>
      <c r="S2427" t="s">
        <v>39</v>
      </c>
      <c r="T2427" s="1">
        <v>44740</v>
      </c>
      <c r="U2427">
        <v>0</v>
      </c>
    </row>
    <row r="2428" spans="1:21" x14ac:dyDescent="0.25">
      <c r="A2428" t="s">
        <v>2475</v>
      </c>
      <c r="B2428">
        <v>21</v>
      </c>
      <c r="C2428" t="s">
        <v>29</v>
      </c>
      <c r="D2428" t="s">
        <v>41</v>
      </c>
      <c r="E2428" t="s">
        <v>31</v>
      </c>
      <c r="F2428" t="s">
        <v>32</v>
      </c>
      <c r="G2428">
        <v>4804.33</v>
      </c>
      <c r="H2428">
        <v>2229.2600000000002</v>
      </c>
      <c r="I2428">
        <v>52166.65</v>
      </c>
      <c r="J2428" t="s">
        <v>37</v>
      </c>
      <c r="K2428" t="s">
        <v>38</v>
      </c>
      <c r="L2428">
        <v>0</v>
      </c>
      <c r="M2428">
        <v>0</v>
      </c>
      <c r="N2428">
        <v>0</v>
      </c>
      <c r="O2428">
        <v>0</v>
      </c>
      <c r="P2428">
        <v>0</v>
      </c>
      <c r="Q2428">
        <v>642</v>
      </c>
      <c r="R2428">
        <v>0.9</v>
      </c>
      <c r="S2428" t="s">
        <v>27</v>
      </c>
      <c r="T2428" s="1">
        <v>45654</v>
      </c>
      <c r="U2428">
        <v>0</v>
      </c>
    </row>
    <row r="2429" spans="1:21" x14ac:dyDescent="0.25">
      <c r="A2429" t="s">
        <v>2476</v>
      </c>
      <c r="B2429">
        <v>66</v>
      </c>
      <c r="C2429" t="s">
        <v>29</v>
      </c>
      <c r="D2429" t="s">
        <v>41</v>
      </c>
      <c r="E2429" t="s">
        <v>51</v>
      </c>
      <c r="F2429" t="s">
        <v>23</v>
      </c>
      <c r="G2429">
        <v>3525.48</v>
      </c>
      <c r="H2429">
        <v>3117.46</v>
      </c>
      <c r="I2429">
        <v>9897.94</v>
      </c>
      <c r="J2429" t="s">
        <v>37</v>
      </c>
      <c r="K2429" t="s">
        <v>38</v>
      </c>
      <c r="L2429">
        <v>0</v>
      </c>
      <c r="M2429">
        <v>0</v>
      </c>
      <c r="N2429">
        <v>0</v>
      </c>
      <c r="O2429">
        <v>0</v>
      </c>
      <c r="P2429">
        <v>0</v>
      </c>
      <c r="Q2429">
        <v>427</v>
      </c>
      <c r="R2429">
        <v>0.23</v>
      </c>
      <c r="S2429" t="s">
        <v>72</v>
      </c>
      <c r="T2429" s="1">
        <v>44593</v>
      </c>
      <c r="U2429">
        <v>0</v>
      </c>
    </row>
    <row r="2430" spans="1:21" x14ac:dyDescent="0.25">
      <c r="A2430" t="s">
        <v>2477</v>
      </c>
      <c r="B2430">
        <v>61</v>
      </c>
      <c r="C2430" t="s">
        <v>29</v>
      </c>
      <c r="D2430" t="s">
        <v>22</v>
      </c>
      <c r="E2430" t="s">
        <v>23</v>
      </c>
      <c r="F2430" t="s">
        <v>63</v>
      </c>
      <c r="G2430">
        <v>4726.92</v>
      </c>
      <c r="H2430">
        <v>3313.69</v>
      </c>
      <c r="I2430">
        <v>27775.05</v>
      </c>
      <c r="J2430" t="s">
        <v>37</v>
      </c>
      <c r="K2430" t="s">
        <v>38</v>
      </c>
      <c r="L2430">
        <v>0</v>
      </c>
      <c r="M2430">
        <v>0</v>
      </c>
      <c r="N2430">
        <v>0</v>
      </c>
      <c r="O2430">
        <v>0</v>
      </c>
      <c r="P2430">
        <v>0</v>
      </c>
      <c r="Q2430">
        <v>474</v>
      </c>
      <c r="R2430">
        <v>0.49</v>
      </c>
      <c r="S2430" t="s">
        <v>30</v>
      </c>
      <c r="T2430" s="1">
        <v>45807</v>
      </c>
      <c r="U2430">
        <v>0</v>
      </c>
    </row>
    <row r="2431" spans="1:21" x14ac:dyDescent="0.25">
      <c r="A2431" t="s">
        <v>2478</v>
      </c>
      <c r="B2431">
        <v>67</v>
      </c>
      <c r="C2431" t="s">
        <v>29</v>
      </c>
      <c r="D2431" t="s">
        <v>22</v>
      </c>
      <c r="E2431" t="s">
        <v>31</v>
      </c>
      <c r="F2431" t="s">
        <v>32</v>
      </c>
      <c r="G2431">
        <v>6785.18</v>
      </c>
      <c r="H2431">
        <v>4172.3599999999997</v>
      </c>
      <c r="I2431">
        <v>42651.65</v>
      </c>
      <c r="J2431" t="s">
        <v>25</v>
      </c>
      <c r="K2431" t="s">
        <v>33</v>
      </c>
      <c r="L2431">
        <v>42889.99</v>
      </c>
      <c r="M2431">
        <v>36</v>
      </c>
      <c r="N2431">
        <v>1325.5</v>
      </c>
      <c r="O2431">
        <v>7.06</v>
      </c>
      <c r="P2431">
        <v>0.2</v>
      </c>
      <c r="Q2431">
        <v>703</v>
      </c>
      <c r="R2431">
        <v>0.52</v>
      </c>
      <c r="S2431" t="s">
        <v>30</v>
      </c>
      <c r="T2431" s="1">
        <v>45521</v>
      </c>
      <c r="U2431">
        <v>0</v>
      </c>
    </row>
    <row r="2432" spans="1:21" x14ac:dyDescent="0.25">
      <c r="A2432" t="s">
        <v>2479</v>
      </c>
      <c r="B2432">
        <v>66</v>
      </c>
      <c r="C2432" t="s">
        <v>21</v>
      </c>
      <c r="D2432" t="s">
        <v>41</v>
      </c>
      <c r="E2432" t="s">
        <v>31</v>
      </c>
      <c r="F2432" t="s">
        <v>44</v>
      </c>
      <c r="G2432">
        <v>5088.6400000000003</v>
      </c>
      <c r="H2432">
        <v>3896.43</v>
      </c>
      <c r="I2432">
        <v>9623.33</v>
      </c>
      <c r="J2432" t="s">
        <v>25</v>
      </c>
      <c r="K2432" t="s">
        <v>45</v>
      </c>
      <c r="L2432">
        <v>128446.41</v>
      </c>
      <c r="M2432">
        <v>24</v>
      </c>
      <c r="N2432">
        <v>7079.06</v>
      </c>
      <c r="O2432">
        <v>28.44</v>
      </c>
      <c r="P2432">
        <v>1.39</v>
      </c>
      <c r="Q2432">
        <v>344</v>
      </c>
      <c r="R2432">
        <v>0.16</v>
      </c>
      <c r="S2432" t="s">
        <v>27</v>
      </c>
      <c r="T2432" s="1">
        <v>45189</v>
      </c>
      <c r="U2432">
        <v>1</v>
      </c>
    </row>
    <row r="2433" spans="1:21" x14ac:dyDescent="0.25">
      <c r="A2433" t="s">
        <v>2480</v>
      </c>
      <c r="B2433">
        <v>69</v>
      </c>
      <c r="C2433" t="s">
        <v>29</v>
      </c>
      <c r="D2433" t="s">
        <v>41</v>
      </c>
      <c r="E2433" t="s">
        <v>31</v>
      </c>
      <c r="F2433" t="s">
        <v>52</v>
      </c>
      <c r="G2433">
        <v>5568.14</v>
      </c>
      <c r="H2433">
        <v>2464.62</v>
      </c>
      <c r="I2433">
        <v>28999.09</v>
      </c>
      <c r="J2433" t="s">
        <v>25</v>
      </c>
      <c r="K2433" t="s">
        <v>33</v>
      </c>
      <c r="L2433">
        <v>347328.41</v>
      </c>
      <c r="M2433">
        <v>300</v>
      </c>
      <c r="N2433">
        <v>6976.31</v>
      </c>
      <c r="O2433">
        <v>24.04</v>
      </c>
      <c r="P2433">
        <v>1.25</v>
      </c>
      <c r="Q2433">
        <v>585</v>
      </c>
      <c r="R2433">
        <v>0.43</v>
      </c>
      <c r="S2433" t="s">
        <v>47</v>
      </c>
      <c r="T2433" s="1">
        <v>44554</v>
      </c>
      <c r="U2433">
        <v>1</v>
      </c>
    </row>
    <row r="2434" spans="1:21" x14ac:dyDescent="0.25">
      <c r="A2434" t="s">
        <v>2481</v>
      </c>
      <c r="B2434">
        <v>27</v>
      </c>
      <c r="C2434" t="s">
        <v>29</v>
      </c>
      <c r="D2434" t="s">
        <v>41</v>
      </c>
      <c r="E2434" t="s">
        <v>31</v>
      </c>
      <c r="F2434" t="s">
        <v>23</v>
      </c>
      <c r="G2434">
        <v>2399.42</v>
      </c>
      <c r="H2434">
        <v>2073.06</v>
      </c>
      <c r="I2434">
        <v>12289.18</v>
      </c>
      <c r="J2434" t="s">
        <v>37</v>
      </c>
      <c r="K2434" t="s">
        <v>38</v>
      </c>
      <c r="L2434">
        <v>0</v>
      </c>
      <c r="M2434">
        <v>0</v>
      </c>
      <c r="N2434">
        <v>0</v>
      </c>
      <c r="O2434">
        <v>0</v>
      </c>
      <c r="P2434">
        <v>0</v>
      </c>
      <c r="Q2434">
        <v>408</v>
      </c>
      <c r="R2434">
        <v>0.43</v>
      </c>
      <c r="S2434" t="s">
        <v>72</v>
      </c>
      <c r="T2434" s="1">
        <v>45610</v>
      </c>
      <c r="U2434">
        <v>0</v>
      </c>
    </row>
    <row r="2435" spans="1:21" x14ac:dyDescent="0.25">
      <c r="A2435" t="s">
        <v>2482</v>
      </c>
      <c r="B2435">
        <v>62</v>
      </c>
      <c r="C2435" t="s">
        <v>21</v>
      </c>
      <c r="D2435" t="s">
        <v>35</v>
      </c>
      <c r="E2435" t="s">
        <v>31</v>
      </c>
      <c r="F2435" t="s">
        <v>52</v>
      </c>
      <c r="G2435">
        <v>7154.97</v>
      </c>
      <c r="H2435">
        <v>2983.42</v>
      </c>
      <c r="I2435">
        <v>58947.58</v>
      </c>
      <c r="J2435" t="s">
        <v>37</v>
      </c>
      <c r="K2435" t="s">
        <v>38</v>
      </c>
      <c r="L2435">
        <v>0</v>
      </c>
      <c r="M2435">
        <v>0</v>
      </c>
      <c r="N2435">
        <v>0</v>
      </c>
      <c r="O2435">
        <v>0</v>
      </c>
      <c r="P2435">
        <v>0</v>
      </c>
      <c r="Q2435">
        <v>446</v>
      </c>
      <c r="R2435">
        <v>0.69</v>
      </c>
      <c r="S2435" t="s">
        <v>30</v>
      </c>
      <c r="T2435" s="1">
        <v>44772</v>
      </c>
      <c r="U2435">
        <v>0</v>
      </c>
    </row>
    <row r="2436" spans="1:21" x14ac:dyDescent="0.25">
      <c r="A2436" t="s">
        <v>2483</v>
      </c>
      <c r="B2436">
        <v>37</v>
      </c>
      <c r="C2436" t="s">
        <v>29</v>
      </c>
      <c r="D2436" t="s">
        <v>41</v>
      </c>
      <c r="E2436" t="s">
        <v>31</v>
      </c>
      <c r="F2436" t="s">
        <v>49</v>
      </c>
      <c r="G2436">
        <v>1283.57</v>
      </c>
      <c r="H2436">
        <v>798.92</v>
      </c>
      <c r="I2436">
        <v>5077.55</v>
      </c>
      <c r="J2436" t="s">
        <v>37</v>
      </c>
      <c r="K2436" t="s">
        <v>38</v>
      </c>
      <c r="L2436">
        <v>0</v>
      </c>
      <c r="M2436">
        <v>0</v>
      </c>
      <c r="N2436">
        <v>0</v>
      </c>
      <c r="O2436">
        <v>0</v>
      </c>
      <c r="P2436">
        <v>0</v>
      </c>
      <c r="Q2436">
        <v>787</v>
      </c>
      <c r="R2436">
        <v>0.33</v>
      </c>
      <c r="S2436" t="s">
        <v>39</v>
      </c>
      <c r="T2436" s="1">
        <v>45858</v>
      </c>
      <c r="U2436">
        <v>0</v>
      </c>
    </row>
    <row r="2437" spans="1:21" x14ac:dyDescent="0.25">
      <c r="A2437" t="s">
        <v>2484</v>
      </c>
      <c r="B2437">
        <v>37</v>
      </c>
      <c r="C2437" t="s">
        <v>29</v>
      </c>
      <c r="D2437" t="s">
        <v>41</v>
      </c>
      <c r="E2437" t="s">
        <v>23</v>
      </c>
      <c r="F2437" t="s">
        <v>49</v>
      </c>
      <c r="G2437">
        <v>500</v>
      </c>
      <c r="H2437">
        <v>262.02</v>
      </c>
      <c r="I2437">
        <v>4091.53</v>
      </c>
      <c r="J2437" t="s">
        <v>37</v>
      </c>
      <c r="K2437" t="s">
        <v>38</v>
      </c>
      <c r="L2437">
        <v>0</v>
      </c>
      <c r="M2437">
        <v>0</v>
      </c>
      <c r="N2437">
        <v>0</v>
      </c>
      <c r="O2437">
        <v>0</v>
      </c>
      <c r="P2437">
        <v>0</v>
      </c>
      <c r="Q2437">
        <v>590</v>
      </c>
      <c r="R2437">
        <v>0.68</v>
      </c>
      <c r="S2437" t="s">
        <v>39</v>
      </c>
      <c r="T2437" s="1">
        <v>45156</v>
      </c>
      <c r="U2437">
        <v>0</v>
      </c>
    </row>
    <row r="2438" spans="1:21" x14ac:dyDescent="0.25">
      <c r="A2438" t="s">
        <v>2485</v>
      </c>
      <c r="B2438">
        <v>38</v>
      </c>
      <c r="C2438" t="s">
        <v>21</v>
      </c>
      <c r="D2438" t="s">
        <v>22</v>
      </c>
      <c r="E2438" t="s">
        <v>31</v>
      </c>
      <c r="F2438" t="s">
        <v>52</v>
      </c>
      <c r="G2438">
        <v>5048.8999999999996</v>
      </c>
      <c r="H2438">
        <v>4121.2299999999996</v>
      </c>
      <c r="I2438">
        <v>30055.13</v>
      </c>
      <c r="J2438" t="s">
        <v>37</v>
      </c>
      <c r="K2438" t="s">
        <v>38</v>
      </c>
      <c r="L2438">
        <v>0</v>
      </c>
      <c r="M2438">
        <v>0</v>
      </c>
      <c r="N2438">
        <v>0</v>
      </c>
      <c r="O2438">
        <v>0</v>
      </c>
      <c r="P2438">
        <v>0</v>
      </c>
      <c r="Q2438">
        <v>503</v>
      </c>
      <c r="R2438">
        <v>0.5</v>
      </c>
      <c r="S2438" t="s">
        <v>39</v>
      </c>
      <c r="T2438" s="1">
        <v>45670</v>
      </c>
      <c r="U2438">
        <v>0</v>
      </c>
    </row>
    <row r="2439" spans="1:21" x14ac:dyDescent="0.25">
      <c r="A2439" t="s">
        <v>2486</v>
      </c>
      <c r="B2439">
        <v>53</v>
      </c>
      <c r="C2439" t="s">
        <v>21</v>
      </c>
      <c r="D2439" t="s">
        <v>35</v>
      </c>
      <c r="E2439" t="s">
        <v>31</v>
      </c>
      <c r="F2439" t="s">
        <v>44</v>
      </c>
      <c r="G2439">
        <v>6455.28</v>
      </c>
      <c r="H2439">
        <v>4765.93</v>
      </c>
      <c r="I2439">
        <v>12934.47</v>
      </c>
      <c r="J2439" t="s">
        <v>25</v>
      </c>
      <c r="K2439" t="s">
        <v>45</v>
      </c>
      <c r="L2439">
        <v>117681.39</v>
      </c>
      <c r="M2439">
        <v>120</v>
      </c>
      <c r="N2439">
        <v>3013.14</v>
      </c>
      <c r="O2439">
        <v>28.97</v>
      </c>
      <c r="P2439">
        <v>0.47</v>
      </c>
      <c r="Q2439">
        <v>744</v>
      </c>
      <c r="R2439">
        <v>0.17</v>
      </c>
      <c r="S2439" t="s">
        <v>47</v>
      </c>
      <c r="T2439" s="1">
        <v>45233</v>
      </c>
      <c r="U2439">
        <v>1</v>
      </c>
    </row>
    <row r="2440" spans="1:21" x14ac:dyDescent="0.25">
      <c r="A2440" t="s">
        <v>2487</v>
      </c>
      <c r="B2440">
        <v>60</v>
      </c>
      <c r="C2440" t="s">
        <v>29</v>
      </c>
      <c r="D2440" t="s">
        <v>35</v>
      </c>
      <c r="E2440" t="s">
        <v>31</v>
      </c>
      <c r="F2440" t="s">
        <v>63</v>
      </c>
      <c r="G2440">
        <v>2740.65</v>
      </c>
      <c r="H2440">
        <v>1007.09</v>
      </c>
      <c r="I2440">
        <v>17595.61</v>
      </c>
      <c r="J2440" t="s">
        <v>37</v>
      </c>
      <c r="K2440" t="s">
        <v>38</v>
      </c>
      <c r="L2440">
        <v>0</v>
      </c>
      <c r="M2440">
        <v>0</v>
      </c>
      <c r="N2440">
        <v>0</v>
      </c>
      <c r="O2440">
        <v>0</v>
      </c>
      <c r="P2440">
        <v>0</v>
      </c>
      <c r="Q2440">
        <v>724</v>
      </c>
      <c r="R2440">
        <v>0.54</v>
      </c>
      <c r="S2440" t="s">
        <v>39</v>
      </c>
      <c r="T2440" s="1">
        <v>44793</v>
      </c>
      <c r="U2440">
        <v>0</v>
      </c>
    </row>
    <row r="2441" spans="1:21" x14ac:dyDescent="0.25">
      <c r="A2441" t="s">
        <v>2488</v>
      </c>
      <c r="B2441">
        <v>64</v>
      </c>
      <c r="C2441" t="s">
        <v>29</v>
      </c>
      <c r="D2441" t="s">
        <v>56</v>
      </c>
      <c r="E2441" t="s">
        <v>31</v>
      </c>
      <c r="F2441" t="s">
        <v>42</v>
      </c>
      <c r="G2441">
        <v>1026.76</v>
      </c>
      <c r="H2441">
        <v>641.96</v>
      </c>
      <c r="I2441">
        <v>3166.64</v>
      </c>
      <c r="J2441" t="s">
        <v>37</v>
      </c>
      <c r="K2441" t="s">
        <v>38</v>
      </c>
      <c r="L2441">
        <v>0</v>
      </c>
      <c r="M2441">
        <v>0</v>
      </c>
      <c r="N2441">
        <v>0</v>
      </c>
      <c r="O2441">
        <v>0</v>
      </c>
      <c r="P2441">
        <v>0</v>
      </c>
      <c r="Q2441">
        <v>586</v>
      </c>
      <c r="R2441">
        <v>0.26</v>
      </c>
      <c r="S2441" t="s">
        <v>72</v>
      </c>
      <c r="T2441" s="1">
        <v>45428</v>
      </c>
      <c r="U2441">
        <v>0</v>
      </c>
    </row>
    <row r="2442" spans="1:21" x14ac:dyDescent="0.25">
      <c r="A2442" t="s">
        <v>2489</v>
      </c>
      <c r="B2442">
        <v>38</v>
      </c>
      <c r="C2442" t="s">
        <v>29</v>
      </c>
      <c r="D2442" t="s">
        <v>22</v>
      </c>
      <c r="E2442" t="s">
        <v>31</v>
      </c>
      <c r="F2442" t="s">
        <v>36</v>
      </c>
      <c r="G2442">
        <v>2970.71</v>
      </c>
      <c r="H2442">
        <v>2548.06</v>
      </c>
      <c r="I2442">
        <v>16972.599999999999</v>
      </c>
      <c r="J2442" t="s">
        <v>37</v>
      </c>
      <c r="K2442" t="s">
        <v>38</v>
      </c>
      <c r="L2442">
        <v>0</v>
      </c>
      <c r="M2442">
        <v>0</v>
      </c>
      <c r="N2442">
        <v>0</v>
      </c>
      <c r="O2442">
        <v>0</v>
      </c>
      <c r="P2442">
        <v>0</v>
      </c>
      <c r="Q2442">
        <v>612</v>
      </c>
      <c r="R2442">
        <v>0.48</v>
      </c>
      <c r="S2442" t="s">
        <v>39</v>
      </c>
      <c r="T2442" s="1">
        <v>44559</v>
      </c>
      <c r="U2442">
        <v>0</v>
      </c>
    </row>
    <row r="2443" spans="1:21" x14ac:dyDescent="0.25">
      <c r="A2443" t="s">
        <v>2490</v>
      </c>
      <c r="B2443">
        <v>32</v>
      </c>
      <c r="C2443" t="s">
        <v>21</v>
      </c>
      <c r="D2443" t="s">
        <v>41</v>
      </c>
      <c r="E2443" t="s">
        <v>31</v>
      </c>
      <c r="F2443" t="s">
        <v>63</v>
      </c>
      <c r="G2443">
        <v>6042.24</v>
      </c>
      <c r="H2443">
        <v>5011.12</v>
      </c>
      <c r="I2443">
        <v>10255.52</v>
      </c>
      <c r="J2443" t="s">
        <v>37</v>
      </c>
      <c r="K2443" t="s">
        <v>38</v>
      </c>
      <c r="L2443">
        <v>0</v>
      </c>
      <c r="M2443">
        <v>0</v>
      </c>
      <c r="N2443">
        <v>0</v>
      </c>
      <c r="O2443">
        <v>0</v>
      </c>
      <c r="P2443">
        <v>0</v>
      </c>
      <c r="Q2443">
        <v>737</v>
      </c>
      <c r="R2443">
        <v>0.14000000000000001</v>
      </c>
      <c r="S2443" t="s">
        <v>27</v>
      </c>
      <c r="T2443" s="1">
        <v>44599</v>
      </c>
      <c r="U2443">
        <v>0</v>
      </c>
    </row>
    <row r="2444" spans="1:21" x14ac:dyDescent="0.25">
      <c r="A2444" t="s">
        <v>2491</v>
      </c>
      <c r="B2444">
        <v>48</v>
      </c>
      <c r="C2444" t="s">
        <v>21</v>
      </c>
      <c r="D2444" t="s">
        <v>41</v>
      </c>
      <c r="E2444" t="s">
        <v>51</v>
      </c>
      <c r="F2444" t="s">
        <v>42</v>
      </c>
      <c r="G2444">
        <v>5841.28</v>
      </c>
      <c r="H2444">
        <v>4031.91</v>
      </c>
      <c r="I2444">
        <v>60104.47</v>
      </c>
      <c r="J2444" t="s">
        <v>37</v>
      </c>
      <c r="K2444" t="s">
        <v>38</v>
      </c>
      <c r="L2444">
        <v>0</v>
      </c>
      <c r="M2444">
        <v>0</v>
      </c>
      <c r="N2444">
        <v>0</v>
      </c>
      <c r="O2444">
        <v>0</v>
      </c>
      <c r="P2444">
        <v>0</v>
      </c>
      <c r="Q2444">
        <v>668</v>
      </c>
      <c r="R2444">
        <v>0.86</v>
      </c>
      <c r="S2444" t="s">
        <v>72</v>
      </c>
      <c r="T2444" s="1">
        <v>45638</v>
      </c>
      <c r="U2444">
        <v>0</v>
      </c>
    </row>
    <row r="2445" spans="1:21" x14ac:dyDescent="0.25">
      <c r="A2445" t="s">
        <v>2492</v>
      </c>
      <c r="B2445">
        <v>33</v>
      </c>
      <c r="C2445" t="s">
        <v>29</v>
      </c>
      <c r="D2445" t="s">
        <v>41</v>
      </c>
      <c r="E2445" t="s">
        <v>51</v>
      </c>
      <c r="F2445" t="s">
        <v>63</v>
      </c>
      <c r="G2445">
        <v>3132.56</v>
      </c>
      <c r="H2445">
        <v>1862.17</v>
      </c>
      <c r="I2445">
        <v>35332.089999999997</v>
      </c>
      <c r="J2445" t="s">
        <v>37</v>
      </c>
      <c r="K2445" t="s">
        <v>38</v>
      </c>
      <c r="L2445">
        <v>0</v>
      </c>
      <c r="M2445">
        <v>0</v>
      </c>
      <c r="N2445">
        <v>0</v>
      </c>
      <c r="O2445">
        <v>0</v>
      </c>
      <c r="P2445">
        <v>0</v>
      </c>
      <c r="Q2445">
        <v>515</v>
      </c>
      <c r="R2445">
        <v>0.94</v>
      </c>
      <c r="S2445" t="s">
        <v>72</v>
      </c>
      <c r="T2445" s="1">
        <v>44835</v>
      </c>
      <c r="U2445">
        <v>0</v>
      </c>
    </row>
    <row r="2446" spans="1:21" x14ac:dyDescent="0.25">
      <c r="A2446" t="s">
        <v>2493</v>
      </c>
      <c r="B2446">
        <v>27</v>
      </c>
      <c r="C2446" t="s">
        <v>21</v>
      </c>
      <c r="D2446" t="s">
        <v>30</v>
      </c>
      <c r="E2446" t="s">
        <v>31</v>
      </c>
      <c r="F2446" t="s">
        <v>24</v>
      </c>
      <c r="G2446">
        <v>2935.29</v>
      </c>
      <c r="H2446">
        <v>2087.5100000000002</v>
      </c>
      <c r="I2446">
        <v>34440.639999999999</v>
      </c>
      <c r="J2446" t="s">
        <v>37</v>
      </c>
      <c r="K2446" t="s">
        <v>38</v>
      </c>
      <c r="L2446">
        <v>0</v>
      </c>
      <c r="M2446">
        <v>0</v>
      </c>
      <c r="N2446">
        <v>0</v>
      </c>
      <c r="O2446">
        <v>0</v>
      </c>
      <c r="P2446">
        <v>0</v>
      </c>
      <c r="Q2446">
        <v>478</v>
      </c>
      <c r="R2446">
        <v>0.98</v>
      </c>
      <c r="S2446" t="s">
        <v>27</v>
      </c>
      <c r="T2446" s="1">
        <v>45082</v>
      </c>
      <c r="U2446">
        <v>0</v>
      </c>
    </row>
    <row r="2447" spans="1:21" x14ac:dyDescent="0.25">
      <c r="A2447" t="s">
        <v>2494</v>
      </c>
      <c r="B2447">
        <v>50</v>
      </c>
      <c r="C2447" t="s">
        <v>29</v>
      </c>
      <c r="D2447" t="s">
        <v>22</v>
      </c>
      <c r="E2447" t="s">
        <v>31</v>
      </c>
      <c r="F2447" t="s">
        <v>63</v>
      </c>
      <c r="G2447">
        <v>4255.6899999999996</v>
      </c>
      <c r="H2447">
        <v>2819.19</v>
      </c>
      <c r="I2447">
        <v>35984.370000000003</v>
      </c>
      <c r="J2447" t="s">
        <v>37</v>
      </c>
      <c r="K2447" t="s">
        <v>38</v>
      </c>
      <c r="L2447">
        <v>0</v>
      </c>
      <c r="M2447">
        <v>0</v>
      </c>
      <c r="N2447">
        <v>0</v>
      </c>
      <c r="O2447">
        <v>0</v>
      </c>
      <c r="P2447">
        <v>0</v>
      </c>
      <c r="Q2447">
        <v>441</v>
      </c>
      <c r="R2447">
        <v>0.7</v>
      </c>
      <c r="S2447" t="s">
        <v>47</v>
      </c>
      <c r="T2447" s="1">
        <v>44753</v>
      </c>
      <c r="U2447">
        <v>0</v>
      </c>
    </row>
    <row r="2448" spans="1:21" x14ac:dyDescent="0.25">
      <c r="A2448" t="s">
        <v>2495</v>
      </c>
      <c r="B2448">
        <v>40</v>
      </c>
      <c r="C2448" t="s">
        <v>21</v>
      </c>
      <c r="D2448" t="s">
        <v>56</v>
      </c>
      <c r="E2448" t="s">
        <v>31</v>
      </c>
      <c r="F2448" t="s">
        <v>32</v>
      </c>
      <c r="G2448">
        <v>2380.37</v>
      </c>
      <c r="H2448">
        <v>1925.79</v>
      </c>
      <c r="I2448">
        <v>20196.52</v>
      </c>
      <c r="J2448" t="s">
        <v>37</v>
      </c>
      <c r="K2448" t="s">
        <v>38</v>
      </c>
      <c r="L2448">
        <v>0</v>
      </c>
      <c r="M2448">
        <v>0</v>
      </c>
      <c r="N2448">
        <v>0</v>
      </c>
      <c r="O2448">
        <v>0</v>
      </c>
      <c r="P2448">
        <v>0</v>
      </c>
      <c r="Q2448">
        <v>763</v>
      </c>
      <c r="R2448">
        <v>0.71</v>
      </c>
      <c r="S2448" t="s">
        <v>39</v>
      </c>
      <c r="T2448" s="1">
        <v>44672</v>
      </c>
      <c r="U2448">
        <v>0</v>
      </c>
    </row>
    <row r="2449" spans="1:21" x14ac:dyDescent="0.25">
      <c r="A2449" t="s">
        <v>2496</v>
      </c>
      <c r="B2449">
        <v>61</v>
      </c>
      <c r="C2449" t="s">
        <v>29</v>
      </c>
      <c r="D2449" t="s">
        <v>35</v>
      </c>
      <c r="E2449" t="s">
        <v>49</v>
      </c>
      <c r="F2449" t="s">
        <v>23</v>
      </c>
      <c r="G2449">
        <v>8261.48</v>
      </c>
      <c r="H2449">
        <v>5761.49</v>
      </c>
      <c r="I2449">
        <v>46596.04</v>
      </c>
      <c r="J2449" t="s">
        <v>37</v>
      </c>
      <c r="K2449" t="s">
        <v>38</v>
      </c>
      <c r="L2449">
        <v>0</v>
      </c>
      <c r="M2449">
        <v>0</v>
      </c>
      <c r="N2449">
        <v>0</v>
      </c>
      <c r="O2449">
        <v>0</v>
      </c>
      <c r="P2449">
        <v>0</v>
      </c>
      <c r="Q2449">
        <v>467</v>
      </c>
      <c r="R2449">
        <v>0.47</v>
      </c>
      <c r="S2449" t="s">
        <v>30</v>
      </c>
      <c r="T2449" s="1">
        <v>44747</v>
      </c>
      <c r="U2449">
        <v>0</v>
      </c>
    </row>
    <row r="2450" spans="1:21" x14ac:dyDescent="0.25">
      <c r="A2450" t="s">
        <v>2497</v>
      </c>
      <c r="B2450">
        <v>63</v>
      </c>
      <c r="C2450" t="s">
        <v>21</v>
      </c>
      <c r="D2450" t="s">
        <v>41</v>
      </c>
      <c r="E2450" t="s">
        <v>23</v>
      </c>
      <c r="F2450" t="s">
        <v>44</v>
      </c>
      <c r="G2450">
        <v>7548.88</v>
      </c>
      <c r="H2450">
        <v>5882.82</v>
      </c>
      <c r="I2450">
        <v>55884.3</v>
      </c>
      <c r="J2450" t="s">
        <v>37</v>
      </c>
      <c r="K2450" t="s">
        <v>38</v>
      </c>
      <c r="L2450">
        <v>0</v>
      </c>
      <c r="M2450">
        <v>0</v>
      </c>
      <c r="N2450">
        <v>0</v>
      </c>
      <c r="O2450">
        <v>0</v>
      </c>
      <c r="P2450">
        <v>0</v>
      </c>
      <c r="Q2450">
        <v>630</v>
      </c>
      <c r="R2450">
        <v>0.62</v>
      </c>
      <c r="S2450" t="s">
        <v>27</v>
      </c>
      <c r="T2450" s="1">
        <v>44571</v>
      </c>
      <c r="U2450">
        <v>0</v>
      </c>
    </row>
    <row r="2451" spans="1:21" x14ac:dyDescent="0.25">
      <c r="A2451" t="s">
        <v>2498</v>
      </c>
      <c r="B2451">
        <v>68</v>
      </c>
      <c r="C2451" t="s">
        <v>21</v>
      </c>
      <c r="D2451" t="s">
        <v>35</v>
      </c>
      <c r="E2451" t="s">
        <v>31</v>
      </c>
      <c r="F2451" t="s">
        <v>32</v>
      </c>
      <c r="G2451">
        <v>4683.24</v>
      </c>
      <c r="H2451">
        <v>2891.13</v>
      </c>
      <c r="I2451">
        <v>24992.18</v>
      </c>
      <c r="J2451" t="s">
        <v>37</v>
      </c>
      <c r="K2451" t="s">
        <v>38</v>
      </c>
      <c r="L2451">
        <v>0</v>
      </c>
      <c r="M2451">
        <v>0</v>
      </c>
      <c r="N2451">
        <v>0</v>
      </c>
      <c r="O2451">
        <v>0</v>
      </c>
      <c r="P2451">
        <v>0</v>
      </c>
      <c r="Q2451">
        <v>353</v>
      </c>
      <c r="R2451">
        <v>0.44</v>
      </c>
      <c r="S2451" t="s">
        <v>27</v>
      </c>
      <c r="T2451" s="1">
        <v>45833</v>
      </c>
      <c r="U2451">
        <v>0</v>
      </c>
    </row>
    <row r="2452" spans="1:21" x14ac:dyDescent="0.25">
      <c r="A2452" t="s">
        <v>2499</v>
      </c>
      <c r="B2452">
        <v>59</v>
      </c>
      <c r="C2452" t="s">
        <v>21</v>
      </c>
      <c r="D2452" t="s">
        <v>30</v>
      </c>
      <c r="E2452" t="s">
        <v>31</v>
      </c>
      <c r="F2452" t="s">
        <v>42</v>
      </c>
      <c r="G2452">
        <v>3617.57</v>
      </c>
      <c r="H2452">
        <v>1372.57</v>
      </c>
      <c r="I2452">
        <v>11993.53</v>
      </c>
      <c r="J2452" t="s">
        <v>25</v>
      </c>
      <c r="K2452" t="s">
        <v>26</v>
      </c>
      <c r="L2452">
        <v>48541.1</v>
      </c>
      <c r="M2452">
        <v>36</v>
      </c>
      <c r="N2452">
        <v>1583.66</v>
      </c>
      <c r="O2452">
        <v>10.76</v>
      </c>
      <c r="P2452">
        <v>0.44</v>
      </c>
      <c r="Q2452">
        <v>303</v>
      </c>
      <c r="R2452">
        <v>0.28000000000000003</v>
      </c>
      <c r="S2452" t="s">
        <v>47</v>
      </c>
      <c r="T2452" s="1">
        <v>44666</v>
      </c>
      <c r="U2452">
        <v>1</v>
      </c>
    </row>
    <row r="2453" spans="1:21" x14ac:dyDescent="0.25">
      <c r="A2453" t="s">
        <v>2500</v>
      </c>
      <c r="B2453">
        <v>40</v>
      </c>
      <c r="C2453" t="s">
        <v>21</v>
      </c>
      <c r="D2453" t="s">
        <v>41</v>
      </c>
      <c r="E2453" t="s">
        <v>31</v>
      </c>
      <c r="F2453" t="s">
        <v>63</v>
      </c>
      <c r="G2453">
        <v>3160.63</v>
      </c>
      <c r="H2453">
        <v>1053.69</v>
      </c>
      <c r="I2453">
        <v>21498.25</v>
      </c>
      <c r="J2453" t="s">
        <v>25</v>
      </c>
      <c r="K2453" t="s">
        <v>45</v>
      </c>
      <c r="L2453">
        <v>301526.51</v>
      </c>
      <c r="M2453">
        <v>180</v>
      </c>
      <c r="N2453">
        <v>3696.78</v>
      </c>
      <c r="O2453">
        <v>12.4</v>
      </c>
      <c r="P2453">
        <v>1.17</v>
      </c>
      <c r="Q2453">
        <v>497</v>
      </c>
      <c r="R2453">
        <v>0.56999999999999995</v>
      </c>
      <c r="S2453" t="s">
        <v>30</v>
      </c>
      <c r="T2453" s="1">
        <v>45171</v>
      </c>
      <c r="U2453">
        <v>1</v>
      </c>
    </row>
    <row r="2454" spans="1:21" x14ac:dyDescent="0.25">
      <c r="A2454" t="s">
        <v>2501</v>
      </c>
      <c r="B2454">
        <v>58</v>
      </c>
      <c r="C2454" t="s">
        <v>21</v>
      </c>
      <c r="D2454" t="s">
        <v>35</v>
      </c>
      <c r="E2454" t="s">
        <v>31</v>
      </c>
      <c r="F2454" t="s">
        <v>36</v>
      </c>
      <c r="G2454">
        <v>4269.3599999999997</v>
      </c>
      <c r="H2454">
        <v>2594.89</v>
      </c>
      <c r="I2454">
        <v>40451.33</v>
      </c>
      <c r="J2454" t="s">
        <v>25</v>
      </c>
      <c r="K2454" t="s">
        <v>45</v>
      </c>
      <c r="L2454">
        <v>466574.55</v>
      </c>
      <c r="M2454">
        <v>360</v>
      </c>
      <c r="N2454">
        <v>6909.91</v>
      </c>
      <c r="O2454">
        <v>17.68</v>
      </c>
      <c r="P2454">
        <v>1.62</v>
      </c>
      <c r="Q2454">
        <v>562</v>
      </c>
      <c r="R2454">
        <v>0.79</v>
      </c>
      <c r="S2454" t="s">
        <v>27</v>
      </c>
      <c r="T2454" s="1">
        <v>45265</v>
      </c>
      <c r="U2454">
        <v>1</v>
      </c>
    </row>
    <row r="2455" spans="1:21" x14ac:dyDescent="0.25">
      <c r="A2455" t="s">
        <v>2502</v>
      </c>
      <c r="B2455">
        <v>51</v>
      </c>
      <c r="C2455" t="s">
        <v>30</v>
      </c>
      <c r="D2455" t="s">
        <v>56</v>
      </c>
      <c r="E2455" t="s">
        <v>51</v>
      </c>
      <c r="F2455" t="s">
        <v>23</v>
      </c>
      <c r="G2455">
        <v>4379.24</v>
      </c>
      <c r="H2455">
        <v>3365.31</v>
      </c>
      <c r="I2455">
        <v>10387.69</v>
      </c>
      <c r="J2455" t="s">
        <v>37</v>
      </c>
      <c r="K2455" t="s">
        <v>38</v>
      </c>
      <c r="L2455">
        <v>0</v>
      </c>
      <c r="M2455">
        <v>0</v>
      </c>
      <c r="N2455">
        <v>0</v>
      </c>
      <c r="O2455">
        <v>0</v>
      </c>
      <c r="P2455">
        <v>0</v>
      </c>
      <c r="Q2455">
        <v>408</v>
      </c>
      <c r="R2455">
        <v>0.2</v>
      </c>
      <c r="S2455" t="s">
        <v>27</v>
      </c>
      <c r="T2455" s="1">
        <v>45501</v>
      </c>
      <c r="U2455">
        <v>0</v>
      </c>
    </row>
    <row r="2456" spans="1:21" x14ac:dyDescent="0.25">
      <c r="A2456" t="s">
        <v>2503</v>
      </c>
      <c r="B2456">
        <v>22</v>
      </c>
      <c r="C2456" t="s">
        <v>21</v>
      </c>
      <c r="D2456" t="s">
        <v>35</v>
      </c>
      <c r="E2456" t="s">
        <v>31</v>
      </c>
      <c r="F2456" t="s">
        <v>36</v>
      </c>
      <c r="G2456">
        <v>3844.38</v>
      </c>
      <c r="H2456">
        <v>1213.1300000000001</v>
      </c>
      <c r="I2456">
        <v>5749.37</v>
      </c>
      <c r="J2456" t="s">
        <v>37</v>
      </c>
      <c r="K2456" t="s">
        <v>38</v>
      </c>
      <c r="L2456">
        <v>0</v>
      </c>
      <c r="M2456">
        <v>0</v>
      </c>
      <c r="N2456">
        <v>0</v>
      </c>
      <c r="O2456">
        <v>0</v>
      </c>
      <c r="P2456">
        <v>0</v>
      </c>
      <c r="Q2456">
        <v>432</v>
      </c>
      <c r="R2456">
        <v>0.12</v>
      </c>
      <c r="S2456" t="s">
        <v>47</v>
      </c>
      <c r="T2456" s="1">
        <v>44940</v>
      </c>
      <c r="U2456">
        <v>0</v>
      </c>
    </row>
    <row r="2457" spans="1:21" x14ac:dyDescent="0.25">
      <c r="A2457" t="s">
        <v>2504</v>
      </c>
      <c r="B2457">
        <v>23</v>
      </c>
      <c r="C2457" t="s">
        <v>21</v>
      </c>
      <c r="D2457" t="s">
        <v>35</v>
      </c>
      <c r="E2457" t="s">
        <v>51</v>
      </c>
      <c r="F2457" t="s">
        <v>63</v>
      </c>
      <c r="G2457">
        <v>6288.56</v>
      </c>
      <c r="H2457">
        <v>1981.97</v>
      </c>
      <c r="I2457">
        <v>18673.98</v>
      </c>
      <c r="J2457" t="s">
        <v>37</v>
      </c>
      <c r="K2457" t="s">
        <v>38</v>
      </c>
      <c r="L2457">
        <v>0</v>
      </c>
      <c r="M2457">
        <v>0</v>
      </c>
      <c r="N2457">
        <v>0</v>
      </c>
      <c r="O2457">
        <v>0</v>
      </c>
      <c r="P2457">
        <v>0</v>
      </c>
      <c r="Q2457">
        <v>722</v>
      </c>
      <c r="R2457">
        <v>0.25</v>
      </c>
      <c r="S2457" t="s">
        <v>27</v>
      </c>
      <c r="T2457" s="1">
        <v>45270</v>
      </c>
      <c r="U2457">
        <v>0</v>
      </c>
    </row>
    <row r="2458" spans="1:21" x14ac:dyDescent="0.25">
      <c r="A2458" t="s">
        <v>2505</v>
      </c>
      <c r="B2458">
        <v>38</v>
      </c>
      <c r="C2458" t="s">
        <v>21</v>
      </c>
      <c r="D2458" t="s">
        <v>56</v>
      </c>
      <c r="E2458" t="s">
        <v>31</v>
      </c>
      <c r="F2458" t="s">
        <v>52</v>
      </c>
      <c r="G2458">
        <v>1121.19</v>
      </c>
      <c r="H2458">
        <v>675.56</v>
      </c>
      <c r="I2458">
        <v>11484.75</v>
      </c>
      <c r="J2458" t="s">
        <v>25</v>
      </c>
      <c r="K2458" t="s">
        <v>54</v>
      </c>
      <c r="L2458">
        <v>107426.73</v>
      </c>
      <c r="M2458">
        <v>360</v>
      </c>
      <c r="N2458">
        <v>2181.44</v>
      </c>
      <c r="O2458">
        <v>24.35</v>
      </c>
      <c r="P2458">
        <v>1.95</v>
      </c>
      <c r="Q2458">
        <v>470</v>
      </c>
      <c r="R2458">
        <v>0.85</v>
      </c>
      <c r="S2458" t="s">
        <v>72</v>
      </c>
      <c r="T2458" s="1">
        <v>44952</v>
      </c>
      <c r="U2458">
        <v>1</v>
      </c>
    </row>
    <row r="2459" spans="1:21" x14ac:dyDescent="0.25">
      <c r="A2459" t="s">
        <v>2506</v>
      </c>
      <c r="B2459">
        <v>69</v>
      </c>
      <c r="C2459" t="s">
        <v>21</v>
      </c>
      <c r="D2459" t="s">
        <v>35</v>
      </c>
      <c r="E2459" t="s">
        <v>31</v>
      </c>
      <c r="F2459" t="s">
        <v>42</v>
      </c>
      <c r="G2459">
        <v>3347.45</v>
      </c>
      <c r="H2459">
        <v>2897.36</v>
      </c>
      <c r="I2459">
        <v>9035.52</v>
      </c>
      <c r="J2459" t="s">
        <v>37</v>
      </c>
      <c r="K2459" t="s">
        <v>38</v>
      </c>
      <c r="L2459">
        <v>0</v>
      </c>
      <c r="M2459">
        <v>0</v>
      </c>
      <c r="N2459">
        <v>0</v>
      </c>
      <c r="O2459">
        <v>0</v>
      </c>
      <c r="P2459">
        <v>0</v>
      </c>
      <c r="Q2459">
        <v>809</v>
      </c>
      <c r="R2459">
        <v>0.22</v>
      </c>
      <c r="S2459" t="s">
        <v>72</v>
      </c>
      <c r="T2459" s="1">
        <v>45320</v>
      </c>
      <c r="U2459">
        <v>0</v>
      </c>
    </row>
    <row r="2460" spans="1:21" x14ac:dyDescent="0.25">
      <c r="A2460" t="s">
        <v>2507</v>
      </c>
      <c r="B2460">
        <v>65</v>
      </c>
      <c r="C2460" t="s">
        <v>29</v>
      </c>
      <c r="D2460" t="s">
        <v>35</v>
      </c>
      <c r="E2460" t="s">
        <v>31</v>
      </c>
      <c r="F2460" t="s">
        <v>32</v>
      </c>
      <c r="G2460">
        <v>5211.25</v>
      </c>
      <c r="H2460">
        <v>4379.8599999999997</v>
      </c>
      <c r="I2460">
        <v>8743.3799999999992</v>
      </c>
      <c r="J2460" t="s">
        <v>37</v>
      </c>
      <c r="K2460" t="s">
        <v>38</v>
      </c>
      <c r="L2460">
        <v>0</v>
      </c>
      <c r="M2460">
        <v>0</v>
      </c>
      <c r="N2460">
        <v>0</v>
      </c>
      <c r="O2460">
        <v>0</v>
      </c>
      <c r="P2460">
        <v>0</v>
      </c>
      <c r="Q2460">
        <v>418</v>
      </c>
      <c r="R2460">
        <v>0.14000000000000001</v>
      </c>
      <c r="S2460" t="s">
        <v>30</v>
      </c>
      <c r="T2460" s="1">
        <v>45292</v>
      </c>
      <c r="U2460">
        <v>0</v>
      </c>
    </row>
    <row r="2461" spans="1:21" x14ac:dyDescent="0.25">
      <c r="A2461" t="s">
        <v>2508</v>
      </c>
      <c r="B2461">
        <v>22</v>
      </c>
      <c r="C2461" t="s">
        <v>29</v>
      </c>
      <c r="D2461" t="s">
        <v>35</v>
      </c>
      <c r="E2461" t="s">
        <v>23</v>
      </c>
      <c r="F2461" t="s">
        <v>23</v>
      </c>
      <c r="G2461">
        <v>2453.2600000000002</v>
      </c>
      <c r="H2461">
        <v>1889.8</v>
      </c>
      <c r="I2461">
        <v>14989.81</v>
      </c>
      <c r="J2461" t="s">
        <v>37</v>
      </c>
      <c r="K2461" t="s">
        <v>38</v>
      </c>
      <c r="L2461">
        <v>0</v>
      </c>
      <c r="M2461">
        <v>0</v>
      </c>
      <c r="N2461">
        <v>0</v>
      </c>
      <c r="O2461">
        <v>0</v>
      </c>
      <c r="P2461">
        <v>0</v>
      </c>
      <c r="Q2461">
        <v>803</v>
      </c>
      <c r="R2461">
        <v>0.51</v>
      </c>
      <c r="S2461" t="s">
        <v>72</v>
      </c>
      <c r="T2461" s="1">
        <v>44749</v>
      </c>
      <c r="U2461">
        <v>0</v>
      </c>
    </row>
    <row r="2462" spans="1:21" x14ac:dyDescent="0.25">
      <c r="A2462" t="s">
        <v>2509</v>
      </c>
      <c r="B2462">
        <v>45</v>
      </c>
      <c r="C2462" t="s">
        <v>21</v>
      </c>
      <c r="D2462" t="s">
        <v>35</v>
      </c>
      <c r="E2462" t="s">
        <v>51</v>
      </c>
      <c r="F2462" t="s">
        <v>63</v>
      </c>
      <c r="G2462">
        <v>3984.73</v>
      </c>
      <c r="H2462">
        <v>1888.68</v>
      </c>
      <c r="I2462">
        <v>35611.56</v>
      </c>
      <c r="J2462" t="s">
        <v>25</v>
      </c>
      <c r="K2462" t="s">
        <v>26</v>
      </c>
      <c r="L2462">
        <v>170096.74</v>
      </c>
      <c r="M2462">
        <v>180</v>
      </c>
      <c r="N2462">
        <v>1426.2</v>
      </c>
      <c r="O2462">
        <v>5.9</v>
      </c>
      <c r="P2462">
        <v>0.36</v>
      </c>
      <c r="Q2462">
        <v>566</v>
      </c>
      <c r="R2462">
        <v>0.74</v>
      </c>
      <c r="S2462" t="s">
        <v>47</v>
      </c>
      <c r="T2462" s="1">
        <v>45623</v>
      </c>
      <c r="U2462">
        <v>0</v>
      </c>
    </row>
    <row r="2463" spans="1:21" x14ac:dyDescent="0.25">
      <c r="A2463" t="s">
        <v>2510</v>
      </c>
      <c r="B2463">
        <v>37</v>
      </c>
      <c r="C2463" t="s">
        <v>29</v>
      </c>
      <c r="D2463" t="s">
        <v>56</v>
      </c>
      <c r="E2463" t="s">
        <v>31</v>
      </c>
      <c r="F2463" t="s">
        <v>23</v>
      </c>
      <c r="G2463">
        <v>3388.29</v>
      </c>
      <c r="H2463">
        <v>2656.28</v>
      </c>
      <c r="I2463">
        <v>5023.26</v>
      </c>
      <c r="J2463" t="s">
        <v>37</v>
      </c>
      <c r="K2463" t="s">
        <v>38</v>
      </c>
      <c r="L2463">
        <v>0</v>
      </c>
      <c r="M2463">
        <v>0</v>
      </c>
      <c r="N2463">
        <v>0</v>
      </c>
      <c r="O2463">
        <v>0</v>
      </c>
      <c r="P2463">
        <v>0</v>
      </c>
      <c r="Q2463">
        <v>461</v>
      </c>
      <c r="R2463">
        <v>0.12</v>
      </c>
      <c r="S2463" t="s">
        <v>39</v>
      </c>
      <c r="T2463" s="1">
        <v>45221</v>
      </c>
      <c r="U2463">
        <v>0</v>
      </c>
    </row>
    <row r="2464" spans="1:21" x14ac:dyDescent="0.25">
      <c r="A2464" t="s">
        <v>2511</v>
      </c>
      <c r="B2464">
        <v>26</v>
      </c>
      <c r="C2464" t="s">
        <v>21</v>
      </c>
      <c r="D2464" t="s">
        <v>22</v>
      </c>
      <c r="E2464" t="s">
        <v>31</v>
      </c>
      <c r="F2464" t="s">
        <v>49</v>
      </c>
      <c r="G2464">
        <v>4028.7</v>
      </c>
      <c r="H2464">
        <v>1928.48</v>
      </c>
      <c r="I2464">
        <v>40134.47</v>
      </c>
      <c r="J2464" t="s">
        <v>37</v>
      </c>
      <c r="K2464" t="s">
        <v>38</v>
      </c>
      <c r="L2464">
        <v>0</v>
      </c>
      <c r="M2464">
        <v>0</v>
      </c>
      <c r="N2464">
        <v>0</v>
      </c>
      <c r="O2464">
        <v>0</v>
      </c>
      <c r="P2464">
        <v>0</v>
      </c>
      <c r="Q2464">
        <v>382</v>
      </c>
      <c r="R2464">
        <v>0.83</v>
      </c>
      <c r="S2464" t="s">
        <v>72</v>
      </c>
      <c r="T2464" s="1">
        <v>44894</v>
      </c>
      <c r="U2464">
        <v>0</v>
      </c>
    </row>
    <row r="2465" spans="1:21" x14ac:dyDescent="0.25">
      <c r="A2465" t="s">
        <v>2512</v>
      </c>
      <c r="B2465">
        <v>64</v>
      </c>
      <c r="C2465" t="s">
        <v>21</v>
      </c>
      <c r="D2465" t="s">
        <v>35</v>
      </c>
      <c r="E2465" t="s">
        <v>31</v>
      </c>
      <c r="F2465" t="s">
        <v>42</v>
      </c>
      <c r="G2465">
        <v>7214.68</v>
      </c>
      <c r="H2465">
        <v>5352.04</v>
      </c>
      <c r="I2465">
        <v>17197.32</v>
      </c>
      <c r="J2465" t="s">
        <v>37</v>
      </c>
      <c r="K2465" t="s">
        <v>38</v>
      </c>
      <c r="L2465">
        <v>0</v>
      </c>
      <c r="M2465">
        <v>0</v>
      </c>
      <c r="N2465">
        <v>0</v>
      </c>
      <c r="O2465">
        <v>0</v>
      </c>
      <c r="P2465">
        <v>0</v>
      </c>
      <c r="Q2465">
        <v>619</v>
      </c>
      <c r="R2465">
        <v>0.2</v>
      </c>
      <c r="S2465" t="s">
        <v>27</v>
      </c>
      <c r="T2465" s="1">
        <v>45684</v>
      </c>
      <c r="U2465">
        <v>0</v>
      </c>
    </row>
    <row r="2466" spans="1:21" x14ac:dyDescent="0.25">
      <c r="A2466" t="s">
        <v>2513</v>
      </c>
      <c r="B2466">
        <v>66</v>
      </c>
      <c r="C2466" t="s">
        <v>29</v>
      </c>
      <c r="D2466" t="s">
        <v>35</v>
      </c>
      <c r="E2466" t="s">
        <v>31</v>
      </c>
      <c r="F2466" t="s">
        <v>23</v>
      </c>
      <c r="G2466">
        <v>5750.01</v>
      </c>
      <c r="H2466">
        <v>2374.67</v>
      </c>
      <c r="I2466">
        <v>48616.49</v>
      </c>
      <c r="J2466" t="s">
        <v>37</v>
      </c>
      <c r="K2466" t="s">
        <v>38</v>
      </c>
      <c r="L2466">
        <v>0</v>
      </c>
      <c r="M2466">
        <v>0</v>
      </c>
      <c r="N2466">
        <v>0</v>
      </c>
      <c r="O2466">
        <v>0</v>
      </c>
      <c r="P2466">
        <v>0</v>
      </c>
      <c r="Q2466">
        <v>827</v>
      </c>
      <c r="R2466">
        <v>0.7</v>
      </c>
      <c r="S2466" t="s">
        <v>27</v>
      </c>
      <c r="T2466" s="1">
        <v>44529</v>
      </c>
      <c r="U2466">
        <v>0</v>
      </c>
    </row>
    <row r="2467" spans="1:21" x14ac:dyDescent="0.25">
      <c r="A2467" t="s">
        <v>2514</v>
      </c>
      <c r="B2467">
        <v>54</v>
      </c>
      <c r="C2467" t="s">
        <v>29</v>
      </c>
      <c r="D2467" t="s">
        <v>41</v>
      </c>
      <c r="E2467" t="s">
        <v>31</v>
      </c>
      <c r="F2467" t="s">
        <v>63</v>
      </c>
      <c r="G2467">
        <v>6309.83</v>
      </c>
      <c r="H2467">
        <v>2324.37</v>
      </c>
      <c r="I2467">
        <v>27311.19</v>
      </c>
      <c r="J2467" t="s">
        <v>37</v>
      </c>
      <c r="K2467" t="s">
        <v>38</v>
      </c>
      <c r="L2467">
        <v>0</v>
      </c>
      <c r="M2467">
        <v>0</v>
      </c>
      <c r="N2467">
        <v>0</v>
      </c>
      <c r="O2467">
        <v>0</v>
      </c>
      <c r="P2467">
        <v>0</v>
      </c>
      <c r="Q2467">
        <v>425</v>
      </c>
      <c r="R2467">
        <v>0.36</v>
      </c>
      <c r="S2467" t="s">
        <v>72</v>
      </c>
      <c r="T2467" s="1">
        <v>45542</v>
      </c>
      <c r="U2467">
        <v>0</v>
      </c>
    </row>
    <row r="2468" spans="1:21" x14ac:dyDescent="0.25">
      <c r="A2468" t="s">
        <v>2515</v>
      </c>
      <c r="B2468">
        <v>66</v>
      </c>
      <c r="C2468" t="s">
        <v>29</v>
      </c>
      <c r="D2468" t="s">
        <v>22</v>
      </c>
      <c r="E2468" t="s">
        <v>31</v>
      </c>
      <c r="F2468" t="s">
        <v>63</v>
      </c>
      <c r="G2468">
        <v>3620.59</v>
      </c>
      <c r="H2468">
        <v>1177.75</v>
      </c>
      <c r="I2468">
        <v>32655.66</v>
      </c>
      <c r="J2468" t="s">
        <v>37</v>
      </c>
      <c r="K2468" t="s">
        <v>38</v>
      </c>
      <c r="L2468">
        <v>0</v>
      </c>
      <c r="M2468">
        <v>0</v>
      </c>
      <c r="N2468">
        <v>0</v>
      </c>
      <c r="O2468">
        <v>0</v>
      </c>
      <c r="P2468">
        <v>0</v>
      </c>
      <c r="Q2468">
        <v>415</v>
      </c>
      <c r="R2468">
        <v>0.75</v>
      </c>
      <c r="S2468" t="s">
        <v>39</v>
      </c>
      <c r="T2468" s="1">
        <v>44645</v>
      </c>
      <c r="U2468">
        <v>0</v>
      </c>
    </row>
    <row r="2469" spans="1:21" x14ac:dyDescent="0.25">
      <c r="A2469" t="s">
        <v>2516</v>
      </c>
      <c r="B2469">
        <v>47</v>
      </c>
      <c r="C2469" t="s">
        <v>21</v>
      </c>
      <c r="D2469" t="s">
        <v>41</v>
      </c>
      <c r="E2469" t="s">
        <v>31</v>
      </c>
      <c r="F2469" t="s">
        <v>63</v>
      </c>
      <c r="G2469">
        <v>3753.21</v>
      </c>
      <c r="H2469">
        <v>1463.47</v>
      </c>
      <c r="I2469">
        <v>16424.86</v>
      </c>
      <c r="J2469" t="s">
        <v>37</v>
      </c>
      <c r="K2469" t="s">
        <v>38</v>
      </c>
      <c r="L2469">
        <v>0</v>
      </c>
      <c r="M2469">
        <v>0</v>
      </c>
      <c r="N2469">
        <v>0</v>
      </c>
      <c r="O2469">
        <v>0</v>
      </c>
      <c r="P2469">
        <v>0</v>
      </c>
      <c r="Q2469">
        <v>815</v>
      </c>
      <c r="R2469">
        <v>0.36</v>
      </c>
      <c r="S2469" t="s">
        <v>72</v>
      </c>
      <c r="T2469" s="1">
        <v>44905</v>
      </c>
      <c r="U2469">
        <v>0</v>
      </c>
    </row>
    <row r="2470" spans="1:21" x14ac:dyDescent="0.25">
      <c r="A2470" t="s">
        <v>2517</v>
      </c>
      <c r="B2470">
        <v>56</v>
      </c>
      <c r="C2470" t="s">
        <v>29</v>
      </c>
      <c r="D2470" t="s">
        <v>35</v>
      </c>
      <c r="E2470" t="s">
        <v>31</v>
      </c>
      <c r="F2470" t="s">
        <v>24</v>
      </c>
      <c r="G2470">
        <v>5510.97</v>
      </c>
      <c r="H2470">
        <v>4100.57</v>
      </c>
      <c r="I2470">
        <v>24500.83</v>
      </c>
      <c r="J2470" t="s">
        <v>37</v>
      </c>
      <c r="K2470" t="s">
        <v>38</v>
      </c>
      <c r="L2470">
        <v>0</v>
      </c>
      <c r="M2470">
        <v>0</v>
      </c>
      <c r="N2470">
        <v>0</v>
      </c>
      <c r="O2470">
        <v>0</v>
      </c>
      <c r="P2470">
        <v>0</v>
      </c>
      <c r="Q2470">
        <v>316</v>
      </c>
      <c r="R2470">
        <v>0.37</v>
      </c>
      <c r="S2470" t="s">
        <v>30</v>
      </c>
      <c r="T2470" s="1">
        <v>44874</v>
      </c>
      <c r="U2470">
        <v>0</v>
      </c>
    </row>
    <row r="2471" spans="1:21" x14ac:dyDescent="0.25">
      <c r="A2471" t="s">
        <v>2518</v>
      </c>
      <c r="B2471">
        <v>56</v>
      </c>
      <c r="C2471" t="s">
        <v>29</v>
      </c>
      <c r="D2471" t="s">
        <v>41</v>
      </c>
      <c r="E2471" t="s">
        <v>31</v>
      </c>
      <c r="F2471" t="s">
        <v>42</v>
      </c>
      <c r="G2471">
        <v>3728.99</v>
      </c>
      <c r="H2471">
        <v>1993.05</v>
      </c>
      <c r="I2471">
        <v>37713</v>
      </c>
      <c r="J2471" t="s">
        <v>37</v>
      </c>
      <c r="K2471" t="s">
        <v>38</v>
      </c>
      <c r="L2471">
        <v>0</v>
      </c>
      <c r="M2471">
        <v>0</v>
      </c>
      <c r="N2471">
        <v>0</v>
      </c>
      <c r="O2471">
        <v>0</v>
      </c>
      <c r="P2471">
        <v>0</v>
      </c>
      <c r="Q2471">
        <v>766</v>
      </c>
      <c r="R2471">
        <v>0.84</v>
      </c>
      <c r="S2471" t="s">
        <v>27</v>
      </c>
      <c r="T2471" s="1">
        <v>44646</v>
      </c>
      <c r="U2471">
        <v>0</v>
      </c>
    </row>
    <row r="2472" spans="1:21" x14ac:dyDescent="0.25">
      <c r="A2472" t="s">
        <v>2519</v>
      </c>
      <c r="B2472">
        <v>33</v>
      </c>
      <c r="C2472" t="s">
        <v>21</v>
      </c>
      <c r="D2472" t="s">
        <v>22</v>
      </c>
      <c r="E2472" t="s">
        <v>51</v>
      </c>
      <c r="F2472" t="s">
        <v>52</v>
      </c>
      <c r="G2472">
        <v>2918.78</v>
      </c>
      <c r="H2472">
        <v>1157.54</v>
      </c>
      <c r="I2472">
        <v>24519.72</v>
      </c>
      <c r="J2472" t="s">
        <v>37</v>
      </c>
      <c r="K2472" t="s">
        <v>38</v>
      </c>
      <c r="L2472">
        <v>0</v>
      </c>
      <c r="M2472">
        <v>0</v>
      </c>
      <c r="N2472">
        <v>0</v>
      </c>
      <c r="O2472">
        <v>0</v>
      </c>
      <c r="P2472">
        <v>0</v>
      </c>
      <c r="Q2472">
        <v>462</v>
      </c>
      <c r="R2472">
        <v>0.7</v>
      </c>
      <c r="S2472" t="s">
        <v>47</v>
      </c>
      <c r="T2472" s="1">
        <v>44833</v>
      </c>
      <c r="U2472">
        <v>0</v>
      </c>
    </row>
    <row r="2473" spans="1:21" x14ac:dyDescent="0.25">
      <c r="A2473" t="s">
        <v>2520</v>
      </c>
      <c r="B2473">
        <v>20</v>
      </c>
      <c r="C2473" t="s">
        <v>29</v>
      </c>
      <c r="D2473" t="s">
        <v>30</v>
      </c>
      <c r="E2473" t="s">
        <v>31</v>
      </c>
      <c r="F2473" t="s">
        <v>52</v>
      </c>
      <c r="G2473">
        <v>3663.73</v>
      </c>
      <c r="H2473">
        <v>1610.15</v>
      </c>
      <c r="I2473">
        <v>41574.25</v>
      </c>
      <c r="J2473" t="s">
        <v>37</v>
      </c>
      <c r="K2473" t="s">
        <v>38</v>
      </c>
      <c r="L2473">
        <v>0</v>
      </c>
      <c r="M2473">
        <v>0</v>
      </c>
      <c r="N2473">
        <v>0</v>
      </c>
      <c r="O2473">
        <v>0</v>
      </c>
      <c r="P2473">
        <v>0</v>
      </c>
      <c r="Q2473">
        <v>777</v>
      </c>
      <c r="R2473">
        <v>0.95</v>
      </c>
      <c r="S2473" t="s">
        <v>72</v>
      </c>
      <c r="T2473" s="1">
        <v>45318</v>
      </c>
      <c r="U2473">
        <v>0</v>
      </c>
    </row>
    <row r="2474" spans="1:21" x14ac:dyDescent="0.25">
      <c r="A2474" t="s">
        <v>2521</v>
      </c>
      <c r="B2474">
        <v>39</v>
      </c>
      <c r="C2474" t="s">
        <v>29</v>
      </c>
      <c r="D2474" t="s">
        <v>41</v>
      </c>
      <c r="E2474" t="s">
        <v>23</v>
      </c>
      <c r="F2474" t="s">
        <v>23</v>
      </c>
      <c r="G2474">
        <v>6744.75</v>
      </c>
      <c r="H2474">
        <v>4678.12</v>
      </c>
      <c r="I2474">
        <v>33360.26</v>
      </c>
      <c r="J2474" t="s">
        <v>25</v>
      </c>
      <c r="K2474" t="s">
        <v>54</v>
      </c>
      <c r="L2474">
        <v>450631.02</v>
      </c>
      <c r="M2474">
        <v>240</v>
      </c>
      <c r="N2474">
        <v>4968.12</v>
      </c>
      <c r="O2474">
        <v>12.02</v>
      </c>
      <c r="P2474">
        <v>0.74</v>
      </c>
      <c r="Q2474">
        <v>713</v>
      </c>
      <c r="R2474">
        <v>0.41</v>
      </c>
      <c r="S2474" t="s">
        <v>39</v>
      </c>
      <c r="T2474" s="1">
        <v>45377</v>
      </c>
      <c r="U2474">
        <v>1</v>
      </c>
    </row>
    <row r="2475" spans="1:21" x14ac:dyDescent="0.25">
      <c r="A2475" t="s">
        <v>2522</v>
      </c>
      <c r="B2475">
        <v>44</v>
      </c>
      <c r="C2475" t="s">
        <v>29</v>
      </c>
      <c r="D2475" t="s">
        <v>35</v>
      </c>
      <c r="E2475" t="s">
        <v>49</v>
      </c>
      <c r="F2475" t="s">
        <v>32</v>
      </c>
      <c r="G2475">
        <v>2254.65</v>
      </c>
      <c r="H2475">
        <v>1387</v>
      </c>
      <c r="I2475">
        <v>15603.16</v>
      </c>
      <c r="J2475" t="s">
        <v>37</v>
      </c>
      <c r="K2475" t="s">
        <v>38</v>
      </c>
      <c r="L2475">
        <v>0</v>
      </c>
      <c r="M2475">
        <v>0</v>
      </c>
      <c r="N2475">
        <v>0</v>
      </c>
      <c r="O2475">
        <v>0</v>
      </c>
      <c r="P2475">
        <v>0</v>
      </c>
      <c r="Q2475">
        <v>686</v>
      </c>
      <c r="R2475">
        <v>0.57999999999999996</v>
      </c>
      <c r="S2475" t="s">
        <v>27</v>
      </c>
      <c r="T2475" s="1">
        <v>44418</v>
      </c>
      <c r="U2475">
        <v>0</v>
      </c>
    </row>
    <row r="2476" spans="1:21" x14ac:dyDescent="0.25">
      <c r="A2476" t="s">
        <v>2523</v>
      </c>
      <c r="B2476">
        <v>26</v>
      </c>
      <c r="C2476" t="s">
        <v>29</v>
      </c>
      <c r="D2476" t="s">
        <v>41</v>
      </c>
      <c r="E2476" t="s">
        <v>51</v>
      </c>
      <c r="F2476" t="s">
        <v>49</v>
      </c>
      <c r="G2476">
        <v>5981.94</v>
      </c>
      <c r="H2476">
        <v>3011.42</v>
      </c>
      <c r="I2476">
        <v>46154.11</v>
      </c>
      <c r="J2476" t="s">
        <v>37</v>
      </c>
      <c r="K2476" t="s">
        <v>38</v>
      </c>
      <c r="L2476">
        <v>0</v>
      </c>
      <c r="M2476">
        <v>0</v>
      </c>
      <c r="N2476">
        <v>0</v>
      </c>
      <c r="O2476">
        <v>0</v>
      </c>
      <c r="P2476">
        <v>0</v>
      </c>
      <c r="Q2476">
        <v>737</v>
      </c>
      <c r="R2476">
        <v>0.64</v>
      </c>
      <c r="S2476" t="s">
        <v>27</v>
      </c>
      <c r="T2476" s="1">
        <v>44666</v>
      </c>
      <c r="U2476">
        <v>0</v>
      </c>
    </row>
    <row r="2477" spans="1:21" x14ac:dyDescent="0.25">
      <c r="A2477" t="s">
        <v>2524</v>
      </c>
      <c r="B2477">
        <v>57</v>
      </c>
      <c r="C2477" t="s">
        <v>21</v>
      </c>
      <c r="D2477" t="s">
        <v>35</v>
      </c>
      <c r="E2477" t="s">
        <v>31</v>
      </c>
      <c r="F2477" t="s">
        <v>63</v>
      </c>
      <c r="G2477">
        <v>3032.97</v>
      </c>
      <c r="H2477">
        <v>1311.6</v>
      </c>
      <c r="I2477">
        <v>15365.96</v>
      </c>
      <c r="J2477" t="s">
        <v>37</v>
      </c>
      <c r="K2477" t="s">
        <v>38</v>
      </c>
      <c r="L2477">
        <v>0</v>
      </c>
      <c r="M2477">
        <v>0</v>
      </c>
      <c r="N2477">
        <v>0</v>
      </c>
      <c r="O2477">
        <v>0</v>
      </c>
      <c r="P2477">
        <v>0</v>
      </c>
      <c r="Q2477">
        <v>780</v>
      </c>
      <c r="R2477">
        <v>0.42</v>
      </c>
      <c r="S2477" t="s">
        <v>39</v>
      </c>
      <c r="T2477" s="1">
        <v>45301</v>
      </c>
      <c r="U2477">
        <v>0</v>
      </c>
    </row>
    <row r="2478" spans="1:21" x14ac:dyDescent="0.25">
      <c r="A2478" t="s">
        <v>2525</v>
      </c>
      <c r="B2478">
        <v>44</v>
      </c>
      <c r="C2478" t="s">
        <v>21</v>
      </c>
      <c r="D2478" t="s">
        <v>30</v>
      </c>
      <c r="E2478" t="s">
        <v>51</v>
      </c>
      <c r="F2478" t="s">
        <v>52</v>
      </c>
      <c r="G2478">
        <v>2799.93</v>
      </c>
      <c r="H2478">
        <v>2421.48</v>
      </c>
      <c r="I2478">
        <v>18307.2</v>
      </c>
      <c r="J2478" t="s">
        <v>25</v>
      </c>
      <c r="K2478" t="s">
        <v>33</v>
      </c>
      <c r="L2478">
        <v>12291.91</v>
      </c>
      <c r="M2478">
        <v>24</v>
      </c>
      <c r="N2478">
        <v>610.58000000000004</v>
      </c>
      <c r="O2478">
        <v>17.48</v>
      </c>
      <c r="P2478">
        <v>0.22</v>
      </c>
      <c r="Q2478">
        <v>495</v>
      </c>
      <c r="R2478">
        <v>0.54</v>
      </c>
      <c r="S2478" t="s">
        <v>72</v>
      </c>
      <c r="T2478" s="1">
        <v>44714</v>
      </c>
      <c r="U2478">
        <v>0</v>
      </c>
    </row>
    <row r="2479" spans="1:21" x14ac:dyDescent="0.25">
      <c r="A2479" t="s">
        <v>2526</v>
      </c>
      <c r="B2479">
        <v>21</v>
      </c>
      <c r="C2479" t="s">
        <v>21</v>
      </c>
      <c r="D2479" t="s">
        <v>41</v>
      </c>
      <c r="E2479" t="s">
        <v>31</v>
      </c>
      <c r="F2479" t="s">
        <v>52</v>
      </c>
      <c r="G2479">
        <v>8473.73</v>
      </c>
      <c r="H2479">
        <v>6343.72</v>
      </c>
      <c r="I2479">
        <v>60405.27</v>
      </c>
      <c r="J2479" t="s">
        <v>25</v>
      </c>
      <c r="K2479" t="s">
        <v>33</v>
      </c>
      <c r="L2479">
        <v>85315.71</v>
      </c>
      <c r="M2479">
        <v>36</v>
      </c>
      <c r="N2479">
        <v>2989.35</v>
      </c>
      <c r="O2479">
        <v>15.76</v>
      </c>
      <c r="P2479">
        <v>0.35</v>
      </c>
      <c r="Q2479">
        <v>734</v>
      </c>
      <c r="R2479">
        <v>0.59</v>
      </c>
      <c r="S2479" t="s">
        <v>30</v>
      </c>
      <c r="T2479" s="1">
        <v>45628</v>
      </c>
      <c r="U2479">
        <v>0</v>
      </c>
    </row>
    <row r="2480" spans="1:21" x14ac:dyDescent="0.25">
      <c r="A2480" t="s">
        <v>2527</v>
      </c>
      <c r="B2480">
        <v>67</v>
      </c>
      <c r="C2480" t="s">
        <v>21</v>
      </c>
      <c r="D2480" t="s">
        <v>35</v>
      </c>
      <c r="E2480" t="s">
        <v>31</v>
      </c>
      <c r="F2480" t="s">
        <v>32</v>
      </c>
      <c r="G2480">
        <v>6417.95</v>
      </c>
      <c r="H2480">
        <v>4297.58</v>
      </c>
      <c r="I2480">
        <v>15909.59</v>
      </c>
      <c r="J2480" t="s">
        <v>37</v>
      </c>
      <c r="K2480" t="s">
        <v>38</v>
      </c>
      <c r="L2480">
        <v>0</v>
      </c>
      <c r="M2480">
        <v>0</v>
      </c>
      <c r="N2480">
        <v>0</v>
      </c>
      <c r="O2480">
        <v>0</v>
      </c>
      <c r="P2480">
        <v>0</v>
      </c>
      <c r="Q2480">
        <v>742</v>
      </c>
      <c r="R2480">
        <v>0.21</v>
      </c>
      <c r="S2480" t="s">
        <v>30</v>
      </c>
      <c r="T2480" s="1">
        <v>45158</v>
      </c>
      <c r="U2480">
        <v>0</v>
      </c>
    </row>
    <row r="2481" spans="1:21" x14ac:dyDescent="0.25">
      <c r="A2481" t="s">
        <v>2528</v>
      </c>
      <c r="B2481">
        <v>57</v>
      </c>
      <c r="C2481" t="s">
        <v>29</v>
      </c>
      <c r="D2481" t="s">
        <v>35</v>
      </c>
      <c r="E2481" t="s">
        <v>51</v>
      </c>
      <c r="F2481" t="s">
        <v>24</v>
      </c>
      <c r="G2481">
        <v>4577.3500000000004</v>
      </c>
      <c r="H2481">
        <v>1629.88</v>
      </c>
      <c r="I2481">
        <v>36061.199999999997</v>
      </c>
      <c r="J2481" t="s">
        <v>25</v>
      </c>
      <c r="K2481" t="s">
        <v>33</v>
      </c>
      <c r="L2481">
        <v>423085.15</v>
      </c>
      <c r="M2481">
        <v>360</v>
      </c>
      <c r="N2481">
        <v>6007.78</v>
      </c>
      <c r="O2481">
        <v>16.93</v>
      </c>
      <c r="P2481">
        <v>1.31</v>
      </c>
      <c r="Q2481">
        <v>599</v>
      </c>
      <c r="R2481">
        <v>0.66</v>
      </c>
      <c r="S2481" t="s">
        <v>27</v>
      </c>
      <c r="T2481" s="1">
        <v>45554</v>
      </c>
      <c r="U2481">
        <v>1</v>
      </c>
    </row>
    <row r="2482" spans="1:21" x14ac:dyDescent="0.25">
      <c r="A2482" t="s">
        <v>2529</v>
      </c>
      <c r="B2482">
        <v>62</v>
      </c>
      <c r="C2482" t="s">
        <v>29</v>
      </c>
      <c r="D2482" t="s">
        <v>22</v>
      </c>
      <c r="E2482" t="s">
        <v>51</v>
      </c>
      <c r="F2482" t="s">
        <v>23</v>
      </c>
      <c r="G2482">
        <v>5857.69</v>
      </c>
      <c r="H2482">
        <v>4392.21</v>
      </c>
      <c r="I2482">
        <v>41720.26</v>
      </c>
      <c r="J2482" t="s">
        <v>37</v>
      </c>
      <c r="K2482" t="s">
        <v>38</v>
      </c>
      <c r="L2482">
        <v>0</v>
      </c>
      <c r="M2482">
        <v>0</v>
      </c>
      <c r="N2482">
        <v>0</v>
      </c>
      <c r="O2482">
        <v>0</v>
      </c>
      <c r="P2482">
        <v>0</v>
      </c>
      <c r="Q2482">
        <v>487</v>
      </c>
      <c r="R2482">
        <v>0.59</v>
      </c>
      <c r="S2482" t="s">
        <v>72</v>
      </c>
      <c r="T2482" s="1">
        <v>44816</v>
      </c>
      <c r="U2482">
        <v>0</v>
      </c>
    </row>
    <row r="2483" spans="1:21" x14ac:dyDescent="0.25">
      <c r="A2483" t="s">
        <v>2530</v>
      </c>
      <c r="B2483">
        <v>21</v>
      </c>
      <c r="C2483" t="s">
        <v>29</v>
      </c>
      <c r="D2483" t="s">
        <v>22</v>
      </c>
      <c r="E2483" t="s">
        <v>31</v>
      </c>
      <c r="F2483" t="s">
        <v>23</v>
      </c>
      <c r="G2483">
        <v>4498.72</v>
      </c>
      <c r="H2483">
        <v>3146.09</v>
      </c>
      <c r="I2483">
        <v>26141.45</v>
      </c>
      <c r="J2483" t="s">
        <v>25</v>
      </c>
      <c r="K2483" t="s">
        <v>45</v>
      </c>
      <c r="L2483">
        <v>475554.23</v>
      </c>
      <c r="M2483">
        <v>180</v>
      </c>
      <c r="N2483">
        <v>3723.6</v>
      </c>
      <c r="O2483">
        <v>4.8499999999999996</v>
      </c>
      <c r="P2483">
        <v>0.83</v>
      </c>
      <c r="Q2483">
        <v>668</v>
      </c>
      <c r="R2483">
        <v>0.48</v>
      </c>
      <c r="S2483" t="s">
        <v>39</v>
      </c>
      <c r="T2483" s="1">
        <v>44476</v>
      </c>
      <c r="U2483">
        <v>1</v>
      </c>
    </row>
    <row r="2484" spans="1:21" x14ac:dyDescent="0.25">
      <c r="A2484" t="s">
        <v>2531</v>
      </c>
      <c r="B2484">
        <v>59</v>
      </c>
      <c r="C2484" t="s">
        <v>29</v>
      </c>
      <c r="D2484" t="s">
        <v>35</v>
      </c>
      <c r="E2484" t="s">
        <v>31</v>
      </c>
      <c r="F2484" t="s">
        <v>52</v>
      </c>
      <c r="G2484">
        <v>7113.4</v>
      </c>
      <c r="H2484">
        <v>2911.61</v>
      </c>
      <c r="I2484">
        <v>80512.42</v>
      </c>
      <c r="J2484" t="s">
        <v>37</v>
      </c>
      <c r="K2484" t="s">
        <v>38</v>
      </c>
      <c r="L2484">
        <v>0</v>
      </c>
      <c r="M2484">
        <v>0</v>
      </c>
      <c r="N2484">
        <v>0</v>
      </c>
      <c r="O2484">
        <v>0</v>
      </c>
      <c r="P2484">
        <v>0</v>
      </c>
      <c r="Q2484">
        <v>476</v>
      </c>
      <c r="R2484">
        <v>0.94</v>
      </c>
      <c r="S2484" t="s">
        <v>30</v>
      </c>
      <c r="T2484" s="1">
        <v>45092</v>
      </c>
      <c r="U2484">
        <v>0</v>
      </c>
    </row>
    <row r="2485" spans="1:21" x14ac:dyDescent="0.25">
      <c r="A2485" t="s">
        <v>2532</v>
      </c>
      <c r="B2485">
        <v>30</v>
      </c>
      <c r="C2485" t="s">
        <v>29</v>
      </c>
      <c r="D2485" t="s">
        <v>41</v>
      </c>
      <c r="E2485" t="s">
        <v>31</v>
      </c>
      <c r="F2485" t="s">
        <v>52</v>
      </c>
      <c r="G2485">
        <v>500</v>
      </c>
      <c r="H2485">
        <v>303.23</v>
      </c>
      <c r="I2485">
        <v>992.52</v>
      </c>
      <c r="J2485" t="s">
        <v>37</v>
      </c>
      <c r="K2485" t="s">
        <v>38</v>
      </c>
      <c r="L2485">
        <v>0</v>
      </c>
      <c r="M2485">
        <v>0</v>
      </c>
      <c r="N2485">
        <v>0</v>
      </c>
      <c r="O2485">
        <v>0</v>
      </c>
      <c r="P2485">
        <v>0</v>
      </c>
      <c r="Q2485">
        <v>554</v>
      </c>
      <c r="R2485">
        <v>0.17</v>
      </c>
      <c r="S2485" t="s">
        <v>72</v>
      </c>
      <c r="T2485" s="1">
        <v>44437</v>
      </c>
      <c r="U2485">
        <v>0</v>
      </c>
    </row>
    <row r="2486" spans="1:21" x14ac:dyDescent="0.25">
      <c r="A2486" t="s">
        <v>2533</v>
      </c>
      <c r="B2486">
        <v>43</v>
      </c>
      <c r="C2486" t="s">
        <v>29</v>
      </c>
      <c r="D2486" t="s">
        <v>35</v>
      </c>
      <c r="E2486" t="s">
        <v>51</v>
      </c>
      <c r="F2486" t="s">
        <v>63</v>
      </c>
      <c r="G2486">
        <v>3994.23</v>
      </c>
      <c r="H2486">
        <v>2163.13</v>
      </c>
      <c r="I2486">
        <v>26067.06</v>
      </c>
      <c r="J2486" t="s">
        <v>37</v>
      </c>
      <c r="K2486" t="s">
        <v>38</v>
      </c>
      <c r="L2486">
        <v>0</v>
      </c>
      <c r="M2486">
        <v>0</v>
      </c>
      <c r="N2486">
        <v>0</v>
      </c>
      <c r="O2486">
        <v>0</v>
      </c>
      <c r="P2486">
        <v>0</v>
      </c>
      <c r="Q2486">
        <v>559</v>
      </c>
      <c r="R2486">
        <v>0.54</v>
      </c>
      <c r="S2486" t="s">
        <v>47</v>
      </c>
      <c r="T2486" s="1">
        <v>44733</v>
      </c>
      <c r="U2486">
        <v>0</v>
      </c>
    </row>
    <row r="2487" spans="1:21" x14ac:dyDescent="0.25">
      <c r="A2487" t="s">
        <v>2534</v>
      </c>
      <c r="B2487">
        <v>66</v>
      </c>
      <c r="C2487" t="s">
        <v>21</v>
      </c>
      <c r="D2487" t="s">
        <v>41</v>
      </c>
      <c r="E2487" t="s">
        <v>49</v>
      </c>
      <c r="F2487" t="s">
        <v>23</v>
      </c>
      <c r="G2487">
        <v>5556.19</v>
      </c>
      <c r="H2487">
        <v>2822.65</v>
      </c>
      <c r="I2487">
        <v>61073.93</v>
      </c>
      <c r="J2487" t="s">
        <v>37</v>
      </c>
      <c r="K2487" t="s">
        <v>38</v>
      </c>
      <c r="L2487">
        <v>0</v>
      </c>
      <c r="M2487">
        <v>0</v>
      </c>
      <c r="N2487">
        <v>0</v>
      </c>
      <c r="O2487">
        <v>0</v>
      </c>
      <c r="P2487">
        <v>0</v>
      </c>
      <c r="Q2487">
        <v>780</v>
      </c>
      <c r="R2487">
        <v>0.92</v>
      </c>
      <c r="S2487" t="s">
        <v>30</v>
      </c>
      <c r="T2487" s="1">
        <v>45821</v>
      </c>
      <c r="U2487">
        <v>0</v>
      </c>
    </row>
    <row r="2488" spans="1:21" x14ac:dyDescent="0.25">
      <c r="A2488" t="s">
        <v>2535</v>
      </c>
      <c r="B2488">
        <v>52</v>
      </c>
      <c r="C2488" t="s">
        <v>21</v>
      </c>
      <c r="D2488" t="s">
        <v>41</v>
      </c>
      <c r="E2488" t="s">
        <v>51</v>
      </c>
      <c r="F2488" t="s">
        <v>42</v>
      </c>
      <c r="G2488">
        <v>1268.2</v>
      </c>
      <c r="H2488">
        <v>1132.33</v>
      </c>
      <c r="I2488">
        <v>4505.24</v>
      </c>
      <c r="J2488" t="s">
        <v>37</v>
      </c>
      <c r="K2488" t="s">
        <v>38</v>
      </c>
      <c r="L2488">
        <v>0</v>
      </c>
      <c r="M2488">
        <v>0</v>
      </c>
      <c r="N2488">
        <v>0</v>
      </c>
      <c r="O2488">
        <v>0</v>
      </c>
      <c r="P2488">
        <v>0</v>
      </c>
      <c r="Q2488">
        <v>580</v>
      </c>
      <c r="R2488">
        <v>0.3</v>
      </c>
      <c r="S2488" t="s">
        <v>27</v>
      </c>
      <c r="T2488" s="1">
        <v>44630</v>
      </c>
      <c r="U2488">
        <v>0</v>
      </c>
    </row>
    <row r="2489" spans="1:21" x14ac:dyDescent="0.25">
      <c r="A2489" t="s">
        <v>2536</v>
      </c>
      <c r="B2489">
        <v>39</v>
      </c>
      <c r="C2489" t="s">
        <v>29</v>
      </c>
      <c r="D2489" t="s">
        <v>22</v>
      </c>
      <c r="E2489" t="s">
        <v>49</v>
      </c>
      <c r="F2489" t="s">
        <v>63</v>
      </c>
      <c r="G2489">
        <v>4373.7299999999996</v>
      </c>
      <c r="H2489">
        <v>3222.96</v>
      </c>
      <c r="I2489">
        <v>51547.14</v>
      </c>
      <c r="J2489" t="s">
        <v>37</v>
      </c>
      <c r="K2489" t="s">
        <v>38</v>
      </c>
      <c r="L2489">
        <v>0</v>
      </c>
      <c r="M2489">
        <v>0</v>
      </c>
      <c r="N2489">
        <v>0</v>
      </c>
      <c r="O2489">
        <v>0</v>
      </c>
      <c r="P2489">
        <v>0</v>
      </c>
      <c r="Q2489">
        <v>641</v>
      </c>
      <c r="R2489">
        <v>0.98</v>
      </c>
      <c r="S2489" t="s">
        <v>47</v>
      </c>
      <c r="T2489" s="1">
        <v>45349</v>
      </c>
      <c r="U2489">
        <v>0</v>
      </c>
    </row>
    <row r="2490" spans="1:21" x14ac:dyDescent="0.25">
      <c r="A2490" t="s">
        <v>2537</v>
      </c>
      <c r="B2490">
        <v>34</v>
      </c>
      <c r="C2490" t="s">
        <v>30</v>
      </c>
      <c r="D2490" t="s">
        <v>22</v>
      </c>
      <c r="E2490" t="s">
        <v>31</v>
      </c>
      <c r="F2490" t="s">
        <v>23</v>
      </c>
      <c r="G2490">
        <v>4448.2</v>
      </c>
      <c r="H2490">
        <v>3537.67</v>
      </c>
      <c r="I2490">
        <v>28919.1</v>
      </c>
      <c r="J2490" t="s">
        <v>25</v>
      </c>
      <c r="K2490" t="s">
        <v>33</v>
      </c>
      <c r="L2490">
        <v>408132.22</v>
      </c>
      <c r="M2490">
        <v>300</v>
      </c>
      <c r="N2490">
        <v>7581.45</v>
      </c>
      <c r="O2490">
        <v>22.2</v>
      </c>
      <c r="P2490">
        <v>1.7</v>
      </c>
      <c r="Q2490">
        <v>627</v>
      </c>
      <c r="R2490">
        <v>0.54</v>
      </c>
      <c r="S2490" t="s">
        <v>39</v>
      </c>
      <c r="T2490" s="1">
        <v>45430</v>
      </c>
      <c r="U2490">
        <v>1</v>
      </c>
    </row>
    <row r="2491" spans="1:21" x14ac:dyDescent="0.25">
      <c r="A2491" t="s">
        <v>2538</v>
      </c>
      <c r="B2491">
        <v>28</v>
      </c>
      <c r="C2491" t="s">
        <v>21</v>
      </c>
      <c r="D2491" t="s">
        <v>35</v>
      </c>
      <c r="E2491" t="s">
        <v>31</v>
      </c>
      <c r="F2491" t="s">
        <v>23</v>
      </c>
      <c r="G2491">
        <v>6850.01</v>
      </c>
      <c r="H2491">
        <v>2689.75</v>
      </c>
      <c r="I2491">
        <v>65995.009999999995</v>
      </c>
      <c r="J2491" t="s">
        <v>37</v>
      </c>
      <c r="K2491" t="s">
        <v>38</v>
      </c>
      <c r="L2491">
        <v>0</v>
      </c>
      <c r="M2491">
        <v>0</v>
      </c>
      <c r="N2491">
        <v>0</v>
      </c>
      <c r="O2491">
        <v>0</v>
      </c>
      <c r="P2491">
        <v>0</v>
      </c>
      <c r="Q2491">
        <v>676</v>
      </c>
      <c r="R2491">
        <v>0.8</v>
      </c>
      <c r="S2491" t="s">
        <v>30</v>
      </c>
      <c r="T2491" s="1">
        <v>44753</v>
      </c>
      <c r="U2491">
        <v>0</v>
      </c>
    </row>
    <row r="2492" spans="1:21" x14ac:dyDescent="0.25">
      <c r="A2492" t="s">
        <v>2539</v>
      </c>
      <c r="B2492">
        <v>25</v>
      </c>
      <c r="C2492" t="s">
        <v>21</v>
      </c>
      <c r="D2492" t="s">
        <v>41</v>
      </c>
      <c r="E2492" t="s">
        <v>49</v>
      </c>
      <c r="F2492" t="s">
        <v>49</v>
      </c>
      <c r="G2492">
        <v>4922.3999999999996</v>
      </c>
      <c r="H2492">
        <v>2861.97</v>
      </c>
      <c r="I2492">
        <v>33211.620000000003</v>
      </c>
      <c r="J2492" t="s">
        <v>37</v>
      </c>
      <c r="K2492" t="s">
        <v>38</v>
      </c>
      <c r="L2492">
        <v>0</v>
      </c>
      <c r="M2492">
        <v>0</v>
      </c>
      <c r="N2492">
        <v>0</v>
      </c>
      <c r="O2492">
        <v>0</v>
      </c>
      <c r="P2492">
        <v>0</v>
      </c>
      <c r="Q2492">
        <v>531</v>
      </c>
      <c r="R2492">
        <v>0.56000000000000005</v>
      </c>
      <c r="S2492" t="s">
        <v>27</v>
      </c>
      <c r="T2492" s="1">
        <v>44521</v>
      </c>
      <c r="U2492">
        <v>0</v>
      </c>
    </row>
    <row r="2493" spans="1:21" x14ac:dyDescent="0.25">
      <c r="A2493" t="s">
        <v>2540</v>
      </c>
      <c r="B2493">
        <v>57</v>
      </c>
      <c r="C2493" t="s">
        <v>29</v>
      </c>
      <c r="D2493" t="s">
        <v>56</v>
      </c>
      <c r="E2493" t="s">
        <v>31</v>
      </c>
      <c r="F2493" t="s">
        <v>24</v>
      </c>
      <c r="G2493">
        <v>3579.84</v>
      </c>
      <c r="H2493">
        <v>2861.06</v>
      </c>
      <c r="I2493">
        <v>5003.49</v>
      </c>
      <c r="J2493" t="s">
        <v>25</v>
      </c>
      <c r="K2493" t="s">
        <v>45</v>
      </c>
      <c r="L2493">
        <v>489624.86</v>
      </c>
      <c r="M2493">
        <v>300</v>
      </c>
      <c r="N2493">
        <v>3463.69</v>
      </c>
      <c r="O2493">
        <v>7.01</v>
      </c>
      <c r="P2493">
        <v>0.97</v>
      </c>
      <c r="Q2493">
        <v>775</v>
      </c>
      <c r="R2493">
        <v>0.12</v>
      </c>
      <c r="S2493" t="s">
        <v>47</v>
      </c>
      <c r="T2493" s="1">
        <v>44685</v>
      </c>
      <c r="U2493">
        <v>1</v>
      </c>
    </row>
    <row r="2494" spans="1:21" x14ac:dyDescent="0.25">
      <c r="A2494" t="s">
        <v>2541</v>
      </c>
      <c r="B2494">
        <v>51</v>
      </c>
      <c r="C2494" t="s">
        <v>29</v>
      </c>
      <c r="D2494" t="s">
        <v>35</v>
      </c>
      <c r="E2494" t="s">
        <v>31</v>
      </c>
      <c r="F2494" t="s">
        <v>23</v>
      </c>
      <c r="G2494">
        <v>5725.78</v>
      </c>
      <c r="H2494">
        <v>4965.0200000000004</v>
      </c>
      <c r="I2494">
        <v>17247.57</v>
      </c>
      <c r="J2494" t="s">
        <v>25</v>
      </c>
      <c r="K2494" t="s">
        <v>54</v>
      </c>
      <c r="L2494">
        <v>83602.570000000007</v>
      </c>
      <c r="M2494">
        <v>12</v>
      </c>
      <c r="N2494">
        <v>7605.13</v>
      </c>
      <c r="O2494">
        <v>16.5</v>
      </c>
      <c r="P2494">
        <v>1.33</v>
      </c>
      <c r="Q2494">
        <v>453</v>
      </c>
      <c r="R2494">
        <v>0.25</v>
      </c>
      <c r="S2494" t="s">
        <v>39</v>
      </c>
      <c r="T2494" s="1">
        <v>45814</v>
      </c>
      <c r="U2494">
        <v>1</v>
      </c>
    </row>
    <row r="2495" spans="1:21" x14ac:dyDescent="0.25">
      <c r="A2495" t="s">
        <v>2542</v>
      </c>
      <c r="B2495">
        <v>18</v>
      </c>
      <c r="C2495" t="s">
        <v>29</v>
      </c>
      <c r="D2495" t="s">
        <v>41</v>
      </c>
      <c r="E2495" t="s">
        <v>51</v>
      </c>
      <c r="F2495" t="s">
        <v>42</v>
      </c>
      <c r="G2495">
        <v>3282.38</v>
      </c>
      <c r="H2495">
        <v>2243.77</v>
      </c>
      <c r="I2495">
        <v>22081.21</v>
      </c>
      <c r="J2495" t="s">
        <v>37</v>
      </c>
      <c r="K2495" t="s">
        <v>38</v>
      </c>
      <c r="L2495">
        <v>0</v>
      </c>
      <c r="M2495">
        <v>0</v>
      </c>
      <c r="N2495">
        <v>0</v>
      </c>
      <c r="O2495">
        <v>0</v>
      </c>
      <c r="P2495">
        <v>0</v>
      </c>
      <c r="Q2495">
        <v>391</v>
      </c>
      <c r="R2495">
        <v>0.56000000000000005</v>
      </c>
      <c r="S2495" t="s">
        <v>30</v>
      </c>
      <c r="T2495" s="1">
        <v>45858</v>
      </c>
      <c r="U2495">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4E87D-D8A4-4F01-812A-F458CD861402}">
  <dimension ref="A1:B4"/>
  <sheetViews>
    <sheetView topLeftCell="A22" workbookViewId="0">
      <selection activeCell="A42" sqref="A42"/>
    </sheetView>
  </sheetViews>
  <sheetFormatPr defaultRowHeight="15" x14ac:dyDescent="0.25"/>
  <cols>
    <col min="1" max="1" width="17.5703125" bestFit="1" customWidth="1"/>
    <col min="2" max="2" width="10" customWidth="1"/>
  </cols>
  <sheetData>
    <row r="1" spans="1:2" x14ac:dyDescent="0.25">
      <c r="A1" s="5" t="s">
        <v>2563</v>
      </c>
      <c r="B1" t="s">
        <v>2564</v>
      </c>
    </row>
    <row r="2" spans="1:2" x14ac:dyDescent="0.25">
      <c r="A2" s="7" t="s">
        <v>2565</v>
      </c>
      <c r="B2" s="8">
        <f>AVERAGE(ML_data[monthly_income_usd])</f>
        <v>4265.8436607858966</v>
      </c>
    </row>
    <row r="3" spans="1:2" x14ac:dyDescent="0.25">
      <c r="A3" s="7" t="s">
        <v>2566</v>
      </c>
      <c r="B3" s="8">
        <f>AVERAGE(ML_data[monthly_expenses_usd])</f>
        <v>2575.1545469125949</v>
      </c>
    </row>
    <row r="4" spans="1:2" x14ac:dyDescent="0.25">
      <c r="A4" s="7" t="s">
        <v>2567</v>
      </c>
      <c r="B4" s="8">
        <f>AVERAGE(ML_data[savings_usd])</f>
        <v>27907.327477947038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AF18E-4438-48DE-86BF-BD880EB393AD}">
  <dimension ref="A1:P20"/>
  <sheetViews>
    <sheetView topLeftCell="A8" zoomScale="90" zoomScaleNormal="90" workbookViewId="0">
      <selection activeCell="L20" sqref="L20"/>
    </sheetView>
  </sheetViews>
  <sheetFormatPr defaultRowHeight="15" x14ac:dyDescent="0.25"/>
  <cols>
    <col min="1" max="1" width="53.28515625" bestFit="1" customWidth="1"/>
    <col min="2" max="2" width="13.42578125" bestFit="1" customWidth="1"/>
    <col min="3" max="3" width="15.42578125" bestFit="1" customWidth="1"/>
    <col min="4" max="4" width="15.42578125" customWidth="1"/>
    <col min="5" max="6" width="17.5703125" bestFit="1" customWidth="1"/>
    <col min="7" max="7" width="15.5703125" bestFit="1" customWidth="1"/>
    <col min="8" max="8" width="15.5703125" customWidth="1"/>
    <col min="9" max="9" width="13.85546875" bestFit="1" customWidth="1"/>
    <col min="10" max="10" width="11.5703125" bestFit="1" customWidth="1"/>
    <col min="11" max="11" width="13.85546875" bestFit="1" customWidth="1"/>
    <col min="12" max="12" width="9.42578125" bestFit="1" customWidth="1"/>
    <col min="13" max="14" width="11.42578125" bestFit="1" customWidth="1"/>
    <col min="15" max="15" width="27.7109375" bestFit="1" customWidth="1"/>
    <col min="16" max="16" width="19.28515625" bestFit="1" customWidth="1"/>
    <col min="17" max="2498" width="16.85546875" bestFit="1" customWidth="1"/>
    <col min="2499" max="2499" width="11.28515625" bestFit="1" customWidth="1"/>
  </cols>
  <sheetData>
    <row r="1" spans="1:16" x14ac:dyDescent="0.25">
      <c r="A1" t="s">
        <v>2543</v>
      </c>
    </row>
    <row r="2" spans="1:16" x14ac:dyDescent="0.25">
      <c r="A2" t="s">
        <v>2551</v>
      </c>
    </row>
    <row r="3" spans="1:16" x14ac:dyDescent="0.25">
      <c r="A3" t="s">
        <v>2544</v>
      </c>
    </row>
    <row r="4" spans="1:16" x14ac:dyDescent="0.25">
      <c r="A4" t="s">
        <v>2545</v>
      </c>
    </row>
    <row r="5" spans="1:16" x14ac:dyDescent="0.25">
      <c r="A5" t="s">
        <v>2546</v>
      </c>
    </row>
    <row r="6" spans="1:16" x14ac:dyDescent="0.25">
      <c r="A6" t="s">
        <v>2547</v>
      </c>
    </row>
    <row r="7" spans="1:16" x14ac:dyDescent="0.25">
      <c r="A7" t="s">
        <v>2548</v>
      </c>
    </row>
    <row r="8" spans="1:16" x14ac:dyDescent="0.25">
      <c r="A8" t="s">
        <v>2549</v>
      </c>
    </row>
    <row r="9" spans="1:16" x14ac:dyDescent="0.25">
      <c r="A9" t="s">
        <v>2550</v>
      </c>
    </row>
    <row r="12" spans="1:16" x14ac:dyDescent="0.25">
      <c r="B12" t="s">
        <v>2552</v>
      </c>
      <c r="E12" s="2" t="s">
        <v>2557</v>
      </c>
      <c r="F12" t="s">
        <v>2554</v>
      </c>
      <c r="I12" s="2" t="s">
        <v>2557</v>
      </c>
      <c r="J12" t="s">
        <v>2556</v>
      </c>
      <c r="O12" s="2" t="s">
        <v>2557</v>
      </c>
      <c r="P12" t="s">
        <v>2560</v>
      </c>
    </row>
    <row r="13" spans="1:16" x14ac:dyDescent="0.25">
      <c r="B13" s="13">
        <v>2494</v>
      </c>
      <c r="E13" s="5" t="s">
        <v>72</v>
      </c>
      <c r="F13" s="3">
        <v>2650.8534892787511</v>
      </c>
      <c r="I13" s="5" t="s">
        <v>47</v>
      </c>
      <c r="J13" s="4">
        <v>0.25181434599156122</v>
      </c>
      <c r="O13" s="5" t="s">
        <v>47</v>
      </c>
      <c r="P13" s="4">
        <v>0.53632911392405047</v>
      </c>
    </row>
    <row r="14" spans="1:16" x14ac:dyDescent="0.25">
      <c r="C14" s="2" t="s">
        <v>2557</v>
      </c>
      <c r="D14" t="s">
        <v>2553</v>
      </c>
      <c r="E14" s="5" t="s">
        <v>27</v>
      </c>
      <c r="F14" s="3">
        <v>2604.1972690763055</v>
      </c>
      <c r="G14" s="2" t="s">
        <v>2557</v>
      </c>
      <c r="H14" t="s">
        <v>2555</v>
      </c>
      <c r="I14" s="5" t="s">
        <v>72</v>
      </c>
      <c r="J14" s="4">
        <v>0.25389863547758285</v>
      </c>
      <c r="K14" s="2" t="s">
        <v>2557</v>
      </c>
      <c r="L14" t="s">
        <v>2559</v>
      </c>
      <c r="M14" t="s">
        <v>2561</v>
      </c>
      <c r="O14" s="5" t="s">
        <v>72</v>
      </c>
      <c r="P14" s="4">
        <v>0.5613645224171534</v>
      </c>
    </row>
    <row r="15" spans="1:16" x14ac:dyDescent="0.25">
      <c r="C15" s="5" t="s">
        <v>47</v>
      </c>
      <c r="D15" s="3">
        <v>4266.3184599156093</v>
      </c>
      <c r="E15" s="5" t="s">
        <v>39</v>
      </c>
      <c r="F15" s="3">
        <v>2585.8274224806214</v>
      </c>
      <c r="G15" s="5" t="s">
        <v>47</v>
      </c>
      <c r="H15" s="3">
        <v>27026.164261603397</v>
      </c>
      <c r="I15" s="5" t="s">
        <v>27</v>
      </c>
      <c r="J15" s="4">
        <v>0.24483935742971888</v>
      </c>
      <c r="K15" s="5" t="s">
        <v>30</v>
      </c>
      <c r="L15" s="12">
        <v>96</v>
      </c>
      <c r="M15" s="6">
        <v>0.1947261663286004</v>
      </c>
      <c r="O15" s="5" t="s">
        <v>27</v>
      </c>
      <c r="P15" s="4">
        <v>0.54148594377510062</v>
      </c>
    </row>
    <row r="16" spans="1:16" x14ac:dyDescent="0.25">
      <c r="C16" s="5" t="s">
        <v>72</v>
      </c>
      <c r="D16" s="3">
        <v>4369.3786159844058</v>
      </c>
      <c r="E16" s="5" t="s">
        <v>47</v>
      </c>
      <c r="F16" s="3">
        <v>2567.8780801687758</v>
      </c>
      <c r="G16" s="5" t="s">
        <v>72</v>
      </c>
      <c r="H16" s="3">
        <v>29124.350955165708</v>
      </c>
      <c r="I16" s="5" t="s">
        <v>39</v>
      </c>
      <c r="J16" s="4">
        <v>0.2619186046511629</v>
      </c>
      <c r="K16" s="5" t="s">
        <v>27</v>
      </c>
      <c r="L16" s="12">
        <v>103</v>
      </c>
      <c r="M16" s="6">
        <v>0.20682730923694778</v>
      </c>
      <c r="O16" s="5" t="s">
        <v>39</v>
      </c>
      <c r="P16" s="4">
        <v>0.55093023255813989</v>
      </c>
    </row>
    <row r="17" spans="3:16" x14ac:dyDescent="0.25">
      <c r="C17" s="5" t="s">
        <v>27</v>
      </c>
      <c r="D17" s="3">
        <v>4282.7505421686747</v>
      </c>
      <c r="E17" s="5" t="s">
        <v>30</v>
      </c>
      <c r="F17" s="3">
        <v>2462.8726166328611</v>
      </c>
      <c r="G17" s="5" t="s">
        <v>27</v>
      </c>
      <c r="H17" s="3">
        <v>27432.527550200823</v>
      </c>
      <c r="I17" s="5" t="s">
        <v>30</v>
      </c>
      <c r="J17" s="4">
        <v>0.22614604462474641</v>
      </c>
      <c r="K17" s="5" t="s">
        <v>72</v>
      </c>
      <c r="L17" s="12">
        <v>117</v>
      </c>
      <c r="M17" s="6">
        <v>0.22807017543859648</v>
      </c>
      <c r="O17" s="5" t="s">
        <v>30</v>
      </c>
      <c r="P17" s="4">
        <v>0.55488843813387423</v>
      </c>
    </row>
    <row r="18" spans="3:16" x14ac:dyDescent="0.25">
      <c r="C18" s="5" t="s">
        <v>39</v>
      </c>
      <c r="D18" s="3">
        <v>4282.6805038759685</v>
      </c>
      <c r="E18" s="5" t="s">
        <v>2554</v>
      </c>
      <c r="F18" s="3">
        <v>2575.1545469125881</v>
      </c>
      <c r="G18" s="5" t="s">
        <v>39</v>
      </c>
      <c r="H18" s="3">
        <v>28139.411434108519</v>
      </c>
      <c r="I18" s="5" t="s">
        <v>2556</v>
      </c>
      <c r="J18" s="4">
        <v>0.24786688051323189</v>
      </c>
      <c r="K18" s="5" t="s">
        <v>39</v>
      </c>
      <c r="L18" s="12">
        <v>120</v>
      </c>
      <c r="M18" s="6">
        <v>0.23255813953488372</v>
      </c>
      <c r="O18" s="5" t="s">
        <v>2562</v>
      </c>
      <c r="P18" s="4">
        <v>0.54919807538091536</v>
      </c>
    </row>
    <row r="19" spans="3:16" x14ac:dyDescent="0.25">
      <c r="C19" s="5" t="s">
        <v>30</v>
      </c>
      <c r="D19" s="3">
        <v>4122.9513184584166</v>
      </c>
      <c r="G19" s="5" t="s">
        <v>30</v>
      </c>
      <c r="H19" s="3">
        <v>27724.839371196751</v>
      </c>
      <c r="K19" s="5" t="s">
        <v>47</v>
      </c>
      <c r="L19" s="12">
        <v>111</v>
      </c>
      <c r="M19" s="6">
        <v>0.23417721518987342</v>
      </c>
    </row>
    <row r="20" spans="3:16" x14ac:dyDescent="0.25">
      <c r="C20" s="5" t="s">
        <v>2553</v>
      </c>
      <c r="D20" s="3">
        <v>4265.8436607858912</v>
      </c>
      <c r="G20" s="5" t="s">
        <v>2555</v>
      </c>
      <c r="H20" s="3">
        <v>27907.327477947045</v>
      </c>
      <c r="K20" s="5" t="s">
        <v>2559</v>
      </c>
      <c r="L20" s="12">
        <v>547</v>
      </c>
      <c r="M20" s="6">
        <v>0.21932638331996793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B55D2-7568-4C15-BF0A-B9993F52B1E2}">
  <dimension ref="A1:W36"/>
  <sheetViews>
    <sheetView tabSelected="1" zoomScale="90" zoomScaleNormal="90" workbookViewId="0">
      <selection activeCell="U2" sqref="U2:V2"/>
    </sheetView>
  </sheetViews>
  <sheetFormatPr defaultRowHeight="15" x14ac:dyDescent="0.25"/>
  <cols>
    <col min="21" max="21" width="11.140625" bestFit="1" customWidth="1"/>
  </cols>
  <sheetData>
    <row r="1" spans="1:23" x14ac:dyDescent="0.25">
      <c r="A1" s="9"/>
      <c r="B1" s="9"/>
      <c r="C1" s="15" t="s">
        <v>2569</v>
      </c>
      <c r="D1" s="15"/>
      <c r="E1" s="15"/>
      <c r="F1" s="15"/>
      <c r="G1" s="15"/>
      <c r="H1" s="15"/>
      <c r="I1" s="15"/>
      <c r="J1" s="15"/>
      <c r="K1" s="15"/>
      <c r="L1" s="15"/>
      <c r="M1" s="15"/>
      <c r="N1" s="15"/>
      <c r="O1" s="15"/>
      <c r="P1" s="15"/>
      <c r="Q1" s="15"/>
      <c r="R1" s="15"/>
      <c r="S1" s="15"/>
      <c r="T1" s="9"/>
      <c r="U1" s="14" t="s">
        <v>2568</v>
      </c>
      <c r="V1" s="14"/>
      <c r="W1" s="9"/>
    </row>
    <row r="2" spans="1:23" x14ac:dyDescent="0.25">
      <c r="A2" s="9"/>
      <c r="B2" s="9"/>
      <c r="C2" s="15"/>
      <c r="D2" s="15"/>
      <c r="E2" s="15"/>
      <c r="F2" s="15"/>
      <c r="G2" s="15"/>
      <c r="H2" s="15"/>
      <c r="I2" s="15"/>
      <c r="J2" s="15"/>
      <c r="K2" s="15"/>
      <c r="L2" s="15"/>
      <c r="M2" s="15"/>
      <c r="N2" s="15"/>
      <c r="O2" s="15"/>
      <c r="P2" s="15"/>
      <c r="Q2" s="15"/>
      <c r="R2" s="15"/>
      <c r="S2" s="15"/>
      <c r="T2" s="9"/>
      <c r="U2" s="16">
        <f>MAX(ML_data[record_date])</f>
        <v>45860</v>
      </c>
      <c r="V2" s="16"/>
      <c r="W2" s="9"/>
    </row>
    <row r="3" spans="1:23" x14ac:dyDescent="0.25">
      <c r="A3" s="9"/>
      <c r="B3" s="9"/>
      <c r="C3" s="15"/>
      <c r="D3" s="15"/>
      <c r="E3" s="15"/>
      <c r="F3" s="15"/>
      <c r="G3" s="15"/>
      <c r="H3" s="15"/>
      <c r="I3" s="15"/>
      <c r="J3" s="15"/>
      <c r="K3" s="15"/>
      <c r="L3" s="15"/>
      <c r="M3" s="15"/>
      <c r="N3" s="15"/>
      <c r="O3" s="15"/>
      <c r="P3" s="15"/>
      <c r="Q3" s="15"/>
      <c r="R3" s="15"/>
      <c r="S3" s="15"/>
      <c r="T3" s="9"/>
      <c r="U3" s="9"/>
      <c r="V3" s="9"/>
      <c r="W3" s="9"/>
    </row>
    <row r="27" spans="1:21" x14ac:dyDescent="0.25">
      <c r="A27" s="11"/>
      <c r="U27" s="11"/>
    </row>
    <row r="36" spans="1:23" x14ac:dyDescent="0.25">
      <c r="A36" s="10"/>
      <c r="W36" s="10"/>
    </row>
  </sheetData>
  <sheetProtection sheet="1" objects="1" scenarios="1" selectLockedCells="1" pivotTables="0" selectUnlockedCells="1"/>
  <mergeCells count="3">
    <mergeCell ref="U1:V1"/>
    <mergeCell ref="C1:S3"/>
    <mergeCell ref="U2:V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Charts</vt:lpstr>
      <vt:lpstr>PivotTables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Kayode Alao</dc:creator>
  <cp:lastModifiedBy>Kayode Alao</cp:lastModifiedBy>
  <dcterms:created xsi:type="dcterms:W3CDTF">2026-09-03T04:34:35Z</dcterms:created>
  <dcterms:modified xsi:type="dcterms:W3CDTF">2026-09-05T13:56:42Z</dcterms:modified>
</cp:coreProperties>
</file>